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itoraheziom-my.sharepoint.com/personal/financeiro_editoraheziom_com_br/Documents/Financeiro Editora Heziom/2026/Contabilidade/Fechamento Compartilhado/1-JANEIRO/DFC/"/>
    </mc:Choice>
  </mc:AlternateContent>
  <xr:revisionPtr revIDLastSave="101" documentId="8_{8A2F5635-4FD7-476A-B05A-85580292ED6D}" xr6:coauthVersionLast="47" xr6:coauthVersionMax="47" xr10:uidLastSave="{1A78A36C-79CE-4ED5-963F-B9609A81B924}"/>
  <bookViews>
    <workbookView xWindow="-120" yWindow="-120" windowWidth="29040" windowHeight="15720" xr2:uid="{61C633F1-1EB0-496B-B428-759FA14BBC7B}"/>
  </bookViews>
  <sheets>
    <sheet name="extrato-stone-literarius" sheetId="1" r:id="rId1"/>
    <sheet name="Planilha2" sheetId="4" r:id="rId2"/>
    <sheet name="extrato stone" sheetId="2" r:id="rId3"/>
    <sheet name="Planilha1" sheetId="3" r:id="rId4"/>
  </sheets>
  <definedNames>
    <definedName name="_xlnm._FilterDatabase" localSheetId="2" hidden="1">'extrato stone'!$A$1:$U$1</definedName>
    <definedName name="_xlnm._FilterDatabase" localSheetId="0" hidden="1">'extrato-stone-literarius'!$A$1:$J$399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2" i="3"/>
  <c r="E3" i="2"/>
  <c r="C2" i="3" s="1"/>
  <c r="E4" i="2"/>
  <c r="C3" i="3" s="1"/>
  <c r="E5" i="2"/>
  <c r="C4" i="3" s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C23" i="3" s="1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C25" i="3" s="1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C18" i="3" l="1"/>
  <c r="C17" i="3"/>
  <c r="C27" i="3"/>
  <c r="C16" i="3"/>
  <c r="D16" i="3" s="1"/>
  <c r="C13" i="3"/>
  <c r="C9" i="3"/>
  <c r="D9" i="3" s="1"/>
  <c r="C6" i="3"/>
  <c r="D6" i="3" s="1"/>
  <c r="D23" i="3"/>
  <c r="C14" i="3"/>
  <c r="D14" i="3" s="1"/>
  <c r="C12" i="3"/>
  <c r="C8" i="3"/>
  <c r="D8" i="3" s="1"/>
  <c r="C5" i="3"/>
  <c r="D5" i="3" s="1"/>
  <c r="C24" i="3"/>
  <c r="D24" i="3" s="1"/>
  <c r="C22" i="3"/>
  <c r="D22" i="3" s="1"/>
  <c r="D13" i="3"/>
  <c r="C28" i="3"/>
  <c r="D28" i="3" s="1"/>
  <c r="C26" i="3"/>
  <c r="C11" i="3"/>
  <c r="D11" i="3" s="1"/>
  <c r="C10" i="3"/>
  <c r="D10" i="3" s="1"/>
  <c r="C7" i="3"/>
  <c r="D7" i="3" s="1"/>
  <c r="D12" i="3"/>
  <c r="D4" i="3"/>
  <c r="D27" i="3"/>
  <c r="C21" i="3"/>
  <c r="D21" i="3" s="1"/>
  <c r="C15" i="3"/>
  <c r="D15" i="3" s="1"/>
  <c r="D26" i="3"/>
  <c r="D18" i="3"/>
  <c r="C20" i="3"/>
  <c r="D20" i="3" s="1"/>
  <c r="C29" i="3"/>
  <c r="D29" i="3" s="1"/>
  <c r="C19" i="3"/>
  <c r="D19" i="3" s="1"/>
  <c r="D25" i="3"/>
  <c r="D17" i="3"/>
  <c r="D2" i="3"/>
  <c r="D3" i="3"/>
</calcChain>
</file>

<file path=xl/sharedStrings.xml><?xml version="1.0" encoding="utf-8"?>
<sst xmlns="http://schemas.openxmlformats.org/spreadsheetml/2006/main" count="10412" uniqueCount="2187">
  <si>
    <t>10,44</t>
  </si>
  <si>
    <t>2556</t>
  </si>
  <si>
    <t>2305</t>
  </si>
  <si>
    <t>Móveis, Máquinas e Utensílios</t>
  </si>
  <si>
    <t xml:space="preserve">PRIMEIRA IGREJA BATISTA EM P. </t>
  </si>
  <si>
    <t>226,50</t>
  </si>
  <si>
    <t>DEBORA TORRES DE OLIVEIRA KEMP</t>
  </si>
  <si>
    <t>2327</t>
  </si>
  <si>
    <t>149,37</t>
  </si>
  <si>
    <t>814,00</t>
  </si>
  <si>
    <t>2527</t>
  </si>
  <si>
    <t>2307</t>
  </si>
  <si>
    <t>83,04</t>
  </si>
  <si>
    <t>2466</t>
  </si>
  <si>
    <t>2309</t>
  </si>
  <si>
    <t>2632</t>
  </si>
  <si>
    <t>Origem</t>
  </si>
  <si>
    <t>Pagar Me Pagamentos</t>
  </si>
  <si>
    <t>2381</t>
  </si>
  <si>
    <t>2324</t>
  </si>
  <si>
    <t>6.900,00</t>
  </si>
  <si>
    <t>TRANSFERENCIA ENTRE CONTAS</t>
  </si>
  <si>
    <t>Maria Cristina Soares Dias Rib</t>
  </si>
  <si>
    <t>2484</t>
  </si>
  <si>
    <t>2547</t>
  </si>
  <si>
    <t>2371</t>
  </si>
  <si>
    <t>2650</t>
  </si>
  <si>
    <t>2244</t>
  </si>
  <si>
    <t>2415</t>
  </si>
  <si>
    <t>2352</t>
  </si>
  <si>
    <t>1.018,30</t>
  </si>
  <si>
    <t>2526</t>
  </si>
  <si>
    <t>2643</t>
  </si>
  <si>
    <t>51,36</t>
  </si>
  <si>
    <t>80,20</t>
  </si>
  <si>
    <t>258,69</t>
  </si>
  <si>
    <t>2642</t>
  </si>
  <si>
    <t>Luciane da Silva - Pix | Maqui</t>
  </si>
  <si>
    <t>2255</t>
  </si>
  <si>
    <t>2288</t>
  </si>
  <si>
    <t>ALTO REINO MM LTDA - Pix | Maq</t>
  </si>
  <si>
    <t>2400</t>
  </si>
  <si>
    <t>99,90</t>
  </si>
  <si>
    <t>2621</t>
  </si>
  <si>
    <t>2290</t>
  </si>
  <si>
    <t>08/01/2026</t>
  </si>
  <si>
    <t>2533</t>
  </si>
  <si>
    <t>1.396,42</t>
  </si>
  <si>
    <t>NOVA MM MATERIAIS DE CONSTRUCA</t>
  </si>
  <si>
    <t>2315</t>
  </si>
  <si>
    <t>2252</t>
  </si>
  <si>
    <t>49.579.694 DEBORA OWSIANY ROCH</t>
  </si>
  <si>
    <t>342,36</t>
  </si>
  <si>
    <t>2468</t>
  </si>
  <si>
    <t>04/01/2026</t>
  </si>
  <si>
    <t>508,13</t>
  </si>
  <si>
    <t>2531</t>
  </si>
  <si>
    <t>2382</t>
  </si>
  <si>
    <t>FABIANA DE ALMEIDA MUNIZ HENRI</t>
  </si>
  <si>
    <t>2617</t>
  </si>
  <si>
    <t>503,00</t>
  </si>
  <si>
    <t xml:space="preserve">IGREJA PRESBITERIANA DE CAMBE </t>
  </si>
  <si>
    <t>2398</t>
  </si>
  <si>
    <t>2417</t>
  </si>
  <si>
    <t>2383</t>
  </si>
  <si>
    <t>2313</t>
  </si>
  <si>
    <t>167,85</t>
  </si>
  <si>
    <t>2644</t>
  </si>
  <si>
    <t>119,30</t>
  </si>
  <si>
    <t>2410</t>
  </si>
  <si>
    <t>108,23</t>
  </si>
  <si>
    <t>31/01/2026</t>
  </si>
  <si>
    <t>DENIS ROBERT SILVA DE OLIVEIRA</t>
  </si>
  <si>
    <t>1.756,08</t>
  </si>
  <si>
    <t>2268</t>
  </si>
  <si>
    <t>2308</t>
  </si>
  <si>
    <t>2496</t>
  </si>
  <si>
    <t>2528</t>
  </si>
  <si>
    <t>626,65</t>
  </si>
  <si>
    <t>5.961,97</t>
  </si>
  <si>
    <t>2514</t>
  </si>
  <si>
    <t>Maria EmÃ­lia de Almeida - Tra</t>
  </si>
  <si>
    <t>48.851.583 EVELYNE MIRELY ANDR</t>
  </si>
  <si>
    <t>2628</t>
  </si>
  <si>
    <t>9.887,92</t>
  </si>
  <si>
    <t>2563</t>
  </si>
  <si>
    <t>TANIA DA SILVA ALEXANDRE - Pix</t>
  </si>
  <si>
    <t>2267</t>
  </si>
  <si>
    <t>2512</t>
  </si>
  <si>
    <t>2620</t>
  </si>
  <si>
    <t>104,35</t>
  </si>
  <si>
    <t>2319</t>
  </si>
  <si>
    <t>87,78</t>
  </si>
  <si>
    <t>2516</t>
  </si>
  <si>
    <t>156,92</t>
  </si>
  <si>
    <t>2339</t>
  </si>
  <si>
    <t>FRANKLIN ACIOLI - Pix | Maquin</t>
  </si>
  <si>
    <t xml:space="preserve">AUGUSTO FERIANI SANTANA - Pix </t>
  </si>
  <si>
    <t>28,67</t>
  </si>
  <si>
    <t>165,58</t>
  </si>
  <si>
    <t>LILIANA LOBACK - TransferÃªnci</t>
  </si>
  <si>
    <t xml:space="preserve">LILIANA SIMAO DA SILVA BABA - </t>
  </si>
  <si>
    <t>86,42</t>
  </si>
  <si>
    <t>2256</t>
  </si>
  <si>
    <t>2228</t>
  </si>
  <si>
    <t xml:space="preserve">MARIANA ARIOZO FALEIROS - Pix </t>
  </si>
  <si>
    <t>29,54</t>
  </si>
  <si>
    <t>RAFAEL BARBOSA</t>
  </si>
  <si>
    <t>Recebimento vendas - AntecipaÃ</t>
  </si>
  <si>
    <t>2376</t>
  </si>
  <si>
    <t>JEIMISAN RELRI DE OLIVEIRA ALV</t>
  </si>
  <si>
    <t>2392</t>
  </si>
  <si>
    <t>2269</t>
  </si>
  <si>
    <t>40,25</t>
  </si>
  <si>
    <t>32643</t>
  </si>
  <si>
    <t>134,28</t>
  </si>
  <si>
    <t>276,59</t>
  </si>
  <si>
    <t>383,17</t>
  </si>
  <si>
    <t>63,27</t>
  </si>
  <si>
    <t>ANA KAROLINA LOPES PAZINI - Tr</t>
  </si>
  <si>
    <t xml:space="preserve">RENATO CESAR ALVES DA SILVA - </t>
  </si>
  <si>
    <t>573,49</t>
  </si>
  <si>
    <t>2279</t>
  </si>
  <si>
    <t>3.619,55</t>
  </si>
  <si>
    <t>27,51</t>
  </si>
  <si>
    <t>4.000,00</t>
  </si>
  <si>
    <t xml:space="preserve">PATRICIA NEVES COSTA DA SILVA </t>
  </si>
  <si>
    <t>2401</t>
  </si>
  <si>
    <t>2404</t>
  </si>
  <si>
    <t>2623</t>
  </si>
  <si>
    <t>2241</t>
  </si>
  <si>
    <t xml:space="preserve">Gabriel de Lima Belli - Pix | </t>
  </si>
  <si>
    <t>2534</t>
  </si>
  <si>
    <t>892,68</t>
  </si>
  <si>
    <t>2338</t>
  </si>
  <si>
    <t>2491</t>
  </si>
  <si>
    <t>2607</t>
  </si>
  <si>
    <t>2.237,54</t>
  </si>
  <si>
    <t>2653</t>
  </si>
  <si>
    <t>Ana Maria Zechmann</t>
  </si>
  <si>
    <t>2294</t>
  </si>
  <si>
    <t>PRIMEIRA IGREJA BATISTA DA LAG</t>
  </si>
  <si>
    <t>29/01/2026</t>
  </si>
  <si>
    <t>2214</t>
  </si>
  <si>
    <t>658,42</t>
  </si>
  <si>
    <t>TATHIELLY JUSCELINA SANTOS - P</t>
  </si>
  <si>
    <t>274,51</t>
  </si>
  <si>
    <t>219,15</t>
  </si>
  <si>
    <t>12/01/2026</t>
  </si>
  <si>
    <t>2236</t>
  </si>
  <si>
    <t>63,78</t>
  </si>
  <si>
    <t>2387</t>
  </si>
  <si>
    <t>2384</t>
  </si>
  <si>
    <t>Marcelo Andrade Junior - Trans</t>
  </si>
  <si>
    <t>-5.000,00</t>
  </si>
  <si>
    <t>Expedição</t>
  </si>
  <si>
    <t>2331</t>
  </si>
  <si>
    <t>2345</t>
  </si>
  <si>
    <t>114,26</t>
  </si>
  <si>
    <t>3.172,62</t>
  </si>
  <si>
    <t>2356</t>
  </si>
  <si>
    <t>95,22</t>
  </si>
  <si>
    <t>2232</t>
  </si>
  <si>
    <t>268,08</t>
  </si>
  <si>
    <t>718,80</t>
  </si>
  <si>
    <t>19/01/2026</t>
  </si>
  <si>
    <t>2249</t>
  </si>
  <si>
    <t>02/01/2026</t>
  </si>
  <si>
    <t>AURELIO ALMEIDA BORGES - Trans</t>
  </si>
  <si>
    <t>1.114,77</t>
  </si>
  <si>
    <t>2562</t>
  </si>
  <si>
    <t>SUELLEN VALVERDE SILVA - Trans</t>
  </si>
  <si>
    <t xml:space="preserve">JOSE FERNANDO FRANCISCO - Pix </t>
  </si>
  <si>
    <t>2537</t>
  </si>
  <si>
    <t>2473</t>
  </si>
  <si>
    <t>2505</t>
  </si>
  <si>
    <t>2494</t>
  </si>
  <si>
    <t>ANDRE LOPES DO NASCIMENTO - Pi</t>
  </si>
  <si>
    <t>2220</t>
  </si>
  <si>
    <t>2227</t>
  </si>
  <si>
    <t>2560</t>
  </si>
  <si>
    <t>2365</t>
  </si>
  <si>
    <t>ALINE LAERT KARSOKAS - Pix | M</t>
  </si>
  <si>
    <t>229,82</t>
  </si>
  <si>
    <t>2335</t>
  </si>
  <si>
    <t>2550</t>
  </si>
  <si>
    <t>2237</t>
  </si>
  <si>
    <t>LALAMOVE TECNOLOGIA BRASIL LTDA</t>
  </si>
  <si>
    <t>2606</t>
  </si>
  <si>
    <t>5,27</t>
  </si>
  <si>
    <t>2477</t>
  </si>
  <si>
    <t>2570</t>
  </si>
  <si>
    <t>2625</t>
  </si>
  <si>
    <t>332,04</t>
  </si>
  <si>
    <t>2250</t>
  </si>
  <si>
    <t>2557</t>
  </si>
  <si>
    <t>2212</t>
  </si>
  <si>
    <t>58,69</t>
  </si>
  <si>
    <t>2260</t>
  </si>
  <si>
    <t>2377</t>
  </si>
  <si>
    <t>187,32</t>
  </si>
  <si>
    <t>1.930,14</t>
  </si>
  <si>
    <t>2530</t>
  </si>
  <si>
    <t>2652</t>
  </si>
  <si>
    <t>8.072,67</t>
  </si>
  <si>
    <t>2316</t>
  </si>
  <si>
    <t>958,40</t>
  </si>
  <si>
    <t>2263</t>
  </si>
  <si>
    <t>2302</t>
  </si>
  <si>
    <t>11/01/2026</t>
  </si>
  <si>
    <t>2320</t>
  </si>
  <si>
    <t>Melhor Envio</t>
  </si>
  <si>
    <t>228,05</t>
  </si>
  <si>
    <t>NILDA COSTA RIBEIRO - Pix | Ma</t>
  </si>
  <si>
    <t>2330</t>
  </si>
  <si>
    <t>ANNA LAURA MENDES SPADACCINI -</t>
  </si>
  <si>
    <t>2259</t>
  </si>
  <si>
    <t>2501</t>
  </si>
  <si>
    <t>2322</t>
  </si>
  <si>
    <t>Frete Sobre Mercadorias</t>
  </si>
  <si>
    <t>DIEGO M GALHARDO - Pix | Maqui</t>
  </si>
  <si>
    <t>2312</t>
  </si>
  <si>
    <t>2257</t>
  </si>
  <si>
    <t>ELIANA BADARO SOCIE - Transfer</t>
  </si>
  <si>
    <t>23/01/2026</t>
  </si>
  <si>
    <t>941,00</t>
  </si>
  <si>
    <t>958,52</t>
  </si>
  <si>
    <t xml:space="preserve">Glaucilene Campos Figueredo - </t>
  </si>
  <si>
    <t>Raquel LetÃ­cia Vargas Rodrigu</t>
  </si>
  <si>
    <t>-25.000,00</t>
  </si>
  <si>
    <t>28279</t>
  </si>
  <si>
    <t>2635</t>
  </si>
  <si>
    <t xml:space="preserve">ADRIANA SANTOS DE SOUZA - Pix </t>
  </si>
  <si>
    <t>GILSON DA SILVA DELSECHI - Tra</t>
  </si>
  <si>
    <t>-221,84</t>
  </si>
  <si>
    <t>2510</t>
  </si>
  <si>
    <t>Everton Gabriel Amorim Monte -</t>
  </si>
  <si>
    <t>3.000,00</t>
  </si>
  <si>
    <t>2495</t>
  </si>
  <si>
    <t>Maria Gilvanete de Assis Alenc</t>
  </si>
  <si>
    <t>2489</t>
  </si>
  <si>
    <t>2215</t>
  </si>
  <si>
    <t>281,70</t>
  </si>
  <si>
    <t>711,30</t>
  </si>
  <si>
    <t>355,46</t>
  </si>
  <si>
    <t>2280</t>
  </si>
  <si>
    <t>2472</t>
  </si>
  <si>
    <t xml:space="preserve">ALINE FONSECA DE SOUZA REIS - </t>
  </si>
  <si>
    <t>2493</t>
  </si>
  <si>
    <t>THIAGO VIANA CARRARO - Pix | M</t>
  </si>
  <si>
    <t>2248</t>
  </si>
  <si>
    <t>CAMILA PRADO SANTOS - Pix | Ma</t>
  </si>
  <si>
    <t>JOCELI CARVALHO A FERREIRA - T</t>
  </si>
  <si>
    <t>-1.000,00</t>
  </si>
  <si>
    <t xml:space="preserve">Ivete Andrade Cardoso - Pix | </t>
  </si>
  <si>
    <t>289,24</t>
  </si>
  <si>
    <t>10,54</t>
  </si>
  <si>
    <t>2490</t>
  </si>
  <si>
    <t>2407</t>
  </si>
  <si>
    <t>99,53</t>
  </si>
  <si>
    <t>2424</t>
  </si>
  <si>
    <t>2284</t>
  </si>
  <si>
    <t>2283</t>
  </si>
  <si>
    <t>2483</t>
  </si>
  <si>
    <t>2224</t>
  </si>
  <si>
    <t>10,77</t>
  </si>
  <si>
    <t>THIAGO LOTTERMAN - Pix | Maqui</t>
  </si>
  <si>
    <t>94,44</t>
  </si>
  <si>
    <t>2272</t>
  </si>
  <si>
    <t>2359</t>
  </si>
  <si>
    <t>2265</t>
  </si>
  <si>
    <t>660,31</t>
  </si>
  <si>
    <t>27/01/2026</t>
  </si>
  <si>
    <t>2481</t>
  </si>
  <si>
    <t>266,07</t>
  </si>
  <si>
    <t>2486</t>
  </si>
  <si>
    <t>10,73</t>
  </si>
  <si>
    <t>2323</t>
  </si>
  <si>
    <t>2502</t>
  </si>
  <si>
    <t>2251</t>
  </si>
  <si>
    <t>353,69</t>
  </si>
  <si>
    <t>D</t>
  </si>
  <si>
    <t>2612</t>
  </si>
  <si>
    <t>2332</t>
  </si>
  <si>
    <t>2609</t>
  </si>
  <si>
    <t>2479</t>
  </si>
  <si>
    <t>2532</t>
  </si>
  <si>
    <t>IGREJA P NACIONAL - TransferÃª</t>
  </si>
  <si>
    <t>98,85</t>
  </si>
  <si>
    <t>300,07</t>
  </si>
  <si>
    <t>MARCIA LUCILIA BRANDAO BARBOSA</t>
  </si>
  <si>
    <t>2254</t>
  </si>
  <si>
    <t>2613</t>
  </si>
  <si>
    <t>-55.000,00</t>
  </si>
  <si>
    <t>2231</t>
  </si>
  <si>
    <t>2558</t>
  </si>
  <si>
    <t>2239</t>
  </si>
  <si>
    <t>2297</t>
  </si>
  <si>
    <t>165,38</t>
  </si>
  <si>
    <t>30/01/2026</t>
  </si>
  <si>
    <t>134,90</t>
  </si>
  <si>
    <t>2475</t>
  </si>
  <si>
    <t>andrea silva correa - Pix | Ma</t>
  </si>
  <si>
    <t>2540</t>
  </si>
  <si>
    <t>2568</t>
  </si>
  <si>
    <t>2615</t>
  </si>
  <si>
    <t>2314</t>
  </si>
  <si>
    <t>2411</t>
  </si>
  <si>
    <t>JULIANA DA ROCHA MIRANDA - Pix</t>
  </si>
  <si>
    <t>49,38</t>
  </si>
  <si>
    <t>2465</t>
  </si>
  <si>
    <t>106,27</t>
  </si>
  <si>
    <t>2603</t>
  </si>
  <si>
    <t>2258</t>
  </si>
  <si>
    <t>345,41</t>
  </si>
  <si>
    <t xml:space="preserve">Valdomiro GonÃ§alves Soares - </t>
  </si>
  <si>
    <t>305,82</t>
  </si>
  <si>
    <t>68,98</t>
  </si>
  <si>
    <t>2523</t>
  </si>
  <si>
    <t>156,00</t>
  </si>
  <si>
    <t>2573</t>
  </si>
  <si>
    <t>Viviane Nery Lacerda - Pix | M</t>
  </si>
  <si>
    <t>2470</t>
  </si>
  <si>
    <t>2402</t>
  </si>
  <si>
    <t>167,14</t>
  </si>
  <si>
    <t>ALESSANDRA BORGES GONZ LOPES -</t>
  </si>
  <si>
    <t>-46.202,09</t>
  </si>
  <si>
    <t>2213</t>
  </si>
  <si>
    <t>89,96</t>
  </si>
  <si>
    <t>2293</t>
  </si>
  <si>
    <t xml:space="preserve">JULIANA MARCELY S SALES GUIDO </t>
  </si>
  <si>
    <t>660,38</t>
  </si>
  <si>
    <t>67,52</t>
  </si>
  <si>
    <t>2638</t>
  </si>
  <si>
    <t>1.223,11</t>
  </si>
  <si>
    <t>277,27</t>
  </si>
  <si>
    <t>ESTHER EMERIQUE DOS SANTOS - P</t>
  </si>
  <si>
    <t>2630</t>
  </si>
  <si>
    <t>71,74</t>
  </si>
  <si>
    <t>943,30</t>
  </si>
  <si>
    <t>2654</t>
  </si>
  <si>
    <t>2295</t>
  </si>
  <si>
    <t>BANCÁRIO</t>
  </si>
  <si>
    <t>1.805,47</t>
  </si>
  <si>
    <t>2395</t>
  </si>
  <si>
    <t>PATRICIA OTTAIANO - Pix | Maqu</t>
  </si>
  <si>
    <t>2276</t>
  </si>
  <si>
    <t>2303</t>
  </si>
  <si>
    <t>2329</t>
  </si>
  <si>
    <t>86,12</t>
  </si>
  <si>
    <t>2469</t>
  </si>
  <si>
    <t>2351</t>
  </si>
  <si>
    <t>32642</t>
  </si>
  <si>
    <t>2543</t>
  </si>
  <si>
    <t xml:space="preserve">ALESSANDRO DOS SANTOS MARTINS </t>
  </si>
  <si>
    <t>506,71</t>
  </si>
  <si>
    <t>2299</t>
  </si>
  <si>
    <t>2577</t>
  </si>
  <si>
    <t>2357</t>
  </si>
  <si>
    <t>2604</t>
  </si>
  <si>
    <t>2412</t>
  </si>
  <si>
    <t>2639</t>
  </si>
  <si>
    <t>504,05</t>
  </si>
  <si>
    <t>2291</t>
  </si>
  <si>
    <t>1.598,43</t>
  </si>
  <si>
    <t>11.381,00</t>
  </si>
  <si>
    <t>2367</t>
  </si>
  <si>
    <t>161,00</t>
  </si>
  <si>
    <t>2485</t>
  </si>
  <si>
    <t>35,68</t>
  </si>
  <si>
    <t>AUTO POSTO ANGRA DOS REIS LTDA</t>
  </si>
  <si>
    <t>2285</t>
  </si>
  <si>
    <t>2391</t>
  </si>
  <si>
    <t>2219</t>
  </si>
  <si>
    <t>612,00</t>
  </si>
  <si>
    <t>2544</t>
  </si>
  <si>
    <t>2.123,86</t>
  </si>
  <si>
    <t>MARIA CELIA DA SILVA RODRIGUES</t>
  </si>
  <si>
    <t>2247</t>
  </si>
  <si>
    <t xml:space="preserve">PATRICIA REGINA BARRETO LEITE </t>
  </si>
  <si>
    <t>425,28</t>
  </si>
  <si>
    <t>VICTOR AMORA DIAS - Pix | Maqu</t>
  </si>
  <si>
    <t>403,94</t>
  </si>
  <si>
    <t>311,28</t>
  </si>
  <si>
    <t>F B GAMA DA COSTA C VEST E ACE</t>
  </si>
  <si>
    <t>2347</t>
  </si>
  <si>
    <t>2301</t>
  </si>
  <si>
    <t>69,71</t>
  </si>
  <si>
    <t>2425</t>
  </si>
  <si>
    <t>Recebimento vendas - Visa Elec</t>
  </si>
  <si>
    <t>367,32</t>
  </si>
  <si>
    <t>2641</t>
  </si>
  <si>
    <t>2511</t>
  </si>
  <si>
    <t>07/01/2026</t>
  </si>
  <si>
    <t>2355</t>
  </si>
  <si>
    <t>182,58</t>
  </si>
  <si>
    <t>2217</t>
  </si>
  <si>
    <t>PRISCILLA HOSPODARSKY DOS SANT</t>
  </si>
  <si>
    <t>2506</t>
  </si>
  <si>
    <t>2522</t>
  </si>
  <si>
    <t>34,94</t>
  </si>
  <si>
    <t>52,00</t>
  </si>
  <si>
    <t>2564</t>
  </si>
  <si>
    <t>1.655,47</t>
  </si>
  <si>
    <t>YURI MICAEL SOUZA C AIRES VELO</t>
  </si>
  <si>
    <t>68,00</t>
  </si>
  <si>
    <t>2222</t>
  </si>
  <si>
    <t>21/01/2026</t>
  </si>
  <si>
    <t>2478</t>
  </si>
  <si>
    <t>700,70</t>
  </si>
  <si>
    <t>105,50</t>
  </si>
  <si>
    <t>576,48</t>
  </si>
  <si>
    <t>2619</t>
  </si>
  <si>
    <t>2.206,53</t>
  </si>
  <si>
    <t>2328</t>
  </si>
  <si>
    <t>2627</t>
  </si>
  <si>
    <t>2337</t>
  </si>
  <si>
    <t>Plano de Contas</t>
  </si>
  <si>
    <t>2226</t>
  </si>
  <si>
    <t>2414</t>
  </si>
  <si>
    <t>3.290,50</t>
  </si>
  <si>
    <t>2626</t>
  </si>
  <si>
    <t>51,93</t>
  </si>
  <si>
    <t>206,15</t>
  </si>
  <si>
    <t>NEUSA FERNANDA BERNARDO ROSA -</t>
  </si>
  <si>
    <t>Valor</t>
  </si>
  <si>
    <t>Receita de vendas</t>
  </si>
  <si>
    <t>275,29</t>
  </si>
  <si>
    <t>923,69</t>
  </si>
  <si>
    <t>2538</t>
  </si>
  <si>
    <t>138,72</t>
  </si>
  <si>
    <t>2569</t>
  </si>
  <si>
    <t>FERNANDA AMARAL SILVA VIEIRA -</t>
  </si>
  <si>
    <t>2223</t>
  </si>
  <si>
    <t>2286</t>
  </si>
  <si>
    <t>ELIO OLIVEIRA COSTA - Pix | Ma</t>
  </si>
  <si>
    <t>Renata Rabelo Mendes - Pix | M</t>
  </si>
  <si>
    <t xml:space="preserve">EMERSON ANDRADE DE SIQUEIRA - </t>
  </si>
  <si>
    <t>REBECA NEGRAO C B BOAVENTURA -</t>
  </si>
  <si>
    <t>109,05</t>
  </si>
  <si>
    <t>57,18</t>
  </si>
  <si>
    <t>49,72</t>
  </si>
  <si>
    <t>48,37</t>
  </si>
  <si>
    <t>2361</t>
  </si>
  <si>
    <t>2261</t>
  </si>
  <si>
    <t>419,30</t>
  </si>
  <si>
    <t>DÃ©bora Vanessa Mariano - Tran</t>
  </si>
  <si>
    <t xml:space="preserve">Bruno Magno de Oliveira - Pix </t>
  </si>
  <si>
    <t>2552</t>
  </si>
  <si>
    <t>2648</t>
  </si>
  <si>
    <t>2574</t>
  </si>
  <si>
    <t>51,11</t>
  </si>
  <si>
    <t>2554</t>
  </si>
  <si>
    <t>248,43</t>
  </si>
  <si>
    <t>LUCIANO APARECIDO RUAS DOS SAN</t>
  </si>
  <si>
    <t>2369</t>
  </si>
  <si>
    <t>433,35</t>
  </si>
  <si>
    <t>RAQUEL MARCHIORI LESSA DE AZEV</t>
  </si>
  <si>
    <t>2281</t>
  </si>
  <si>
    <t>MARILIA MELO DAMASCENO - Pix |</t>
  </si>
  <si>
    <t>76,54</t>
  </si>
  <si>
    <t>JanaÃ­na Cardoso GonÃ§alves Pa</t>
  </si>
  <si>
    <t>32,38</t>
  </si>
  <si>
    <t>195,76</t>
  </si>
  <si>
    <t>2614</t>
  </si>
  <si>
    <t>2397</t>
  </si>
  <si>
    <t>2240</t>
  </si>
  <si>
    <t>260,57</t>
  </si>
  <si>
    <t>2.000,00</t>
  </si>
  <si>
    <t>Eny Maia AraÃºjo - Pix | Maqui</t>
  </si>
  <si>
    <t>VERONICA DE BRITO SANTOS - Pix</t>
  </si>
  <si>
    <t>2418</t>
  </si>
  <si>
    <t>2.423,70</t>
  </si>
  <si>
    <t>AndrÃ© Luiz Gomes - Pix | Maqu</t>
  </si>
  <si>
    <t>2393</t>
  </si>
  <si>
    <t>2399</t>
  </si>
  <si>
    <t>2380</t>
  </si>
  <si>
    <t>Francimarlen Almeida Alves - P</t>
  </si>
  <si>
    <t>59,94</t>
  </si>
  <si>
    <t>2520</t>
  </si>
  <si>
    <t>2341</t>
  </si>
  <si>
    <t>2517</t>
  </si>
  <si>
    <t>567,65</t>
  </si>
  <si>
    <t>43,40</t>
  </si>
  <si>
    <t>2553</t>
  </si>
  <si>
    <t>2405</t>
  </si>
  <si>
    <t>10,70</t>
  </si>
  <si>
    <t>2209</t>
  </si>
  <si>
    <t>163,73</t>
  </si>
  <si>
    <t>05/01/2026</t>
  </si>
  <si>
    <t>C</t>
  </si>
  <si>
    <t>2389</t>
  </si>
  <si>
    <t>86,51</t>
  </si>
  <si>
    <t>-50.000,00</t>
  </si>
  <si>
    <t>2509</t>
  </si>
  <si>
    <t>339,56</t>
  </si>
  <si>
    <t>73,82</t>
  </si>
  <si>
    <t>2610</t>
  </si>
  <si>
    <t>2234</t>
  </si>
  <si>
    <t>2246</t>
  </si>
  <si>
    <t>61,05</t>
  </si>
  <si>
    <t>2296</t>
  </si>
  <si>
    <t>2363</t>
  </si>
  <si>
    <t>2340</t>
  </si>
  <si>
    <t>370,00</t>
  </si>
  <si>
    <t>SUZANA ENITA GOMES - Pix | Maq</t>
  </si>
  <si>
    <t>MARIANA PETTY SAMSON - Pix | M</t>
  </si>
  <si>
    <t xml:space="preserve">JEFERSON APARECIDO PEREIRA DE </t>
  </si>
  <si>
    <t>192,73</t>
  </si>
  <si>
    <t>2467</t>
  </si>
  <si>
    <t>2637</t>
  </si>
  <si>
    <t>735,80</t>
  </si>
  <si>
    <t>CPC Online</t>
  </si>
  <si>
    <t>2242</t>
  </si>
  <si>
    <t>Recarga (11) 96605-1660 | Clar</t>
  </si>
  <si>
    <t>2471</t>
  </si>
  <si>
    <t>2333</t>
  </si>
  <si>
    <t>2292</t>
  </si>
  <si>
    <t>2403</t>
  </si>
  <si>
    <t>2580</t>
  </si>
  <si>
    <t>JOAO V C CARNEIRO - Pix | Maqu</t>
  </si>
  <si>
    <t>2278</t>
  </si>
  <si>
    <t>384,21</t>
  </si>
  <si>
    <t>2622</t>
  </si>
  <si>
    <t>09/01/2026</t>
  </si>
  <si>
    <t>1.013,50</t>
  </si>
  <si>
    <t>253,46</t>
  </si>
  <si>
    <t>77,00</t>
  </si>
  <si>
    <t>Tipo</t>
  </si>
  <si>
    <t>110,57</t>
  </si>
  <si>
    <t>2396</t>
  </si>
  <si>
    <t>TRANSFERENCIAS ENTRE CONTAS</t>
  </si>
  <si>
    <t>2561</t>
  </si>
  <si>
    <t>JoÃ£o Vitor de Castro Carneiro</t>
  </si>
  <si>
    <t>2640</t>
  </si>
  <si>
    <t>2419</t>
  </si>
  <si>
    <t>18,19</t>
  </si>
  <si>
    <t>Documento</t>
  </si>
  <si>
    <t>01/01/2026</t>
  </si>
  <si>
    <t>198,49</t>
  </si>
  <si>
    <t>MIX DESIGN GRAFICA E IMPRESSAO</t>
  </si>
  <si>
    <t>2274</t>
  </si>
  <si>
    <t>Data</t>
  </si>
  <si>
    <t>MAURO MARQUES DA SILVA - Pix |</t>
  </si>
  <si>
    <t>137,21</t>
  </si>
  <si>
    <t>2243</t>
  </si>
  <si>
    <t>13/01/2026</t>
  </si>
  <si>
    <t>29640</t>
  </si>
  <si>
    <t>2233</t>
  </si>
  <si>
    <t>Descrição</t>
  </si>
  <si>
    <t>2524</t>
  </si>
  <si>
    <t>2572</t>
  </si>
  <si>
    <t>148,61</t>
  </si>
  <si>
    <t>106,02</t>
  </si>
  <si>
    <t>SAMUEL ROCHA LOPES - Pix | Maq</t>
  </si>
  <si>
    <t>79,73</t>
  </si>
  <si>
    <t>252,32</t>
  </si>
  <si>
    <t>2326</t>
  </si>
  <si>
    <t>20,71</t>
  </si>
  <si>
    <t>DENILSON DE MORAIS CASTRO - Tr</t>
  </si>
  <si>
    <t>THIAGO MACHADO DE ALMEIDA - Pi</t>
  </si>
  <si>
    <t>SARA BARBOSA PELICHO DE CARVAL</t>
  </si>
  <si>
    <t>2647</t>
  </si>
  <si>
    <t>-18.000,00</t>
  </si>
  <si>
    <t>2368</t>
  </si>
  <si>
    <t>191,16</t>
  </si>
  <si>
    <t>49,90</t>
  </si>
  <si>
    <t>37,98</t>
  </si>
  <si>
    <t>2300</t>
  </si>
  <si>
    <t>Keilla Alice Andrade de Olivei</t>
  </si>
  <si>
    <t>DAVID NIAN DOURADO SAMPAIO - T</t>
  </si>
  <si>
    <t>2423</t>
  </si>
  <si>
    <t>PEDRO ARTHUR FREITAS DIAS - Tr</t>
  </si>
  <si>
    <t>380,23</t>
  </si>
  <si>
    <t>179,20</t>
  </si>
  <si>
    <t>2549</t>
  </si>
  <si>
    <t>Wallace Pedro Albuquerque Silv</t>
  </si>
  <si>
    <t>2350</t>
  </si>
  <si>
    <t>2497</t>
  </si>
  <si>
    <t>2539</t>
  </si>
  <si>
    <t>AMANDA B Q AGRELA BORGES - Pix</t>
  </si>
  <si>
    <t>Outras despesas</t>
  </si>
  <si>
    <t>2500</t>
  </si>
  <si>
    <t>2366</t>
  </si>
  <si>
    <t>227,06</t>
  </si>
  <si>
    <t>2476</t>
  </si>
  <si>
    <t>MAURICIO AUGUSTO MATHIAS - Pix</t>
  </si>
  <si>
    <t>2576</t>
  </si>
  <si>
    <t>2287</t>
  </si>
  <si>
    <t>556,80</t>
  </si>
  <si>
    <t>-89,50</t>
  </si>
  <si>
    <t>8.493,72</t>
  </si>
  <si>
    <t>2571</t>
  </si>
  <si>
    <t>2.885,00</t>
  </si>
  <si>
    <t>2211</t>
  </si>
  <si>
    <t>2601</t>
  </si>
  <si>
    <t>29,51</t>
  </si>
  <si>
    <t>1.140,42</t>
  </si>
  <si>
    <t>2578</t>
  </si>
  <si>
    <t>1.998,53</t>
  </si>
  <si>
    <t>Anselmo Vasconcelos Vieira - P</t>
  </si>
  <si>
    <t>2421</t>
  </si>
  <si>
    <t>235,07</t>
  </si>
  <si>
    <t>JEANNY DE OLIVEIRA PEREIRA - T</t>
  </si>
  <si>
    <t>2262</t>
  </si>
  <si>
    <t>2364</t>
  </si>
  <si>
    <t xml:space="preserve">BIGAIR T SILVA CARVALHO - Pix </t>
  </si>
  <si>
    <t>Recebimento vendas - Elo | DÃ©</t>
  </si>
  <si>
    <t>314,52</t>
  </si>
  <si>
    <t>2298</t>
  </si>
  <si>
    <t>401,53</t>
  </si>
  <si>
    <t>163,63</t>
  </si>
  <si>
    <t>2372</t>
  </si>
  <si>
    <t>215,41</t>
  </si>
  <si>
    <t>Ara Goncalves Bilharinho - Tra</t>
  </si>
  <si>
    <t>2388</t>
  </si>
  <si>
    <t>2633</t>
  </si>
  <si>
    <t>Combustivel</t>
  </si>
  <si>
    <t>363,27</t>
  </si>
  <si>
    <t>15,92</t>
  </si>
  <si>
    <t>2362</t>
  </si>
  <si>
    <t>2221</t>
  </si>
  <si>
    <t>2567</t>
  </si>
  <si>
    <t>2504</t>
  </si>
  <si>
    <t>2565</t>
  </si>
  <si>
    <t>2310</t>
  </si>
  <si>
    <t>Centro Resultados</t>
  </si>
  <si>
    <t>2608</t>
  </si>
  <si>
    <t>-148,08</t>
  </si>
  <si>
    <t>3.628,36</t>
  </si>
  <si>
    <t>2344</t>
  </si>
  <si>
    <t>244,95</t>
  </si>
  <si>
    <t>2238</t>
  </si>
  <si>
    <t>EDUARDA APARECIDA GONCALVES DE</t>
  </si>
  <si>
    <t>920,00</t>
  </si>
  <si>
    <t>ROSANA RAMOS - Pix | Maquininh</t>
  </si>
  <si>
    <t>Número</t>
  </si>
  <si>
    <t>6.682,54</t>
  </si>
  <si>
    <t>WENDEL ANDRE RODRIGUES VALENTI</t>
  </si>
  <si>
    <t>Vale Transporte</t>
  </si>
  <si>
    <t>2420</t>
  </si>
  <si>
    <t>15/01/2026</t>
  </si>
  <si>
    <t>581,45</t>
  </si>
  <si>
    <t>2370</t>
  </si>
  <si>
    <t>2.467,92</t>
  </si>
  <si>
    <t>2508</t>
  </si>
  <si>
    <t>179,61</t>
  </si>
  <si>
    <t>298,65</t>
  </si>
  <si>
    <t>MAURICIO ROBERTO DA SILVA - Pi</t>
  </si>
  <si>
    <t>61,61</t>
  </si>
  <si>
    <t>2235</t>
  </si>
  <si>
    <t>2229</t>
  </si>
  <si>
    <t>69,00</t>
  </si>
  <si>
    <t>26669</t>
  </si>
  <si>
    <t>2385</t>
  </si>
  <si>
    <t>228,53</t>
  </si>
  <si>
    <t>28/01/2026</t>
  </si>
  <si>
    <t>JULIANA FONG DE OLIVEIRA ZEQUI</t>
  </si>
  <si>
    <t>2413</t>
  </si>
  <si>
    <t>70,02</t>
  </si>
  <si>
    <t>06/01/2026</t>
  </si>
  <si>
    <t>2275</t>
  </si>
  <si>
    <t>ELIAS BARROS LICIDONIO - Pix |</t>
  </si>
  <si>
    <t>VANUSA BARBOSA SILVA - Transfe</t>
  </si>
  <si>
    <t>339,57</t>
  </si>
  <si>
    <t>VENDA DE LIVROS</t>
  </si>
  <si>
    <t>232,46</t>
  </si>
  <si>
    <t>2218</t>
  </si>
  <si>
    <t>2353</t>
  </si>
  <si>
    <t xml:space="preserve">Rogerio Moacir da Costa - Pix </t>
  </si>
  <si>
    <t>2464</t>
  </si>
  <si>
    <t>1.377,70</t>
  </si>
  <si>
    <t xml:space="preserve">LIDIA MARIA ROCHA 30934386838 </t>
  </si>
  <si>
    <t>2555</t>
  </si>
  <si>
    <t>KERLIANY FIDEL ALMEIDA PEREIRA</t>
  </si>
  <si>
    <t>1.500,00</t>
  </si>
  <si>
    <t>2.112,58</t>
  </si>
  <si>
    <t>2325</t>
  </si>
  <si>
    <t xml:space="preserve">13.409.984 ALESSANDRO PAVAO - </t>
  </si>
  <si>
    <t>20/01/2026</t>
  </si>
  <si>
    <t>81,49</t>
  </si>
  <si>
    <t>2360</t>
  </si>
  <si>
    <t>-200,04</t>
  </si>
  <si>
    <t>175,81</t>
  </si>
  <si>
    <t>79,60</t>
  </si>
  <si>
    <t>JEOSAFA SANTOS MARTINS - Pix |</t>
  </si>
  <si>
    <t>142,05</t>
  </si>
  <si>
    <t>41,92</t>
  </si>
  <si>
    <t>2264</t>
  </si>
  <si>
    <t>2408</t>
  </si>
  <si>
    <t>IANNA ROSA LUCAS TORRES - Tran</t>
  </si>
  <si>
    <t>2634</t>
  </si>
  <si>
    <t>KARINA DE OLIVEIRA ALBUQUERQUE</t>
  </si>
  <si>
    <t>385,64</t>
  </si>
  <si>
    <t>539,48</t>
  </si>
  <si>
    <t>18/01/2026</t>
  </si>
  <si>
    <t>2583</t>
  </si>
  <si>
    <t>2488</t>
  </si>
  <si>
    <t>2270</t>
  </si>
  <si>
    <t>2245</t>
  </si>
  <si>
    <t>JOSE GONCALVES OLIVEIRA - Tran</t>
  </si>
  <si>
    <t xml:space="preserve">Thamyres Christine de Andrade </t>
  </si>
  <si>
    <t>19.000,00</t>
  </si>
  <si>
    <t>2582</t>
  </si>
  <si>
    <t>2378</t>
  </si>
  <si>
    <t>CRISTIAN ANTONIO DO COUTO - Pi</t>
  </si>
  <si>
    <t>25/01/2026</t>
  </si>
  <si>
    <t>2210</t>
  </si>
  <si>
    <t>1.497,50</t>
  </si>
  <si>
    <t>ANA MARIA ARRUDA OLIVEIRA - Tr</t>
  </si>
  <si>
    <t>1.985,33</t>
  </si>
  <si>
    <t>2349</t>
  </si>
  <si>
    <t>2321</t>
  </si>
  <si>
    <t>2646</t>
  </si>
  <si>
    <t>26/01/2026</t>
  </si>
  <si>
    <t>2374</t>
  </si>
  <si>
    <t>2282</t>
  </si>
  <si>
    <t>2566</t>
  </si>
  <si>
    <t>55,81</t>
  </si>
  <si>
    <t>186,64</t>
  </si>
  <si>
    <t>Marketing E Publicidade</t>
  </si>
  <si>
    <t>Maria Esmeralda de Oliveira So</t>
  </si>
  <si>
    <t>10/01/2026</t>
  </si>
  <si>
    <t>BAIXA</t>
  </si>
  <si>
    <t>SILVIA GONCALVES MARCOLA LOPES</t>
  </si>
  <si>
    <t>2409</t>
  </si>
  <si>
    <t>MARILIA DE JESUS MARCAL - Tran</t>
  </si>
  <si>
    <t>2618</t>
  </si>
  <si>
    <t>2358</t>
  </si>
  <si>
    <t>2545</t>
  </si>
  <si>
    <t>2518</t>
  </si>
  <si>
    <t>2529</t>
  </si>
  <si>
    <t>91,32</t>
  </si>
  <si>
    <t>-20,00</t>
  </si>
  <si>
    <t>134,65</t>
  </si>
  <si>
    <t>21,46</t>
  </si>
  <si>
    <t>2394</t>
  </si>
  <si>
    <t>340,36</t>
  </si>
  <si>
    <t>2253</t>
  </si>
  <si>
    <t xml:space="preserve">ELIZABETE DO NASCIMENTO - Pix </t>
  </si>
  <si>
    <t>2336</t>
  </si>
  <si>
    <t xml:space="preserve">Elba Miranda - TransferÃªncia </t>
  </si>
  <si>
    <t>2521</t>
  </si>
  <si>
    <t>406,82</t>
  </si>
  <si>
    <t>-28.000,00</t>
  </si>
  <si>
    <t>213,20</t>
  </si>
  <si>
    <t>262,45</t>
  </si>
  <si>
    <t>2386</t>
  </si>
  <si>
    <t>2535</t>
  </si>
  <si>
    <t>JORGE ALVES DE SOUZA - Transfe</t>
  </si>
  <si>
    <t>140,82</t>
  </si>
  <si>
    <t>1.004,37</t>
  </si>
  <si>
    <t>2507</t>
  </si>
  <si>
    <t>AURENICE DA SILVA AMORIM ARAUJ</t>
  </si>
  <si>
    <t>ELZA DE FATIMA SILVA - Transfe</t>
  </si>
  <si>
    <t>50,64</t>
  </si>
  <si>
    <t>260,16</t>
  </si>
  <si>
    <t>109,17</t>
  </si>
  <si>
    <t>GIOVANNA LOUISE C ARCHANJO - P</t>
  </si>
  <si>
    <t>AGAIN CORRETORA DE SEGUROS - P</t>
  </si>
  <si>
    <t>2416</t>
  </si>
  <si>
    <t>2499</t>
  </si>
  <si>
    <t>ASSOCIACAO EDITORA PRESBITERIA</t>
  </si>
  <si>
    <t>GLEYCE ROSA SILVA SANTOS - Pix</t>
  </si>
  <si>
    <t>73,81</t>
  </si>
  <si>
    <t>ALUILDES D S B MATOS - Transfe</t>
  </si>
  <si>
    <t>398,21</t>
  </si>
  <si>
    <t>206,64</t>
  </si>
  <si>
    <t>-104,40</t>
  </si>
  <si>
    <t>2474</t>
  </si>
  <si>
    <t>ELYZABETH DE FATIMA DOS SANTOS</t>
  </si>
  <si>
    <t>2306</t>
  </si>
  <si>
    <t>2406</t>
  </si>
  <si>
    <t>132,36</t>
  </si>
  <si>
    <t>245,32</t>
  </si>
  <si>
    <t>MATHEUS BARROS LETO - Pix | Ma</t>
  </si>
  <si>
    <t>99,00</t>
  </si>
  <si>
    <t>ANA CAROLINA SILVA - Pix | Maq</t>
  </si>
  <si>
    <t>2342</t>
  </si>
  <si>
    <t>26685</t>
  </si>
  <si>
    <t>2482</t>
  </si>
  <si>
    <t>-500,00</t>
  </si>
  <si>
    <t>2616</t>
  </si>
  <si>
    <t>PRISCYLA K PROENCA DE ARAUJO -</t>
  </si>
  <si>
    <t>2498</t>
  </si>
  <si>
    <t>2515</t>
  </si>
  <si>
    <t>-50,00</t>
  </si>
  <si>
    <t>Rosana Moretes Silvestre - Tra</t>
  </si>
  <si>
    <t>235,33</t>
  </si>
  <si>
    <t>2422</t>
  </si>
  <si>
    <t>Carmen Maria Vargas Ferreira -</t>
  </si>
  <si>
    <t>Reginaldo Pereira de Matos - P</t>
  </si>
  <si>
    <t>TAINAH FERNANDA DOS SANTOS CAR</t>
  </si>
  <si>
    <t>256,46</t>
  </si>
  <si>
    <t>2649</t>
  </si>
  <si>
    <t>539,10</t>
  </si>
  <si>
    <t>2542</t>
  </si>
  <si>
    <t>237,77</t>
  </si>
  <si>
    <t>2513</t>
  </si>
  <si>
    <t>2348</t>
  </si>
  <si>
    <t>42,20</t>
  </si>
  <si>
    <t>816,69</t>
  </si>
  <si>
    <t>2334</t>
  </si>
  <si>
    <t>2304</t>
  </si>
  <si>
    <t>2225</t>
  </si>
  <si>
    <t>2317</t>
  </si>
  <si>
    <t>331,84</t>
  </si>
  <si>
    <t>1.379,22</t>
  </si>
  <si>
    <t>216,17</t>
  </si>
  <si>
    <t>2271</t>
  </si>
  <si>
    <t>2492</t>
  </si>
  <si>
    <t>2487</t>
  </si>
  <si>
    <t>Financeiro</t>
  </si>
  <si>
    <t>312,07</t>
  </si>
  <si>
    <t>241,96</t>
  </si>
  <si>
    <t>2379</t>
  </si>
  <si>
    <t>1.404,90</t>
  </si>
  <si>
    <t>2230</t>
  </si>
  <si>
    <t>Rebeca de Jesus Monteiro - Tra</t>
  </si>
  <si>
    <t xml:space="preserve">EGKCOM RECURSOS HUMANOS - Pix </t>
  </si>
  <si>
    <t>2645</t>
  </si>
  <si>
    <t>561,70</t>
  </si>
  <si>
    <t>84,91</t>
  </si>
  <si>
    <t>2390</t>
  </si>
  <si>
    <t>2536</t>
  </si>
  <si>
    <t xml:space="preserve">Facebook Servicos Online </t>
  </si>
  <si>
    <t>91,86</t>
  </si>
  <si>
    <t>151,37</t>
  </si>
  <si>
    <t>2354</t>
  </si>
  <si>
    <t>234,97</t>
  </si>
  <si>
    <t>2631</t>
  </si>
  <si>
    <t>952,99</t>
  </si>
  <si>
    <t>2581</t>
  </si>
  <si>
    <t>2602</t>
  </si>
  <si>
    <t xml:space="preserve">GLAUCIA STELA DE CASTRO ROCHA </t>
  </si>
  <si>
    <t>2266</t>
  </si>
  <si>
    <t>2551</t>
  </si>
  <si>
    <t>2216</t>
  </si>
  <si>
    <t>68,85</t>
  </si>
  <si>
    <t>2559</t>
  </si>
  <si>
    <t>2519</t>
  </si>
  <si>
    <t>2605</t>
  </si>
  <si>
    <t>2311</t>
  </si>
  <si>
    <t>LUIZ APARECIDO CARUSO NETO - P</t>
  </si>
  <si>
    <t>-19,99</t>
  </si>
  <si>
    <t>SIMONE HIPOLITO DA SILVA - Pix</t>
  </si>
  <si>
    <t>2277</t>
  </si>
  <si>
    <t>42,04</t>
  </si>
  <si>
    <t>2289</t>
  </si>
  <si>
    <t>POSTO DE SERVICO PARANA LTDA -</t>
  </si>
  <si>
    <t xml:space="preserve">Lucas dos Santos Duarte - Pix </t>
  </si>
  <si>
    <t>2611</t>
  </si>
  <si>
    <t>22/01/2026</t>
  </si>
  <si>
    <t>2373</t>
  </si>
  <si>
    <t>2343</t>
  </si>
  <si>
    <t>1.608,95</t>
  </si>
  <si>
    <t>171,35</t>
  </si>
  <si>
    <t>172,53</t>
  </si>
  <si>
    <t>2636</t>
  </si>
  <si>
    <t>363,14</t>
  </si>
  <si>
    <t>110,87</t>
  </si>
  <si>
    <t>HERMELINDA COSTA SARAIVA - Tra</t>
  </si>
  <si>
    <t>2629</t>
  </si>
  <si>
    <t>GUILHERME LUGON SILLES SODRE -</t>
  </si>
  <si>
    <t>2318</t>
  </si>
  <si>
    <t>2541</t>
  </si>
  <si>
    <t>2346</t>
  </si>
  <si>
    <t>FELIPE ZAZIRSKAS DA CRUZ - Pix</t>
  </si>
  <si>
    <t>43,08</t>
  </si>
  <si>
    <t>834,45</t>
  </si>
  <si>
    <t>82,14</t>
  </si>
  <si>
    <t>28,24</t>
  </si>
  <si>
    <t>2480</t>
  </si>
  <si>
    <t>2575</t>
  </si>
  <si>
    <t>174,96</t>
  </si>
  <si>
    <t>2375</t>
  </si>
  <si>
    <t>16/01/2026</t>
  </si>
  <si>
    <t>2624</t>
  </si>
  <si>
    <t>2579</t>
  </si>
  <si>
    <t xml:space="preserve">ELIZE KEREN ANDRADE PEDROSA - </t>
  </si>
  <si>
    <t>2503</t>
  </si>
  <si>
    <t>QUEILA COSTA VILELA DOURADO SA</t>
  </si>
  <si>
    <t>64,70</t>
  </si>
  <si>
    <t>2651</t>
  </si>
  <si>
    <t>MARCOS ROBERTO MAINARDES - Pix</t>
  </si>
  <si>
    <t>2548</t>
  </si>
  <si>
    <t>MARIA EUNICE BARROS DE SOUZA -</t>
  </si>
  <si>
    <t>2273</t>
  </si>
  <si>
    <t>KENIA SILVA - TransferÃªncia |</t>
  </si>
  <si>
    <t>5.508,00</t>
  </si>
  <si>
    <t>31424</t>
  </si>
  <si>
    <t>Presbiterio Vale Do Sao Mateus</t>
  </si>
  <si>
    <t>51,30</t>
  </si>
  <si>
    <t>14/01/2026</t>
  </si>
  <si>
    <t>2525</t>
  </si>
  <si>
    <t>2546</t>
  </si>
  <si>
    <t>855,25</t>
  </si>
  <si>
    <t>Movimentação</t>
  </si>
  <si>
    <t>Saldo antes</t>
  </si>
  <si>
    <t>Saldo depois</t>
  </si>
  <si>
    <t>Tarifa</t>
  </si>
  <si>
    <t>Nosso Número</t>
  </si>
  <si>
    <t>Situação</t>
  </si>
  <si>
    <t>Destino</t>
  </si>
  <si>
    <t>Destino Documento</t>
  </si>
  <si>
    <t>Destino Instituição</t>
  </si>
  <si>
    <t>Destino Agência</t>
  </si>
  <si>
    <t>Destino Conta</t>
  </si>
  <si>
    <t>Origem Documento</t>
  </si>
  <si>
    <t>Origem Instituição</t>
  </si>
  <si>
    <t>Origem Agência</t>
  </si>
  <si>
    <t>Origem Conta</t>
  </si>
  <si>
    <t>Crédito</t>
  </si>
  <si>
    <t>Transferência entre contas Stone</t>
  </si>
  <si>
    <t>R$ 6.080,02</t>
  </si>
  <si>
    <t>R$ 6.114,96</t>
  </si>
  <si>
    <t>R$ 0,00</t>
  </si>
  <si>
    <t>31/01/2026 23:21</t>
  </si>
  <si>
    <t>Recebida</t>
  </si>
  <si>
    <t>Editora Heziom</t>
  </si>
  <si>
    <t>40.804.477/0001-44</t>
  </si>
  <si>
    <t>Stone Instituição de Pagamento S.A.</t>
  </si>
  <si>
    <t>0001</t>
  </si>
  <si>
    <t>890291-8</t>
  </si>
  <si>
    <t>Stone Principal</t>
  </si>
  <si>
    <t>16.501.555/0001-57</t>
  </si>
  <si>
    <t>STONE INSTITUIÇÃO DE PAGAMENTO S.A.</t>
  </si>
  <si>
    <t>30772-8</t>
  </si>
  <si>
    <t>R$ 5.988,16</t>
  </si>
  <si>
    <t>R$ 5.952,48</t>
  </si>
  <si>
    <t>31/01/2026 21:14</t>
  </si>
  <si>
    <t>R$ 5.942,04</t>
  </si>
  <si>
    <t>R$ 5.900,00</t>
  </si>
  <si>
    <t>31/01/2026 19:23</t>
  </si>
  <si>
    <t>R$ 5.793,98</t>
  </si>
  <si>
    <t>R$ 5.704,02</t>
  </si>
  <si>
    <t>R$ 5.468,69</t>
  </si>
  <si>
    <t>R$ 5.447,23</t>
  </si>
  <si>
    <t>R$ 5.436,46</t>
  </si>
  <si>
    <t>31/01/2026 17:19</t>
  </si>
  <si>
    <t>Pix</t>
  </si>
  <si>
    <t>R$ 3.936,46</t>
  </si>
  <si>
    <t>31/01/2026 09:04</t>
  </si>
  <si>
    <t>Recebido</t>
  </si>
  <si>
    <t>PEDRO ARTHUR FREITAS DIAS</t>
  </si>
  <si>
    <t>***.136.753-**</t>
  </si>
  <si>
    <t>CAIXA ECONOMICA FEDERAL</t>
  </si>
  <si>
    <t>Desconhecido</t>
  </si>
  <si>
    <t>Débito</t>
  </si>
  <si>
    <t>R$ 4.136,50</t>
  </si>
  <si>
    <t>30/01/2026 20:49</t>
  </si>
  <si>
    <t>Enviado</t>
  </si>
  <si>
    <t>34.583.771/0001-70</t>
  </si>
  <si>
    <t>ITAÚ UNIBANCO S.A.</t>
  </si>
  <si>
    <t>R$ 4.072,72</t>
  </si>
  <si>
    <t>30/01/2026 15:57</t>
  </si>
  <si>
    <t>MARILIA DE JESUS MARCAL</t>
  </si>
  <si>
    <t>***.715.528-**</t>
  </si>
  <si>
    <t>Banco do Brasil S.A.</t>
  </si>
  <si>
    <t>Recebível de Cartão</t>
  </si>
  <si>
    <t>R$ 4.014,03</t>
  </si>
  <si>
    <t>30/01/2026 08:20</t>
  </si>
  <si>
    <t>FINISHED</t>
  </si>
  <si>
    <t>R$ 3.853,03</t>
  </si>
  <si>
    <t>30/01/2026 08:03</t>
  </si>
  <si>
    <t>R$ 3.467,39</t>
  </si>
  <si>
    <t>30/01/2026 03:25</t>
  </si>
  <si>
    <t>R$ 3.303,76</t>
  </si>
  <si>
    <t>R$ 2.919,55</t>
  </si>
  <si>
    <t>29/01/2026 23:08</t>
  </si>
  <si>
    <t>R$ 2.536,38</t>
  </si>
  <si>
    <t>R$ 2.370,80</t>
  </si>
  <si>
    <t>Transação</t>
  </si>
  <si>
    <t>149,90</t>
  </si>
  <si>
    <t>R$ 2.221,64</t>
  </si>
  <si>
    <t>R$ 0,74</t>
  </si>
  <si>
    <t>29/01/2026 22:43</t>
  </si>
  <si>
    <t>SUZANA ENITA GOMES</t>
  </si>
  <si>
    <t>***.683.308-**</t>
  </si>
  <si>
    <t>59,90</t>
  </si>
  <si>
    <t>R$ 2.162,03</t>
  </si>
  <si>
    <t>R$ 0,29</t>
  </si>
  <si>
    <t>29/01/2026 22:28</t>
  </si>
  <si>
    <t>andrea silva correa</t>
  </si>
  <si>
    <t>***.832.228-**</t>
  </si>
  <si>
    <t>PAGSEGURO INTERNET INSTITUIÇÃO DE PAGAMENTO S.A.</t>
  </si>
  <si>
    <t>29,90</t>
  </si>
  <si>
    <t>R$ 2.132,27</t>
  </si>
  <si>
    <t>R$ 0,14</t>
  </si>
  <si>
    <t>29/01/2026 22:25</t>
  </si>
  <si>
    <t>LIDIA MARIA ROCHA 30934386838</t>
  </si>
  <si>
    <t>27.591.431/0001-26</t>
  </si>
  <si>
    <t>NU PAGAMENTOS S.A. - INSTITUIÇÃO DE PAGAMENTO</t>
  </si>
  <si>
    <t>R$ 2.072,66</t>
  </si>
  <si>
    <t>29/01/2026 22:20</t>
  </si>
  <si>
    <t>Rogerio Moacir da Costa</t>
  </si>
  <si>
    <t>***.460.358-**</t>
  </si>
  <si>
    <t>51,90</t>
  </si>
  <si>
    <t>R$ 2.021,01</t>
  </si>
  <si>
    <t>R$ 0,25</t>
  </si>
  <si>
    <t>Eny Maia Araújo</t>
  </si>
  <si>
    <t>***.914.318-**</t>
  </si>
  <si>
    <t>R$ 1.991,25</t>
  </si>
  <si>
    <t>29/01/2026 22:03</t>
  </si>
  <si>
    <t>GUILHERME LUGON SILLES SODRE</t>
  </si>
  <si>
    <t>***.438.008-**</t>
  </si>
  <si>
    <t>81,80</t>
  </si>
  <si>
    <t>R$ 1.909,85</t>
  </si>
  <si>
    <t>R$ 0,40</t>
  </si>
  <si>
    <t>29/01/2026 21:46</t>
  </si>
  <si>
    <t>Anselmo Vasconcelos Vieira</t>
  </si>
  <si>
    <t>***.787.948-**</t>
  </si>
  <si>
    <t>R$ 1.858,20</t>
  </si>
  <si>
    <t>29/01/2026 20:02</t>
  </si>
  <si>
    <t>ANNA LAURA MENDES SPADACCINI</t>
  </si>
  <si>
    <t>***.510.798-**</t>
  </si>
  <si>
    <t>BANCO SANTANDER (BRASIL) S.A.</t>
  </si>
  <si>
    <t>R$ 1.847,43</t>
  </si>
  <si>
    <t>29/01/2026 19:34</t>
  </si>
  <si>
    <t>R$ 19.847,43</t>
  </si>
  <si>
    <t>29/01/2026 18:39</t>
  </si>
  <si>
    <t>ASSOCIACAO EDITORA PRESBITERIANA DE PINHEIROS</t>
  </si>
  <si>
    <t>R$ 19.743,08</t>
  </si>
  <si>
    <t>29/01/2026 13:09</t>
  </si>
  <si>
    <t>R$ 19.475,00</t>
  </si>
  <si>
    <t>29/01/2026 12:52</t>
  </si>
  <si>
    <t>PRIMEIRA IGREJA BATISTA EM P. ESPERANCA</t>
  </si>
  <si>
    <t>28.460.541/0001-11</t>
  </si>
  <si>
    <t>Banco Bradesco S.A.</t>
  </si>
  <si>
    <t>R$ 19.404,98</t>
  </si>
  <si>
    <t>29/01/2026 11:41</t>
  </si>
  <si>
    <t>VANUSA BARBOSA SILVA</t>
  </si>
  <si>
    <t>***.185.744-**</t>
  </si>
  <si>
    <t>Banco Inter S.A.</t>
  </si>
  <si>
    <t>10,95</t>
  </si>
  <si>
    <t>R$ 19.394,08</t>
  </si>
  <si>
    <t>R$ 0,05</t>
  </si>
  <si>
    <t>29/01/2026 09:13</t>
  </si>
  <si>
    <t>SAMUEL ROCHA LOPES</t>
  </si>
  <si>
    <t>***.967.605-**</t>
  </si>
  <si>
    <t>R$ 18.658,28</t>
  </si>
  <si>
    <t>28/01/2026 23:03</t>
  </si>
  <si>
    <t>R$ 18.439,13</t>
  </si>
  <si>
    <t>R$ 18.124,61</t>
  </si>
  <si>
    <t>R$ 18.055,76</t>
  </si>
  <si>
    <t>114,80</t>
  </si>
  <si>
    <t>R$ 17.941,53</t>
  </si>
  <si>
    <t>R$ 0,57</t>
  </si>
  <si>
    <t>28/01/2026 21:47</t>
  </si>
  <si>
    <t>JEOSAFA SANTOS MARTINS</t>
  </si>
  <si>
    <t>***.197.488-**</t>
  </si>
  <si>
    <t>R$ 17.107,08</t>
  </si>
  <si>
    <t>28/01/2026 21:05</t>
  </si>
  <si>
    <t>R$ 16.853,62</t>
  </si>
  <si>
    <t>R$ 16.744,45</t>
  </si>
  <si>
    <t>R$ 16.734,01</t>
  </si>
  <si>
    <t>R$ 15.510,90</t>
  </si>
  <si>
    <t>28/01/2026 19:31</t>
  </si>
  <si>
    <t>R$ 13.754,82</t>
  </si>
  <si>
    <t>28/01/2026 18:00</t>
  </si>
  <si>
    <t>LILIANA LOBACK</t>
  </si>
  <si>
    <t>***.467.448-**</t>
  </si>
  <si>
    <t>Banco C6 S.A.</t>
  </si>
  <si>
    <t>R$ 5.261,10</t>
  </si>
  <si>
    <t>28/01/2026 17:55</t>
  </si>
  <si>
    <t>Maria Gilvanete de Assis Alencar</t>
  </si>
  <si>
    <t>***.858.814-**</t>
  </si>
  <si>
    <t>R$ 5.191,39</t>
  </si>
  <si>
    <t>28/01/2026 17:25</t>
  </si>
  <si>
    <t>R$ 3.261,25</t>
  </si>
  <si>
    <t>28/01/2026 16:55</t>
  </si>
  <si>
    <t>Elba Miranda</t>
  </si>
  <si>
    <t>***.155.913-**</t>
  </si>
  <si>
    <t>R$ 3.111,88</t>
  </si>
  <si>
    <t>28/01/2026 13:28</t>
  </si>
  <si>
    <t>R$ 3.101,11</t>
  </si>
  <si>
    <t>R$ 3.190,61</t>
  </si>
  <si>
    <t>28/01/2026 11:53</t>
  </si>
  <si>
    <t>NOVA MM MATERIAIS DE CONSTRUCAO LTDA</t>
  </si>
  <si>
    <t>55.191.216/0001-73</t>
  </si>
  <si>
    <t>R$ 58.190,61</t>
  </si>
  <si>
    <t>28/01/2026 10:47</t>
  </si>
  <si>
    <t>R$ 58.412,45</t>
  </si>
  <si>
    <t>28/01/2026 10:22</t>
  </si>
  <si>
    <t>POSTO DE SERVICO PARANA LTDA</t>
  </si>
  <si>
    <t>60.835.634/0001-96</t>
  </si>
  <si>
    <t>FITBANK INSTITUIÇÃO DE PAGAMENTO S.A.</t>
  </si>
  <si>
    <t>R$ 55.239,83</t>
  </si>
  <si>
    <t>28/01/2026 10:00</t>
  </si>
  <si>
    <t>27.567.395/0001-65</t>
  </si>
  <si>
    <t>COOPERATIVA DE CRÉDITO, POUPANÇA E INVESTIMENTO ESSÊNCIA RS/ES - SICREDI ESSÊNCIA</t>
  </si>
  <si>
    <t>R$ 55.144,61</t>
  </si>
  <si>
    <t>27/01/2026 21:24</t>
  </si>
  <si>
    <t>R$ 54.957,29</t>
  </si>
  <si>
    <t>27/01/2026 19:23</t>
  </si>
  <si>
    <t>R$ 54.296,98</t>
  </si>
  <si>
    <t>R$ 54.064,52</t>
  </si>
  <si>
    <t>R$ 42.683,52</t>
  </si>
  <si>
    <t>27/01/2026 18:47</t>
  </si>
  <si>
    <t>FERNANDA AMARAL SILVA VIEIRA</t>
  </si>
  <si>
    <t>***.223.936-**</t>
  </si>
  <si>
    <t>R$ 42.672,75</t>
  </si>
  <si>
    <t>27/01/2026 17:10</t>
  </si>
  <si>
    <t>R$ 42.327,34</t>
  </si>
  <si>
    <t>54,25</t>
  </si>
  <si>
    <t>R$ 42.273,36</t>
  </si>
  <si>
    <t>R$ 0,27</t>
  </si>
  <si>
    <t>27/01/2026 15:23</t>
  </si>
  <si>
    <t>TATHIELLY JUSCELINA SANTOS</t>
  </si>
  <si>
    <t>***.246.108-**</t>
  </si>
  <si>
    <t>R$ 42.121,99</t>
  </si>
  <si>
    <t>27/01/2026 15:20</t>
  </si>
  <si>
    <t>R$ 42.066,18</t>
  </si>
  <si>
    <t>R$ 41.967,18</t>
  </si>
  <si>
    <t>27/01/2026 14:20</t>
  </si>
  <si>
    <t>ELIANA BADARO SOCIE</t>
  </si>
  <si>
    <t>51.328.239/0001-26</t>
  </si>
  <si>
    <t>R$ 41.792,22</t>
  </si>
  <si>
    <t>27/01/2026 13:08</t>
  </si>
  <si>
    <t>R$ 41.532,06</t>
  </si>
  <si>
    <t>27/01/2026 13:07</t>
  </si>
  <si>
    <t>R$ 34.632,06</t>
  </si>
  <si>
    <t>27/01/2026 08:45</t>
  </si>
  <si>
    <t>Ara Goncalves Bilharinho</t>
  </si>
  <si>
    <t>***.573.998-**</t>
  </si>
  <si>
    <t>R$ 33.227,16</t>
  </si>
  <si>
    <t>26/01/2026 23:06</t>
  </si>
  <si>
    <t>R$ 32.964,71</t>
  </si>
  <si>
    <t>R$ 32.800,98</t>
  </si>
  <si>
    <t>R$ 32.741,04</t>
  </si>
  <si>
    <t>147,80</t>
  </si>
  <si>
    <t>R$ 32.593,97</t>
  </si>
  <si>
    <t>R$ 0,73</t>
  </si>
  <si>
    <t>26/01/2026 21:32</t>
  </si>
  <si>
    <t>VERONICA DE BRITO SANTOS</t>
  </si>
  <si>
    <t>***.902.376-**</t>
  </si>
  <si>
    <t>54,90</t>
  </si>
  <si>
    <t>R$ 32.539,34</t>
  </si>
  <si>
    <t>26/01/2026 21:31</t>
  </si>
  <si>
    <t>AUGUSTO FERIANI SANTANA</t>
  </si>
  <si>
    <t>***.901.958-**</t>
  </si>
  <si>
    <t>30,00</t>
  </si>
  <si>
    <t>R$ 32.509,49</t>
  </si>
  <si>
    <t>R$ 0,15</t>
  </si>
  <si>
    <t>26/01/2026 21:27</t>
  </si>
  <si>
    <t>ELIZE KEREN ANDRADE PEDROSA</t>
  </si>
  <si>
    <t>***.549.218-**</t>
  </si>
  <si>
    <t>R$ 32.232,22</t>
  </si>
  <si>
    <t>26/01/2026 21:15</t>
  </si>
  <si>
    <t>R$ 32.065,08</t>
  </si>
  <si>
    <t>R$ 32.022,00</t>
  </si>
  <si>
    <t>R$ 32.003,81</t>
  </si>
  <si>
    <t>R$ 31.636,49</t>
  </si>
  <si>
    <t>R$ 31.620,57</t>
  </si>
  <si>
    <t>R$ 31.609,67</t>
  </si>
  <si>
    <t>26/01/2026 21:07</t>
  </si>
  <si>
    <t>AGAIN CORRETORA DE SEGUROS</t>
  </si>
  <si>
    <t>52.696.463/0001-33</t>
  </si>
  <si>
    <t>224,83</t>
  </si>
  <si>
    <t>R$ 31.385,96</t>
  </si>
  <si>
    <t>R$ 1,12</t>
  </si>
  <si>
    <t>26/01/2026 20:15</t>
  </si>
  <si>
    <t>F B GAMA DA COSTA C VEST E ACES LTDA</t>
  </si>
  <si>
    <t>63.197.335/0001-61</t>
  </si>
  <si>
    <t>R$ 31.331,33</t>
  </si>
  <si>
    <t>26/01/2026 19:46</t>
  </si>
  <si>
    <t>48.851.583 EVELYNE MIRELY ANDRADE DE LIMA</t>
  </si>
  <si>
    <t>48.851.583/0001-90</t>
  </si>
  <si>
    <t>R$ 31.271,72</t>
  </si>
  <si>
    <t>26/01/2026 19:29</t>
  </si>
  <si>
    <t>MIX DESIGN GRAFICA E IMPRESSAO DIGITAL LTDA</t>
  </si>
  <si>
    <t>19.385.132/0001-07</t>
  </si>
  <si>
    <t>19,95</t>
  </si>
  <si>
    <t>R$ 31.251,86</t>
  </si>
  <si>
    <t>R$ 0,09</t>
  </si>
  <si>
    <t>26/01/2026 14:22</t>
  </si>
  <si>
    <t>Bruno Magno de Oliveira</t>
  </si>
  <si>
    <t>***.527.198-**</t>
  </si>
  <si>
    <t>MERCADO PAGO INSTITUIÇÃO DE PAGAMENTO LTDA.</t>
  </si>
  <si>
    <t>R$ 32.251,86</t>
  </si>
  <si>
    <t>26/01/2026 13:19</t>
  </si>
  <si>
    <t>YAPAY PAGAMENTOS ONLINE S/A</t>
  </si>
  <si>
    <t>14.338.304/0001-78</t>
  </si>
  <si>
    <t>R$ 31.912,29</t>
  </si>
  <si>
    <t>25/01/2026 23:24</t>
  </si>
  <si>
    <t>R$ 30.797,52</t>
  </si>
  <si>
    <t>R$ 30.491,70</t>
  </si>
  <si>
    <t>R$ 30.480,97</t>
  </si>
  <si>
    <t>R$ 29.664,28</t>
  </si>
  <si>
    <t>R$ 29.579,37</t>
  </si>
  <si>
    <t>139,93</t>
  </si>
  <si>
    <t>R$ 29.440,13</t>
  </si>
  <si>
    <t>R$ 0,69</t>
  </si>
  <si>
    <t>25/01/2026 21:42</t>
  </si>
  <si>
    <t>MARIANA PETTY SAMSON</t>
  </si>
  <si>
    <t>***.717.818-**</t>
  </si>
  <si>
    <t>R$ 29.100,57</t>
  </si>
  <si>
    <t>25/01/2026 21:22</t>
  </si>
  <si>
    <t>R$ 28.913,93</t>
  </si>
  <si>
    <t>R$ 28.892,47</t>
  </si>
  <si>
    <t>R$ 28.610,77</t>
  </si>
  <si>
    <t>R$ 28.310,70</t>
  </si>
  <si>
    <t>40,00</t>
  </si>
  <si>
    <t>R$ 28.270,90</t>
  </si>
  <si>
    <t>R$ 0,20</t>
  </si>
  <si>
    <t>25/01/2026 21:01</t>
  </si>
  <si>
    <t>Raquel Letícia Vargas Rodrigues</t>
  </si>
  <si>
    <t>***.423.757-**</t>
  </si>
  <si>
    <t>75,00</t>
  </si>
  <si>
    <t>R$ 28.196,27</t>
  </si>
  <si>
    <t>R$ 0,37</t>
  </si>
  <si>
    <t>25/01/2026 20:42</t>
  </si>
  <si>
    <t>JULIANA FONG DE OLIVEIRA ZEQUIM</t>
  </si>
  <si>
    <t>***.185.004-**</t>
  </si>
  <si>
    <t>43,80</t>
  </si>
  <si>
    <t>R$ 28.152,68</t>
  </si>
  <si>
    <t>R$ 0,21</t>
  </si>
  <si>
    <t>25/01/2026 20:41</t>
  </si>
  <si>
    <t>MARCOS ROBERTO MAINARDES</t>
  </si>
  <si>
    <t>***.623.059-**</t>
  </si>
  <si>
    <t>197,78</t>
  </si>
  <si>
    <t>R$ 27.955,88</t>
  </si>
  <si>
    <t>R$ 0,98</t>
  </si>
  <si>
    <t>25/01/2026 20:39</t>
  </si>
  <si>
    <t>RENATO CESAR ALVES DA SILVA</t>
  </si>
  <si>
    <t>***.936.496-**</t>
  </si>
  <si>
    <t>90,00</t>
  </si>
  <si>
    <t>R$ 27.866,33</t>
  </si>
  <si>
    <t>R$ 0,45</t>
  </si>
  <si>
    <t>25/01/2026 20:36</t>
  </si>
  <si>
    <t>13.409.984 ALESSANDRO PAVAO</t>
  </si>
  <si>
    <t>13.409.984/0001-00</t>
  </si>
  <si>
    <t>181,70</t>
  </si>
  <si>
    <t>R$ 27.685,53</t>
  </si>
  <si>
    <t>R$ 0,90</t>
  </si>
  <si>
    <t>Everton Gabriel Amorim Monte</t>
  </si>
  <si>
    <t>***.299.544-**</t>
  </si>
  <si>
    <t>240,00</t>
  </si>
  <si>
    <t>R$ 27.446,73</t>
  </si>
  <si>
    <t>R$ 1,20</t>
  </si>
  <si>
    <t>25/01/2026 20:34</t>
  </si>
  <si>
    <t>ALESSANDRO DOS SANTOS MARTINS</t>
  </si>
  <si>
    <t>***.885.147-**</t>
  </si>
  <si>
    <t>50,00</t>
  </si>
  <si>
    <t>R$ 27.396,98</t>
  </si>
  <si>
    <t>ELIAS BARROS LICIDONIO</t>
  </si>
  <si>
    <t>***.571.350-**</t>
  </si>
  <si>
    <t>21,90</t>
  </si>
  <si>
    <t>R$ 27.375,18</t>
  </si>
  <si>
    <t>R$ 0,10</t>
  </si>
  <si>
    <t>25/01/2026 20:30</t>
  </si>
  <si>
    <t>LUCIANO APARECIDO RUAS DOS SANTOS 29935396800</t>
  </si>
  <si>
    <t>16.945.189/0001-25</t>
  </si>
  <si>
    <t>125,00</t>
  </si>
  <si>
    <t>R$ 27.250,80</t>
  </si>
  <si>
    <t>R$ 0,62</t>
  </si>
  <si>
    <t>Gabriel de Lima Belli</t>
  </si>
  <si>
    <t>***.506.428-**</t>
  </si>
  <si>
    <t>48,00</t>
  </si>
  <si>
    <t>R$ 27.203,04</t>
  </si>
  <si>
    <t>R$ 0,24</t>
  </si>
  <si>
    <t>25/01/2026 20:10</t>
  </si>
  <si>
    <t>Reginaldo Pereira de Matos</t>
  </si>
  <si>
    <t>***.574.358-**</t>
  </si>
  <si>
    <t>154,90</t>
  </si>
  <si>
    <t>R$ 27.048,91</t>
  </si>
  <si>
    <t>R$ 0,77</t>
  </si>
  <si>
    <t>25/01/2026 20:09</t>
  </si>
  <si>
    <t>R$ 26.644,97</t>
  </si>
  <si>
    <t>25/01/2026 19:21</t>
  </si>
  <si>
    <t>R$ 26.473,62</t>
  </si>
  <si>
    <t>R$ 26.197,03</t>
  </si>
  <si>
    <t>R$ 26.168,79</t>
  </si>
  <si>
    <t>R$ 25.920,36</t>
  </si>
  <si>
    <t>109,90</t>
  </si>
  <si>
    <t>R$ 25.811,00</t>
  </si>
  <si>
    <t>R$ 0,54</t>
  </si>
  <si>
    <t>25/01/2026 18:53</t>
  </si>
  <si>
    <t>87,60</t>
  </si>
  <si>
    <t>R$ 25.723,83</t>
  </si>
  <si>
    <t>R$ 0,43</t>
  </si>
  <si>
    <t>25/01/2026 18:52</t>
  </si>
  <si>
    <t>80,00</t>
  </si>
  <si>
    <t>R$ 25.644,23</t>
  </si>
  <si>
    <t>25/01/2026 18:22</t>
  </si>
  <si>
    <t>Francimarlen Almeida Alves</t>
  </si>
  <si>
    <t>***.654.378-**</t>
  </si>
  <si>
    <t>R$ 23.520,37</t>
  </si>
  <si>
    <t>25/01/2026 15:03</t>
  </si>
  <si>
    <t>R$ 23.278,41</t>
  </si>
  <si>
    <t>R$ 23.082,65</t>
  </si>
  <si>
    <t>R$ 22.728,96</t>
  </si>
  <si>
    <t>R$ 20.261,04</t>
  </si>
  <si>
    <t>R$ 19.859,51</t>
  </si>
  <si>
    <t>R$ 19.631,46</t>
  </si>
  <si>
    <t>25/01/2026 13:27</t>
  </si>
  <si>
    <t>R$ 18.688,16</t>
  </si>
  <si>
    <t>R$ 18.577,59</t>
  </si>
  <si>
    <t>R$ 18.420,67</t>
  </si>
  <si>
    <t>R$ 17.719,97</t>
  </si>
  <si>
    <t>140,00</t>
  </si>
  <si>
    <t>R$ 17.580,67</t>
  </si>
  <si>
    <t>R$ 0,70</t>
  </si>
  <si>
    <t>25/01/2026 12:33</t>
  </si>
  <si>
    <t>EGKCOM RECURSOS HUMANOS</t>
  </si>
  <si>
    <t>59.372.274/0001-54</t>
  </si>
  <si>
    <t>CORA SOCIEDADE DE CRÉDITO, FINANCIAMENTO E INVESTIMENTO S.A.</t>
  </si>
  <si>
    <t>95,85</t>
  </si>
  <si>
    <t>R$ 17.485,29</t>
  </si>
  <si>
    <t>R$ 0,47</t>
  </si>
  <si>
    <t>25/01/2026 12:32</t>
  </si>
  <si>
    <t>AURENICE DA SILVA AMORIM ARAUJO</t>
  </si>
  <si>
    <t>***.171.864-**</t>
  </si>
  <si>
    <t>89,80</t>
  </si>
  <si>
    <t>R$ 17.395,93</t>
  </si>
  <si>
    <t>R$ 0,44</t>
  </si>
  <si>
    <t>25/01/2026 12:31</t>
  </si>
  <si>
    <t>THIAGO MACHADO DE ALMEIDA</t>
  </si>
  <si>
    <t>***.592.818-**</t>
  </si>
  <si>
    <t>150,00</t>
  </si>
  <si>
    <t>R$ 17.246,68</t>
  </si>
  <si>
    <t>R$ 0,75</t>
  </si>
  <si>
    <t>25/01/2026 12:30</t>
  </si>
  <si>
    <t>NILDA COSTA RIBEIRO</t>
  </si>
  <si>
    <t>***.520.782-**</t>
  </si>
  <si>
    <t>227,70</t>
  </si>
  <si>
    <t>R$ 17.020,11</t>
  </si>
  <si>
    <t>R$ 1,13</t>
  </si>
  <si>
    <t>25/01/2026 12:28</t>
  </si>
  <si>
    <t>MAURICIO ROBERTO DA SILVA</t>
  </si>
  <si>
    <t>***.057.518-**</t>
  </si>
  <si>
    <t>16,95</t>
  </si>
  <si>
    <t>R$ 17.003,24</t>
  </si>
  <si>
    <t>R$ 0,08</t>
  </si>
  <si>
    <t>25/01/2026 12:24</t>
  </si>
  <si>
    <t>Renata Rabelo Mendes</t>
  </si>
  <si>
    <t>***.108.726-**</t>
  </si>
  <si>
    <t>119,90</t>
  </si>
  <si>
    <t>R$ 16.883,93</t>
  </si>
  <si>
    <t>R$ 0,59</t>
  </si>
  <si>
    <t>25/01/2026 12:21</t>
  </si>
  <si>
    <t>ANDRE LOPES DO NASCIMENTO</t>
  </si>
  <si>
    <t>***.495.218-**</t>
  </si>
  <si>
    <t>R$ 16.794,38</t>
  </si>
  <si>
    <t>25/01/2026 12:19</t>
  </si>
  <si>
    <t>Keilla Alice Andrade de Oliveira</t>
  </si>
  <si>
    <t>***.806.251-**</t>
  </si>
  <si>
    <t>R$ 16.744,63</t>
  </si>
  <si>
    <t>25/01/2026 12:18</t>
  </si>
  <si>
    <t>AMANDA B Q AGRELA BORGES</t>
  </si>
  <si>
    <t>***.001.295-**</t>
  </si>
  <si>
    <t>400,00</t>
  </si>
  <si>
    <t>R$ 16.346,63</t>
  </si>
  <si>
    <t>R$ 2,00</t>
  </si>
  <si>
    <t>25/01/2026 12:17</t>
  </si>
  <si>
    <t>EDUARDA APARECIDA GONCALVES DE ARRUDA</t>
  </si>
  <si>
    <t>***.775.448-**</t>
  </si>
  <si>
    <t>R$ 16.335,73</t>
  </si>
  <si>
    <t>25/01/2026 12:16</t>
  </si>
  <si>
    <t>ALTO REINO MM LTDA</t>
  </si>
  <si>
    <t>46.629.570/0001-46</t>
  </si>
  <si>
    <t>95,92</t>
  </si>
  <si>
    <t>R$ 16.240,28</t>
  </si>
  <si>
    <t>25/01/2026 12:14</t>
  </si>
  <si>
    <t>R$ 15.316,59</t>
  </si>
  <si>
    <t>25/01/2026 11:18</t>
  </si>
  <si>
    <t>R$ 15.233,55</t>
  </si>
  <si>
    <t>R$ 13.624,60</t>
  </si>
  <si>
    <t>R$ 12.966,18</t>
  </si>
  <si>
    <t>R$ 10.542,48</t>
  </si>
  <si>
    <t>25/01/2026 11:17</t>
  </si>
  <si>
    <t>R$ 10.512,72</t>
  </si>
  <si>
    <t>25/01/2026 10:54</t>
  </si>
  <si>
    <t>Ivete Andrade Cardoso</t>
  </si>
  <si>
    <t>***.387.368-**</t>
  </si>
  <si>
    <t>176,85</t>
  </si>
  <si>
    <t>R$ 10.336,75</t>
  </si>
  <si>
    <t>R$ 0,88</t>
  </si>
  <si>
    <t>JOSE FERNANDO FRANCISCO</t>
  </si>
  <si>
    <t>***.733.068-**</t>
  </si>
  <si>
    <t>R$ 10.319,88</t>
  </si>
  <si>
    <t>25/01/2026 10:47</t>
  </si>
  <si>
    <t>49.579.694 DEBORA OWSIANY ROCHA FRAGOSO CARVALHO</t>
  </si>
  <si>
    <t>49.579.694/0001-52</t>
  </si>
  <si>
    <t>178,30</t>
  </si>
  <si>
    <t>R$ 10.142,47</t>
  </si>
  <si>
    <t>R$ 0,89</t>
  </si>
  <si>
    <t>25/01/2026 10:35</t>
  </si>
  <si>
    <t>ELIO OLIVEIRA COSTA</t>
  </si>
  <si>
    <t>***.179.705-**</t>
  </si>
  <si>
    <t>42,42</t>
  </si>
  <si>
    <t>R$ 10.100,26</t>
  </si>
  <si>
    <t>25/01/2026 10:32</t>
  </si>
  <si>
    <t>JOAO V C CARNEIRO</t>
  </si>
  <si>
    <t>***.230.251-**</t>
  </si>
  <si>
    <t>349,90</t>
  </si>
  <si>
    <t>R$ 9.752,10</t>
  </si>
  <si>
    <t>R$ 1,74</t>
  </si>
  <si>
    <t>25/01/2026 10:02</t>
  </si>
  <si>
    <t>***.725.428-**</t>
  </si>
  <si>
    <t>R$ 9.741,20</t>
  </si>
  <si>
    <t>25/01/2026 09:31</t>
  </si>
  <si>
    <t>Valdomiro Gonçalves Soares</t>
  </si>
  <si>
    <t>***.788.948-**</t>
  </si>
  <si>
    <t>R$ 9.730,30</t>
  </si>
  <si>
    <t>25/01/2026 09:25</t>
  </si>
  <si>
    <t>ROSANA RAMOS</t>
  </si>
  <si>
    <t>***.347.208-**</t>
  </si>
  <si>
    <t>154,54</t>
  </si>
  <si>
    <t>R$ 9.576,53</t>
  </si>
  <si>
    <t>25/01/2026 09:24</t>
  </si>
  <si>
    <t>THIAGO VIANA CARRARO</t>
  </si>
  <si>
    <t>***.298.018-**</t>
  </si>
  <si>
    <t>109,50</t>
  </si>
  <si>
    <t>R$ 9.467,57</t>
  </si>
  <si>
    <t>25/01/2026 09:21</t>
  </si>
  <si>
    <t>MAURICIO AUGUSTO MATHIAS</t>
  </si>
  <si>
    <t>***.747.568-**</t>
  </si>
  <si>
    <t>R$ 9.415,92</t>
  </si>
  <si>
    <t>25/01/2026 09:20</t>
  </si>
  <si>
    <t>ADRIANA SANTOS DE SOUZA</t>
  </si>
  <si>
    <t>***.330.568-**</t>
  </si>
  <si>
    <t>R$ 9.358,74</t>
  </si>
  <si>
    <t>25/01/2026 09:15</t>
  </si>
  <si>
    <t>R$ 9.348,30</t>
  </si>
  <si>
    <t>R$ 9.132,13</t>
  </si>
  <si>
    <t>R$ 9.044,35</t>
  </si>
  <si>
    <t>23/01/2026 19:00</t>
  </si>
  <si>
    <t>R$ 8.982,74</t>
  </si>
  <si>
    <t>23/01/2026 17:49</t>
  </si>
  <si>
    <t>GILSON DA SILVA DELSECHI</t>
  </si>
  <si>
    <t>***.797.217-**</t>
  </si>
  <si>
    <t>R$ 8.962,03</t>
  </si>
  <si>
    <t>23/01/2026 17:00</t>
  </si>
  <si>
    <t>Pagamento de recarga</t>
  </si>
  <si>
    <t>R$ 8.982,03</t>
  </si>
  <si>
    <t>23/01/2026 13:35</t>
  </si>
  <si>
    <t>Pago</t>
  </si>
  <si>
    <t>(11) 96605-1660 | Claro</t>
  </si>
  <si>
    <t>13.935.893/0001-09</t>
  </si>
  <si>
    <t>R$ 8.612,03</t>
  </si>
  <si>
    <t>23/01/2026 12:03</t>
  </si>
  <si>
    <t>AURELIO ALMEIDA BORGES</t>
  </si>
  <si>
    <t>***.745.871-**</t>
  </si>
  <si>
    <t>R$ 8.632,02</t>
  </si>
  <si>
    <t>23/01/2026 11:33</t>
  </si>
  <si>
    <t>Pagar Me Instituicao De Pagamento S/a</t>
  </si>
  <si>
    <t>18.727.053/0001-74</t>
  </si>
  <si>
    <t>R$ 8.268,88</t>
  </si>
  <si>
    <t>22/01/2026 19:30</t>
  </si>
  <si>
    <t>R$ 8.154,62</t>
  </si>
  <si>
    <t>22/01/2026 15:30</t>
  </si>
  <si>
    <t>R$ 2.192,65</t>
  </si>
  <si>
    <t>22/01/2026 15:15</t>
  </si>
  <si>
    <t>ALUILDES D S B MATOS</t>
  </si>
  <si>
    <t>***.405.201-**</t>
  </si>
  <si>
    <t>R$ 2.181,75</t>
  </si>
  <si>
    <t>22/01/2026 13:05</t>
  </si>
  <si>
    <t>***.306.618-**</t>
  </si>
  <si>
    <t>RECARGAPAY INSTITUICAO DE PAGAMENTO LTDA.</t>
  </si>
  <si>
    <t>R$ 1.953,22</t>
  </si>
  <si>
    <t>21/01/2026 21:11</t>
  </si>
  <si>
    <t>R$ 1.901,29</t>
  </si>
  <si>
    <t>21/01/2026 19:30</t>
  </si>
  <si>
    <t>R$ 1.766,39</t>
  </si>
  <si>
    <t>21/01/2026 19:01</t>
  </si>
  <si>
    <t>Marcelo Andrade Junior</t>
  </si>
  <si>
    <t>***.616.088-**</t>
  </si>
  <si>
    <t>R$ 1.914,47</t>
  </si>
  <si>
    <t>21/01/2026 17:30</t>
  </si>
  <si>
    <t>R$ 1.758,47</t>
  </si>
  <si>
    <t>21/01/2026 15:31</t>
  </si>
  <si>
    <t>R$ 1.545,27</t>
  </si>
  <si>
    <t>21/01/2026 09:37</t>
  </si>
  <si>
    <t>MARIA EUNICE BARROS DE SOUZA</t>
  </si>
  <si>
    <t>***.036.678-**</t>
  </si>
  <si>
    <t>R$ 1.147,06</t>
  </si>
  <si>
    <t>20/01/2026 16:09</t>
  </si>
  <si>
    <t>IGREJA PRESBITERIANA DE CAMBE</t>
  </si>
  <si>
    <t>78.030.442/0001-78</t>
  </si>
  <si>
    <t>COOPERATIVA DE CRÉDITO SICOOB OURO VERDE</t>
  </si>
  <si>
    <t>R$ 920,00</t>
  </si>
  <si>
    <t>20/01/2026 11:43</t>
  </si>
  <si>
    <t>SUELLEN VALVERDE SILVA</t>
  </si>
  <si>
    <t>***.563.526-**</t>
  </si>
  <si>
    <t>20/01/2026 07:35</t>
  </si>
  <si>
    <t>QUEILA COSTA VILELA DOURADO SAMPAIO</t>
  </si>
  <si>
    <t>***.203.135-**</t>
  </si>
  <si>
    <t>R$ 46.202,09</t>
  </si>
  <si>
    <t>19/01/2026 14:25</t>
  </si>
  <si>
    <t>R$ 27.202,09</t>
  </si>
  <si>
    <t>19/01/2026 14:24</t>
  </si>
  <si>
    <t>R$ 25.089,51</t>
  </si>
  <si>
    <t>R$ 17.016,84</t>
  </si>
  <si>
    <t>19/01/2026 12:03</t>
  </si>
  <si>
    <t>PRISCILLA HOSPODARSKY DOS SANTOS DO NASCIMENTO</t>
  </si>
  <si>
    <t>***.684.628-**</t>
  </si>
  <si>
    <t>R$ 16.947,84</t>
  </si>
  <si>
    <t>19/01/2026 10:42</t>
  </si>
  <si>
    <t>Rebeca de Jesus Monteiro</t>
  </si>
  <si>
    <t>***.635.158-**</t>
  </si>
  <si>
    <t>R$ 16.636,56</t>
  </si>
  <si>
    <t>18/01/2026 23:30</t>
  </si>
  <si>
    <t>R$ 16.362,05</t>
  </si>
  <si>
    <t>R$ 16.072,81</t>
  </si>
  <si>
    <t>R$ 15.963,76</t>
  </si>
  <si>
    <t>R$ 15.728,69</t>
  </si>
  <si>
    <t>18/01/2026 21:30</t>
  </si>
  <si>
    <t>R$ 15.295,34</t>
  </si>
  <si>
    <t>R$ 14.792,34</t>
  </si>
  <si>
    <t>R$ 14.697,90</t>
  </si>
  <si>
    <t>R$ 14.366,06</t>
  </si>
  <si>
    <t>69,90</t>
  </si>
  <si>
    <t>R$ 14.296,50</t>
  </si>
  <si>
    <t>R$ 0,34</t>
  </si>
  <si>
    <t>18/01/2026 20:16</t>
  </si>
  <si>
    <t>MAURO MARQUES DA SILVA</t>
  </si>
  <si>
    <t>***.532.318-**</t>
  </si>
  <si>
    <t>R$ 14.236,89</t>
  </si>
  <si>
    <t>18/01/2026 20:15</t>
  </si>
  <si>
    <t>TANIA DA SILVA ALEXANDRE</t>
  </si>
  <si>
    <t>***.217.154-**</t>
  </si>
  <si>
    <t>30,73</t>
  </si>
  <si>
    <t>R$ 14.206,31</t>
  </si>
  <si>
    <t>BIGAIR T SILVA CARVALHO</t>
  </si>
  <si>
    <t>***.850.492-**</t>
  </si>
  <si>
    <t>R$ 14.065,49</t>
  </si>
  <si>
    <t>18/01/2026 19:28</t>
  </si>
  <si>
    <t>R$ 13.926,19</t>
  </si>
  <si>
    <t>18/01/2026 18:54</t>
  </si>
  <si>
    <t>ESTHER EMERIQUE DOS SANTOS</t>
  </si>
  <si>
    <t>***.510.632-**</t>
  </si>
  <si>
    <t>388,91</t>
  </si>
  <si>
    <t>R$ 13.539,22</t>
  </si>
  <si>
    <t>R$ 1,94</t>
  </si>
  <si>
    <t>18/01/2026 16:41</t>
  </si>
  <si>
    <t>LUIZ APARECIDO CARUSO NETO</t>
  </si>
  <si>
    <t>***.667.778-**</t>
  </si>
  <si>
    <t>R$ 13.447,90</t>
  </si>
  <si>
    <t>18/01/2026 15:36</t>
  </si>
  <si>
    <t>R$ 13.305,85</t>
  </si>
  <si>
    <t>R$ 13.197,62</t>
  </si>
  <si>
    <t>R$ 12.621,14</t>
  </si>
  <si>
    <t>R$ 12.441,94</t>
  </si>
  <si>
    <t>R$ 12.235,79</t>
  </si>
  <si>
    <t>R$ 10.430,32</t>
  </si>
  <si>
    <t>18/01/2026 13:31</t>
  </si>
  <si>
    <t>R$ 10.050,09</t>
  </si>
  <si>
    <t>R$ 9.970,49</t>
  </si>
  <si>
    <t>R$ 9.941,82</t>
  </si>
  <si>
    <t>R$ 9.899,90</t>
  </si>
  <si>
    <t>R$ 9.567,86</t>
  </si>
  <si>
    <t>R$ 9.516,21</t>
  </si>
  <si>
    <t>18/01/2026 12:34</t>
  </si>
  <si>
    <t>CRISTIAN ANTONIO DO COUTO</t>
  </si>
  <si>
    <t>***.497.958-**</t>
  </si>
  <si>
    <t>R$ 9.152,94</t>
  </si>
  <si>
    <t>18/01/2026 11:21</t>
  </si>
  <si>
    <t>R$ 9.101,64</t>
  </si>
  <si>
    <t>R$ 8.474,99</t>
  </si>
  <si>
    <t>R$ 7.893,54</t>
  </si>
  <si>
    <t>37,40</t>
  </si>
  <si>
    <t>R$ 7.856,32</t>
  </si>
  <si>
    <t>R$ 0,18</t>
  </si>
  <si>
    <t>18/01/2026 10:45</t>
  </si>
  <si>
    <t>MATHEUS BARROS LETO</t>
  </si>
  <si>
    <t>***.856.195-**</t>
  </si>
  <si>
    <t>219,80</t>
  </si>
  <si>
    <t>R$ 7.637,61</t>
  </si>
  <si>
    <t>R$ 1,09</t>
  </si>
  <si>
    <t>18/01/2026 10:44</t>
  </si>
  <si>
    <t>Viviane Nery Lacerda</t>
  </si>
  <si>
    <t>***.013.388-**</t>
  </si>
  <si>
    <t>67,92</t>
  </si>
  <si>
    <t>R$ 7.570,02</t>
  </si>
  <si>
    <t>R$ 0,33</t>
  </si>
  <si>
    <t>18/01/2026 09:36</t>
  </si>
  <si>
    <t>LILIANA SIMAO DA SILVA BABA</t>
  </si>
  <si>
    <t>***.262.968-**</t>
  </si>
  <si>
    <t>9,90</t>
  </si>
  <si>
    <t>R$ 7.560,16</t>
  </si>
  <si>
    <t>R$ 0,04</t>
  </si>
  <si>
    <t>18/01/2026 09:27</t>
  </si>
  <si>
    <t>SIMONE HIPOLITO DA SILVA</t>
  </si>
  <si>
    <t>***.001.758-**</t>
  </si>
  <si>
    <t>R$ 7.500,55</t>
  </si>
  <si>
    <t>18/01/2026 09:20</t>
  </si>
  <si>
    <t>ALINE LAERT KARSOKAS</t>
  </si>
  <si>
    <t>***.931.258-**</t>
  </si>
  <si>
    <t>PICPAY INSTITUIçãO DE PAGAMENTO S.A.</t>
  </si>
  <si>
    <t>R$ 7.431,57</t>
  </si>
  <si>
    <t>16/01/2026 18:38</t>
  </si>
  <si>
    <t>R$ 7.383,20</t>
  </si>
  <si>
    <t>16/01/2026 18:37</t>
  </si>
  <si>
    <t>R$ 7.245,99</t>
  </si>
  <si>
    <t>16/01/2026 17:08</t>
  </si>
  <si>
    <t>Wallace Pedro Albuquerque Silva</t>
  </si>
  <si>
    <t>***.131.904-**</t>
  </si>
  <si>
    <t>R$ 7.000,67</t>
  </si>
  <si>
    <t>16/01/2026 11:15</t>
  </si>
  <si>
    <t>JORGE ALVES DE SOUZA</t>
  </si>
  <si>
    <t>***.120.148-**</t>
  </si>
  <si>
    <t>R$ 6.901,14</t>
  </si>
  <si>
    <t>16/01/2026 04:24</t>
  </si>
  <si>
    <t>R$ 6.802,29</t>
  </si>
  <si>
    <t>15/01/2026 17:24</t>
  </si>
  <si>
    <t>R$ 6.716,17</t>
  </si>
  <si>
    <t>R$ 6.666,27</t>
  </si>
  <si>
    <t>15/01/2026 17:01</t>
  </si>
  <si>
    <t>João Vitor de Castro Carneiro</t>
  </si>
  <si>
    <t>R$ 5.010,80</t>
  </si>
  <si>
    <t>15/01/2026 15:01</t>
  </si>
  <si>
    <t>PRIMEIRA IGREJA BATISTA DA LAGOINHA EM SANTOS</t>
  </si>
  <si>
    <t>38.029.306/0001-43</t>
  </si>
  <si>
    <t>R$ 4.784,30</t>
  </si>
  <si>
    <t>15/01/2026 13:31</t>
  </si>
  <si>
    <t>R$ 4.568,89</t>
  </si>
  <si>
    <t>R$ 4.468,99</t>
  </si>
  <si>
    <t>15/01/2026 12:27</t>
  </si>
  <si>
    <t>ANA KAROLINA LOPES PAZINI</t>
  </si>
  <si>
    <t>***.115.661-**</t>
  </si>
  <si>
    <t>72,90</t>
  </si>
  <si>
    <t>R$ 4.396,45</t>
  </si>
  <si>
    <t>R$ 0,36</t>
  </si>
  <si>
    <t>15/01/2026 10:33</t>
  </si>
  <si>
    <t>PATRICIA NEVES COSTA DA SILVA</t>
  </si>
  <si>
    <t>***.519.688-**</t>
  </si>
  <si>
    <t>R$ 4.328,45</t>
  </si>
  <si>
    <t>14/01/2026 21:01</t>
  </si>
  <si>
    <t>Maria Esmeralda de Oliveira Souza</t>
  </si>
  <si>
    <t>***.824.613-**</t>
  </si>
  <si>
    <t>R$ 4.248,72</t>
  </si>
  <si>
    <t>14/01/2026 19:24</t>
  </si>
  <si>
    <t>R$ 4.129,42</t>
  </si>
  <si>
    <t>14/01/2026 17:27</t>
  </si>
  <si>
    <t>R$ 3.936,69</t>
  </si>
  <si>
    <t>R$ 2.557,47</t>
  </si>
  <si>
    <t>14/01/2026 16:12</t>
  </si>
  <si>
    <t>FABIANA DE ALMEIDA MUNIZ HENRIQUE</t>
  </si>
  <si>
    <t>***.221.608-**</t>
  </si>
  <si>
    <t>R$ 52.557,47</t>
  </si>
  <si>
    <t>14/01/2026 13:22</t>
  </si>
  <si>
    <t>R$ 53.057,47</t>
  </si>
  <si>
    <t>14/01/2026 13:21</t>
  </si>
  <si>
    <t>LALAMOVE TECNOLOGIA (BRASIL) LTDA.</t>
  </si>
  <si>
    <t>34.538.625/0001-23</t>
  </si>
  <si>
    <t>R$ 52.946,60</t>
  </si>
  <si>
    <t>14/01/2026 13:10</t>
  </si>
  <si>
    <t>R$ 52.334,60</t>
  </si>
  <si>
    <t>14/01/2026 09:30</t>
  </si>
  <si>
    <t>R$ 50.349,27</t>
  </si>
  <si>
    <t>14/01/2026 07:37</t>
  </si>
  <si>
    <t>R$ 47.349,27</t>
  </si>
  <si>
    <t>14/01/2026 07:09</t>
  </si>
  <si>
    <t>DAVID NIAN DOURADO SAMPAIO</t>
  </si>
  <si>
    <t>***.977.804-**</t>
  </si>
  <si>
    <t>R$ 44.349,27</t>
  </si>
  <si>
    <t>13/01/2026 18:29</t>
  </si>
  <si>
    <t>R$ 44.319,76</t>
  </si>
  <si>
    <t>13/01/2026 15:22</t>
  </si>
  <si>
    <t>R$ 43.505,76</t>
  </si>
  <si>
    <t>13/01/2026 15:10</t>
  </si>
  <si>
    <t>R$ 37.997,76</t>
  </si>
  <si>
    <t>13/01/2026 14:01</t>
  </si>
  <si>
    <t>R$ 37.655,40</t>
  </si>
  <si>
    <t>12/01/2026 19:24</t>
  </si>
  <si>
    <t>R$ 34.770,40</t>
  </si>
  <si>
    <t>12/01/2026 16:51</t>
  </si>
  <si>
    <t>DEBORA TORRES DE OLIVEIRA KEMPA</t>
  </si>
  <si>
    <t>***.366.731-**</t>
  </si>
  <si>
    <t>R$ 31.142,04</t>
  </si>
  <si>
    <t>12/01/2026 14:04</t>
  </si>
  <si>
    <t>Rosana Moretes Silvestre</t>
  </si>
  <si>
    <t>***.356.231-**</t>
  </si>
  <si>
    <t>R$ 27.142,04</t>
  </si>
  <si>
    <t>12/01/2026 12:48</t>
  </si>
  <si>
    <t>R$ 26.912,22</t>
  </si>
  <si>
    <t>12/01/2026 11:01</t>
  </si>
  <si>
    <t>R$ 26.355,42</t>
  </si>
  <si>
    <t>11/01/2026 23:24</t>
  </si>
  <si>
    <t>R$ 26.098,96</t>
  </si>
  <si>
    <t>R$ 25.786,89</t>
  </si>
  <si>
    <t>R$ 25.704,75</t>
  </si>
  <si>
    <t>R$ 25.438,68</t>
  </si>
  <si>
    <t>R$ 25.193,73</t>
  </si>
  <si>
    <t>11/01/2026 21:23</t>
  </si>
  <si>
    <t>R$ 25.017,92</t>
  </si>
  <si>
    <t>R$ 24.966,81</t>
  </si>
  <si>
    <t>R$ 24.787,20</t>
  </si>
  <si>
    <t>11/01/2026 21:22</t>
  </si>
  <si>
    <t>R$ 23.646,78</t>
  </si>
  <si>
    <t>167,80</t>
  </si>
  <si>
    <t>R$ 23.479,81</t>
  </si>
  <si>
    <t>R$ 0,83</t>
  </si>
  <si>
    <t>11/01/2026 21:04</t>
  </si>
  <si>
    <t>ALINE FONSECA DE SOUZA REIS</t>
  </si>
  <si>
    <t>***.738.681-**</t>
  </si>
  <si>
    <t>71,91</t>
  </si>
  <si>
    <t>R$ 23.408,25</t>
  </si>
  <si>
    <t>R$ 0,35</t>
  </si>
  <si>
    <t>11/01/2026 20:40</t>
  </si>
  <si>
    <t>WENDEL ANDRE RODRIGUES VALENTIM</t>
  </si>
  <si>
    <t>***.884.758-**</t>
  </si>
  <si>
    <t>20,32</t>
  </si>
  <si>
    <t>R$ 23.388,03</t>
  </si>
  <si>
    <t>EMERSON ANDRADE DE SIQUEIRA</t>
  </si>
  <si>
    <t>***.438.704-**</t>
  </si>
  <si>
    <t>Banco XP S.A.</t>
  </si>
  <si>
    <t>R$ 23.336,38</t>
  </si>
  <si>
    <t>11/01/2026 20:29</t>
  </si>
  <si>
    <t>ELIZABETE DO NASCIMENTO</t>
  </si>
  <si>
    <t>***.816.048-**</t>
  </si>
  <si>
    <t>R$ 23.286,66</t>
  </si>
  <si>
    <t>11/01/2026 19:22</t>
  </si>
  <si>
    <t>R$ 22.328,14</t>
  </si>
  <si>
    <t>469,70</t>
  </si>
  <si>
    <t>R$ 21.860,78</t>
  </si>
  <si>
    <t>R$ 2,34</t>
  </si>
  <si>
    <t>11/01/2026 18:55</t>
  </si>
  <si>
    <t>FELIPE ZAZIRSKAS DA CRUZ</t>
  </si>
  <si>
    <t>***.306.848-**</t>
  </si>
  <si>
    <t>271,92</t>
  </si>
  <si>
    <t>R$ 21.590,21</t>
  </si>
  <si>
    <t>R$ 1,35</t>
  </si>
  <si>
    <t>11/01/2026 18:37</t>
  </si>
  <si>
    <t>VICTOR AMORA DIAS</t>
  </si>
  <si>
    <t>***.309.351-**</t>
  </si>
  <si>
    <t>R$ 21.549,96</t>
  </si>
  <si>
    <t>11/01/2026 15:36</t>
  </si>
  <si>
    <t>R$ 20.657,28</t>
  </si>
  <si>
    <t>R$ 19.996,90</t>
  </si>
  <si>
    <t>R$ 19.890,63</t>
  </si>
  <si>
    <t>R$ 19.383,92</t>
  </si>
  <si>
    <t>R$ 19.332,56</t>
  </si>
  <si>
    <t>R$ 17.332,56</t>
  </si>
  <si>
    <t>11/01/2026 15:12</t>
  </si>
  <si>
    <t>***.943.911-**</t>
  </si>
  <si>
    <t>R$ 16.477,31</t>
  </si>
  <si>
    <t>11/01/2026 13:32</t>
  </si>
  <si>
    <t>R$ 16.426,01</t>
  </si>
  <si>
    <t>R$ 14.219,48</t>
  </si>
  <si>
    <t>R$ 14.154,78</t>
  </si>
  <si>
    <t>R$ 14.035,47</t>
  </si>
  <si>
    <t>11/01/2026 12:30</t>
  </si>
  <si>
    <t>SARA BARBOSA PELICHO DE CARVALHO</t>
  </si>
  <si>
    <t>***.111.981-**</t>
  </si>
  <si>
    <t>177,70</t>
  </si>
  <si>
    <t>R$ 13.858,65</t>
  </si>
  <si>
    <t>***.288.348-**</t>
  </si>
  <si>
    <t>53,90</t>
  </si>
  <si>
    <t>R$ 13.805,01</t>
  </si>
  <si>
    <t>R$ 0,26</t>
  </si>
  <si>
    <t>11/01/2026 12:27</t>
  </si>
  <si>
    <t>***.049.788-**</t>
  </si>
  <si>
    <t>R$ 13.755,35</t>
  </si>
  <si>
    <t>11/01/2026 12:18</t>
  </si>
  <si>
    <t>Thamyres Christine de Andrade Soares</t>
  </si>
  <si>
    <t>***.149.278-**</t>
  </si>
  <si>
    <t>33,90</t>
  </si>
  <si>
    <t>R$ 13.721,61</t>
  </si>
  <si>
    <t>R$ 0,16</t>
  </si>
  <si>
    <t>11/01/2026 12:17</t>
  </si>
  <si>
    <t>R$ 13.684,39</t>
  </si>
  <si>
    <t>11/01/2026 12:14</t>
  </si>
  <si>
    <t>MARIANA ARIOZO FALEIROS</t>
  </si>
  <si>
    <t>***.127.518-**</t>
  </si>
  <si>
    <t>R$ 13.110,90</t>
  </si>
  <si>
    <t>11/01/2026 11:27</t>
  </si>
  <si>
    <t>R$ 12.606,85</t>
  </si>
  <si>
    <t>R$ 12.525,36</t>
  </si>
  <si>
    <t>R$ 12.357,51</t>
  </si>
  <si>
    <t>R$ 12.166,35</t>
  </si>
  <si>
    <t>155,90</t>
  </si>
  <si>
    <t>R$ 12.011,22</t>
  </si>
  <si>
    <t>11/01/2026 10:56</t>
  </si>
  <si>
    <t>REBECA NEGRAO C B BOAVENTURA</t>
  </si>
  <si>
    <t>***.474.323-**</t>
  </si>
  <si>
    <t>76,41</t>
  </si>
  <si>
    <t>R$ 11.935,19</t>
  </si>
  <si>
    <t>R$ 0,38</t>
  </si>
  <si>
    <t>11/01/2026 10:35</t>
  </si>
  <si>
    <t>PATRICIA OTTAIANO</t>
  </si>
  <si>
    <t>***.389.598-**</t>
  </si>
  <si>
    <t>45,82</t>
  </si>
  <si>
    <t>R$ 11.889,59</t>
  </si>
  <si>
    <t>R$ 0,22</t>
  </si>
  <si>
    <t>ANA CAROLINA SILVA</t>
  </si>
  <si>
    <t>***.009.366-**</t>
  </si>
  <si>
    <t>84,92</t>
  </si>
  <si>
    <t>R$ 11.805,09</t>
  </si>
  <si>
    <t>R$ 0,42</t>
  </si>
  <si>
    <t>11/01/2026 09:16</t>
  </si>
  <si>
    <t>MARILIA MELO DAMASCENO</t>
  </si>
  <si>
    <t>***.396.188-**</t>
  </si>
  <si>
    <t>249,80</t>
  </si>
  <si>
    <t>R$ 11.556,53</t>
  </si>
  <si>
    <t>R$ 1,24</t>
  </si>
  <si>
    <t>11/01/2026 09:07</t>
  </si>
  <si>
    <t>Carmen Maria Vargas Ferreira</t>
  </si>
  <si>
    <t>***.088.188-**</t>
  </si>
  <si>
    <t>Banco BTG Pactual S.A.</t>
  </si>
  <si>
    <t>R$ 11.504,53</t>
  </si>
  <si>
    <t>10/01/2026 13:29</t>
  </si>
  <si>
    <t>ALESSANDRA BORGES GONZ LOPES</t>
  </si>
  <si>
    <t>***.874.178-**</t>
  </si>
  <si>
    <t>R$ 9.504,53</t>
  </si>
  <si>
    <t>10/01/2026 10:00</t>
  </si>
  <si>
    <t>R$ 8.108,11</t>
  </si>
  <si>
    <t>10/01/2026 09:57</t>
  </si>
  <si>
    <t>R$ 4.817,61</t>
  </si>
  <si>
    <t>10/01/2026 09:48</t>
  </si>
  <si>
    <t>JEANNY DE OLIVEIRA PEREIRA</t>
  </si>
  <si>
    <t>***.647.171-**</t>
  </si>
  <si>
    <t>R$ 9.817,61</t>
  </si>
  <si>
    <t>09/01/2026 15:21</t>
  </si>
  <si>
    <t>FACEBOOK SERVICOS ONLINE DO BRASIL LTDA</t>
  </si>
  <si>
    <t>13.347.016/0001-17</t>
  </si>
  <si>
    <t>DLOCAL BRASIL INSTITUIÇÃO DE PAGAMENTO S.A.</t>
  </si>
  <si>
    <t>R$ 5.817,61</t>
  </si>
  <si>
    <t>09/01/2026 14:45</t>
  </si>
  <si>
    <t>R$ 5.767,71</t>
  </si>
  <si>
    <t>08/01/2026 18:41</t>
  </si>
  <si>
    <t>TAINAH FERNANDA DOS SANTOS CARVALHO</t>
  </si>
  <si>
    <t>***.702.021-**</t>
  </si>
  <si>
    <t>R$ 4.826,71</t>
  </si>
  <si>
    <t>08/01/2026 18:35</t>
  </si>
  <si>
    <t>R$ 4.763,44</t>
  </si>
  <si>
    <t>08/01/2026 17:40</t>
  </si>
  <si>
    <t>ELZA DE FATIMA SILVA</t>
  </si>
  <si>
    <t>***.468.856-**</t>
  </si>
  <si>
    <t>R$ 4.721,24</t>
  </si>
  <si>
    <t>08/01/2026 10:02</t>
  </si>
  <si>
    <t>R$ 4.715,97</t>
  </si>
  <si>
    <t>07/01/2026 20:30</t>
  </si>
  <si>
    <t>KENIA SILVA</t>
  </si>
  <si>
    <t>282..-996</t>
  </si>
  <si>
    <t>R$ 4.705,43</t>
  </si>
  <si>
    <t>07/01/2026 15:49</t>
  </si>
  <si>
    <t>DENILSON DE MORAIS CASTRO</t>
  </si>
  <si>
    <t>***.739.736-**</t>
  </si>
  <si>
    <t>R$ 4.694,73</t>
  </si>
  <si>
    <t>07/01/2026 13:58</t>
  </si>
  <si>
    <t>Janaína Cardoso Gonçalves Palma</t>
  </si>
  <si>
    <t>***.888.326-**</t>
  </si>
  <si>
    <t>R$ 4.644,09</t>
  </si>
  <si>
    <t>07/01/2026 12:50</t>
  </si>
  <si>
    <t>HERMELINDA COSTA SARAIVA</t>
  </si>
  <si>
    <t>***.814.391-**</t>
  </si>
  <si>
    <t>R$ 4.572,35</t>
  </si>
  <si>
    <t>07/01/2026 12:12</t>
  </si>
  <si>
    <t>Débora Vanessa Mariano</t>
  </si>
  <si>
    <t>***.978.996-**</t>
  </si>
  <si>
    <t>R$ 4.534,37</t>
  </si>
  <si>
    <t>07/01/2026 12:07</t>
  </si>
  <si>
    <t>Maria Cristina Soares Dias Ribeiro</t>
  </si>
  <si>
    <t>***.651.541-**</t>
  </si>
  <si>
    <t>R$ 4.466,85</t>
  </si>
  <si>
    <t>07/01/2026 11:53</t>
  </si>
  <si>
    <t>GLAUCIA STELA DE CASTRO ROCHA</t>
  </si>
  <si>
    <t>***.560.561-**</t>
  </si>
  <si>
    <t>R$ 4.361,35</t>
  </si>
  <si>
    <t>07/01/2026 10:38</t>
  </si>
  <si>
    <t>IANNA ROSA LUCAS TORRES</t>
  </si>
  <si>
    <t>***.299.321-**</t>
  </si>
  <si>
    <t>R$ 29.361,35</t>
  </si>
  <si>
    <t>07/01/2026 10:23</t>
  </si>
  <si>
    <t>R$ 27.123,81</t>
  </si>
  <si>
    <t>07/01/2026 10:22</t>
  </si>
  <si>
    <t>ANA MARIA ARRUDA OLIVEIRA</t>
  </si>
  <si>
    <t>***.166.331-**</t>
  </si>
  <si>
    <t>R$ 23.504,26</t>
  </si>
  <si>
    <t>06/01/2026 18:18</t>
  </si>
  <si>
    <t>Maria Emília de Almeida</t>
  </si>
  <si>
    <t>***.844.101-**</t>
  </si>
  <si>
    <t>R$ 16.821,72</t>
  </si>
  <si>
    <t>06/01/2026 16:00</t>
  </si>
  <si>
    <t>JOSE GONCALVES OLIVEIRA</t>
  </si>
  <si>
    <t>630..-011</t>
  </si>
  <si>
    <t>R$ 15.444,02</t>
  </si>
  <si>
    <t>06/01/2026 12:38</t>
  </si>
  <si>
    <t>R$ 5.556,10</t>
  </si>
  <si>
    <t>06/01/2026 11:56</t>
  </si>
  <si>
    <t>NEUSA FERNANDA BERNARDO ROSA</t>
  </si>
  <si>
    <t>***.386.349-**</t>
  </si>
  <si>
    <t>R$ 5.383,57</t>
  </si>
  <si>
    <t>06/01/2026 11:49</t>
  </si>
  <si>
    <t>PATRICIA REGINA BARRETO LEITE</t>
  </si>
  <si>
    <t>***.822.733-**</t>
  </si>
  <si>
    <t>R$ 5.148,60</t>
  </si>
  <si>
    <t>05/01/2026 19:23</t>
  </si>
  <si>
    <t>R$ 5.121,09</t>
  </si>
  <si>
    <t>R$ 5.040,89</t>
  </si>
  <si>
    <t>05/01/2026 17:09</t>
  </si>
  <si>
    <t>41,93</t>
  </si>
  <si>
    <t>R$ 4.999,16</t>
  </si>
  <si>
    <t>05/01/2026 16:35</t>
  </si>
  <si>
    <t>DIEGO M GALHARDO</t>
  </si>
  <si>
    <t>***.818.118-**</t>
  </si>
  <si>
    <t>R$ 4.912,74</t>
  </si>
  <si>
    <t>05/01/2026 15:56</t>
  </si>
  <si>
    <t>IGREJA P NACIONAL</t>
  </si>
  <si>
    <t>00.096.388/0001-76</t>
  </si>
  <si>
    <t>R$ 3.954,34</t>
  </si>
  <si>
    <t>05/01/2026 15:49</t>
  </si>
  <si>
    <t>R$ 31.954,34</t>
  </si>
  <si>
    <t>05/01/2026 15:44</t>
  </si>
  <si>
    <t>R$ 32.004,34</t>
  </si>
  <si>
    <t>05/01/2026 15:43</t>
  </si>
  <si>
    <t>Rafael Pereira Barbosa</t>
  </si>
  <si>
    <t>***.248.848-**</t>
  </si>
  <si>
    <t>R$ 31.465,24</t>
  </si>
  <si>
    <t>R$ 31.569,64</t>
  </si>
  <si>
    <t>05/01/2026 15:42</t>
  </si>
  <si>
    <t>ANA MARIA NEVES SAC ZECHMANN</t>
  </si>
  <si>
    <t>***.943.138-**</t>
  </si>
  <si>
    <t>R$ 30.850,84</t>
  </si>
  <si>
    <t>05/01/2026 15:26</t>
  </si>
  <si>
    <t>R$ 30.801,46</t>
  </si>
  <si>
    <t>05/01/2026 15:18</t>
  </si>
  <si>
    <t>R$ 30.740,41</t>
  </si>
  <si>
    <t>05/01/2026 14:44</t>
  </si>
  <si>
    <t>JOCELI CARVALHO A FERREIRA</t>
  </si>
  <si>
    <t>***.341.778-**</t>
  </si>
  <si>
    <t>R$ 29.240,41</t>
  </si>
  <si>
    <t>05/01/2026 13:53</t>
  </si>
  <si>
    <t>R$ 28.821,11</t>
  </si>
  <si>
    <t>05/01/2026 13:09</t>
  </si>
  <si>
    <t>Glaucilene Campos Figueredo</t>
  </si>
  <si>
    <t>***.406.691-**</t>
  </si>
  <si>
    <t>R$ 27.323,61</t>
  </si>
  <si>
    <t>05/01/2026 13:00</t>
  </si>
  <si>
    <t>R$ 26.305,31</t>
  </si>
  <si>
    <t>05/01/2026 12:13</t>
  </si>
  <si>
    <t>R$ 26.254,20</t>
  </si>
  <si>
    <t>04/01/2026 23:11</t>
  </si>
  <si>
    <t>R$ 25.249,83</t>
  </si>
  <si>
    <t>R$ 25.051,34</t>
  </si>
  <si>
    <t>R$ 24.710,98</t>
  </si>
  <si>
    <t>R$ 23.999,68</t>
  </si>
  <si>
    <t>R$ 23.913,17</t>
  </si>
  <si>
    <t>04/01/2026 21:11</t>
  </si>
  <si>
    <t>R$ 23.675,40</t>
  </si>
  <si>
    <t>R$ 23.319,94</t>
  </si>
  <si>
    <t>R$ 22.758,24</t>
  </si>
  <si>
    <t>R$ 22.505,92</t>
  </si>
  <si>
    <t>R$ 22.476,38</t>
  </si>
  <si>
    <t>89,53</t>
  </si>
  <si>
    <t>R$ 22.387,29</t>
  </si>
  <si>
    <t>04/01/2026 21:03</t>
  </si>
  <si>
    <t>JULIANA MARCELY S SALES GUIDO</t>
  </si>
  <si>
    <t>***.755.138-**</t>
  </si>
  <si>
    <t>R$ 22.335,64</t>
  </si>
  <si>
    <t>04/01/2026 20:57</t>
  </si>
  <si>
    <t>André Luiz Gomes</t>
  </si>
  <si>
    <t>***.695.548-**</t>
  </si>
  <si>
    <t>20,70</t>
  </si>
  <si>
    <t>R$ 22.315,04</t>
  </si>
  <si>
    <t>04/01/2026 20:50</t>
  </si>
  <si>
    <t>GIOVANNA LOUISE C ARCHANJO</t>
  </si>
  <si>
    <t>***.561.128-**</t>
  </si>
  <si>
    <t>68,90</t>
  </si>
  <si>
    <t>R$ 22.246,48</t>
  </si>
  <si>
    <t>04/01/2026 20:48</t>
  </si>
  <si>
    <t>Lucas dos Santos Duarte</t>
  </si>
  <si>
    <t>***.941.728-**</t>
  </si>
  <si>
    <t>R$ 22.147,07</t>
  </si>
  <si>
    <t>R$ 0,49</t>
  </si>
  <si>
    <t>04/01/2026 20:45</t>
  </si>
  <si>
    <t>THIAGO LOTTERMAN</t>
  </si>
  <si>
    <t>***.795.459-**</t>
  </si>
  <si>
    <t>R$ 22.073,25</t>
  </si>
  <si>
    <t>04/01/2026 19:10</t>
  </si>
  <si>
    <t>R$ 21.907,87</t>
  </si>
  <si>
    <t>R$ 21.632,58</t>
  </si>
  <si>
    <t>R$ 21.373,89</t>
  </si>
  <si>
    <t>R$ 20.834,41</t>
  </si>
  <si>
    <t>15,90</t>
  </si>
  <si>
    <t>R$ 20.818,58</t>
  </si>
  <si>
    <t>R$ 0,07</t>
  </si>
  <si>
    <t>04/01/2026 18:45</t>
  </si>
  <si>
    <t>YURI MICAEL SOUZA C AIRES VELOSO</t>
  </si>
  <si>
    <t>***.907.625-**</t>
  </si>
  <si>
    <t>191,50</t>
  </si>
  <si>
    <t>R$ 20.628,03</t>
  </si>
  <si>
    <t>R$ 0,95</t>
  </si>
  <si>
    <t>04/01/2026 18:43</t>
  </si>
  <si>
    <t>59,42</t>
  </si>
  <si>
    <t>R$ 20.568,90</t>
  </si>
  <si>
    <t>04/01/2026 18:32</t>
  </si>
  <si>
    <t>ELYZABETH DE FATIMA DOS SANTOS LETO</t>
  </si>
  <si>
    <t>***.586.212-**</t>
  </si>
  <si>
    <t>R$ 20.436,54</t>
  </si>
  <si>
    <t>04/01/2026 17:14</t>
  </si>
  <si>
    <t>R$ 20.384,89</t>
  </si>
  <si>
    <t>04/01/2026 16:44</t>
  </si>
  <si>
    <t>FRANKLIN ACIOLI</t>
  </si>
  <si>
    <t>***.782.718-**</t>
  </si>
  <si>
    <t>R$ 20.246,17</t>
  </si>
  <si>
    <t>04/01/2026 15:15</t>
  </si>
  <si>
    <t>R$ 20.172,36</t>
  </si>
  <si>
    <t>R$ 19.219,37</t>
  </si>
  <si>
    <t>R$ 18.794,09</t>
  </si>
  <si>
    <t>R$ 16.795,56</t>
  </si>
  <si>
    <t>R$ 16.534,99</t>
  </si>
  <si>
    <t>R$ 14.936,56</t>
  </si>
  <si>
    <t>04/01/2026 13:11</t>
  </si>
  <si>
    <t>R$ 14.787,95</t>
  </si>
  <si>
    <t>R$ 14.279,82</t>
  </si>
  <si>
    <t>R$ 14.145,54</t>
  </si>
  <si>
    <t>R$ 13.577,89</t>
  </si>
  <si>
    <t>16,90</t>
  </si>
  <si>
    <t>R$ 13.561,07</t>
  </si>
  <si>
    <t>04/01/2026 12:37</t>
  </si>
  <si>
    <t>JEIMISAN RELRI DE OLIVEIRA ALVES</t>
  </si>
  <si>
    <t>***.086.818-**</t>
  </si>
  <si>
    <t>R$ 13.481,47</t>
  </si>
  <si>
    <t>04/01/2026 12:30</t>
  </si>
  <si>
    <t>MARIA CELIA DA SILVA RODRIGUES DE OLIVEIRA</t>
  </si>
  <si>
    <t>***.634.458-**</t>
  </si>
  <si>
    <t>R$ 13.438,07</t>
  </si>
  <si>
    <t>04/01/2026 11:14</t>
  </si>
  <si>
    <t>R$ 13.139,42</t>
  </si>
  <si>
    <t>R$ 13.004,77</t>
  </si>
  <si>
    <t>R$ 11.991,27</t>
  </si>
  <si>
    <t>R$ 11.584,45</t>
  </si>
  <si>
    <t>84,90</t>
  </si>
  <si>
    <t>R$ 11.499,97</t>
  </si>
  <si>
    <t>04/01/2026 10:50</t>
  </si>
  <si>
    <t>CAMILA PRADO SANTOS</t>
  </si>
  <si>
    <t>***.094.681-**</t>
  </si>
  <si>
    <t>R$ 11.350,81</t>
  </si>
  <si>
    <t>04/01/2026 10:36</t>
  </si>
  <si>
    <t>Luciane da Silva</t>
  </si>
  <si>
    <t>***.904.738-**</t>
  </si>
  <si>
    <t>129,36</t>
  </si>
  <si>
    <t>R$ 11.222,09</t>
  </si>
  <si>
    <t>R$ 0,64</t>
  </si>
  <si>
    <t>04/01/2026 10:34</t>
  </si>
  <si>
    <t>PRISCYLA K PROENCA DE ARAUJO</t>
  </si>
  <si>
    <t>***.243.608-**</t>
  </si>
  <si>
    <t>222,02</t>
  </si>
  <si>
    <t>R$ 11.001,18</t>
  </si>
  <si>
    <t>R$ 1,11</t>
  </si>
  <si>
    <t>04/01/2026 10:31</t>
  </si>
  <si>
    <t>JEFERSON APARECIDO PEREIRA DE ANDRADE</t>
  </si>
  <si>
    <t>***.358.698-**</t>
  </si>
  <si>
    <t>COOPERATIVA DE CRÉDITO COOPACREDI LTDA. - SICOOB COOPACREDI</t>
  </si>
  <si>
    <t>159,80</t>
  </si>
  <si>
    <t>R$ 10.842,17</t>
  </si>
  <si>
    <t>R$ 0,79</t>
  </si>
  <si>
    <t>04/01/2026 09:43</t>
  </si>
  <si>
    <t>JULIANA DA ROCHA MIRANDA</t>
  </si>
  <si>
    <t>***.256.282-**</t>
  </si>
  <si>
    <t>215,80</t>
  </si>
  <si>
    <t>R$ 10.627,44</t>
  </si>
  <si>
    <t>R$ 1,07</t>
  </si>
  <si>
    <t>04/01/2026 09:25</t>
  </si>
  <si>
    <t>RAQUEL MARCHIORI LESSA DE AZEVEDO</t>
  </si>
  <si>
    <t>***.507.724-**</t>
  </si>
  <si>
    <t>99PAY INSTITUICAO DE PAGAMENTO S.A.</t>
  </si>
  <si>
    <t>R$ 10.550,90</t>
  </si>
  <si>
    <t>04/01/2026 09:12</t>
  </si>
  <si>
    <t>R$ 10.368,32</t>
  </si>
  <si>
    <t>R$ 10.338,47</t>
  </si>
  <si>
    <t>04/01/2026 07:43</t>
  </si>
  <si>
    <t>GLEYCE ROSA SILVA SANTOS</t>
  </si>
  <si>
    <t>***.897.771-**</t>
  </si>
  <si>
    <t>R$ 10.131,83</t>
  </si>
  <si>
    <t>02/01/2026 13:29</t>
  </si>
  <si>
    <t>R$ 10.054,83</t>
  </si>
  <si>
    <t>01/01/2026 03:13</t>
  </si>
  <si>
    <t>R$ 10.022,45</t>
  </si>
  <si>
    <t>Conta Contábil</t>
  </si>
  <si>
    <t>Literarius</t>
  </si>
  <si>
    <t>Stone</t>
  </si>
  <si>
    <t>Diferença</t>
  </si>
  <si>
    <t>Codigo</t>
  </si>
  <si>
    <t>Contas contábeis</t>
  </si>
  <si>
    <t>Cod 0561 | Cod 1082 | Cod 1138 | Cod 1170 | Cod 1176 | Cod 1191 | Cod 1196 | Cod 1200 | Cod 1646 | Cod 8301</t>
  </si>
  <si>
    <t>132 a 134</t>
  </si>
  <si>
    <t>AQUISIÇÃO DE LIVROS</t>
  </si>
  <si>
    <t>VENDA DE EBOOK</t>
  </si>
  <si>
    <t>13º Salário</t>
  </si>
  <si>
    <t>180 a 192</t>
  </si>
  <si>
    <t>Despesas Editorial - Capa</t>
  </si>
  <si>
    <t>Despesas Editorial - Conferência de Emendas | Despesas Editorial - Revisão de Prova</t>
  </si>
  <si>
    <t>Despesas Editorial - Diagramação</t>
  </si>
  <si>
    <t>Despesas Editorial - Edição</t>
  </si>
  <si>
    <t>Despesas Editorial - Ilustração</t>
  </si>
  <si>
    <t>Despesas Editorial - Preparação</t>
  </si>
  <si>
    <t>Despesas Editorial - Produção Editorial</t>
  </si>
  <si>
    <t>Despesas Editorial - Revisão de Prova</t>
  </si>
  <si>
    <t>Despesas Editorial - Tradução</t>
  </si>
  <si>
    <t>Materiais Para Revenda</t>
  </si>
  <si>
    <t>Producao Material Proprio</t>
  </si>
  <si>
    <t>Produção Material Próprio</t>
  </si>
  <si>
    <t>Remuneração Autônomos - Comercial</t>
  </si>
  <si>
    <t>Salarios A Pagar</t>
  </si>
  <si>
    <t>Vale Cesta Básica</t>
  </si>
  <si>
    <t>Vale Refeicao</t>
  </si>
  <si>
    <t>Materiais Aplicados Venda Prod</t>
  </si>
  <si>
    <t>Remuneração Autônomos - Marketing</t>
  </si>
  <si>
    <t>Despesas Postais e fretes</t>
  </si>
  <si>
    <t>Direitos Autorais</t>
  </si>
  <si>
    <t>Remuneração Autônomos - Editorial</t>
  </si>
  <si>
    <t>Comissao Vendedores</t>
  </si>
  <si>
    <t>Agua</t>
  </si>
  <si>
    <t>Aluguel</t>
  </si>
  <si>
    <t>Antecipação - Direito Autoral</t>
  </si>
  <si>
    <t>Assistencia Medica</t>
  </si>
  <si>
    <t>Benfeitoria em Imoveis de 3º</t>
  </si>
  <si>
    <t>Bens de pequeno valor</t>
  </si>
  <si>
    <t>Bens Imobilizados Empresa</t>
  </si>
  <si>
    <t>Bolsa de Estudos</t>
  </si>
  <si>
    <t>Bonus</t>
  </si>
  <si>
    <t>Brinde Para Colaboradores</t>
  </si>
  <si>
    <t>Brindes Clientes</t>
  </si>
  <si>
    <t>Capacitação Profissional</t>
  </si>
  <si>
    <t>Cod 1082</t>
  </si>
  <si>
    <t>Cod 1138</t>
  </si>
  <si>
    <t>Cod 1170</t>
  </si>
  <si>
    <t>Cod 1176</t>
  </si>
  <si>
    <t>Cod 1191</t>
  </si>
  <si>
    <t>Cod 1196</t>
  </si>
  <si>
    <t>Cod 1200</t>
  </si>
  <si>
    <t>Cod 1646</t>
  </si>
  <si>
    <t>Cod 1708</t>
  </si>
  <si>
    <t>Cod 3208</t>
  </si>
  <si>
    <t>Cod 8031</t>
  </si>
  <si>
    <t>Cod 8301</t>
  </si>
  <si>
    <t>Cofins/Csll a Recolher</t>
  </si>
  <si>
    <t>Contabilidade</t>
  </si>
  <si>
    <t>Contribuicao Sindical</t>
  </si>
  <si>
    <t>Cursos E Treinamentos</t>
  </si>
  <si>
    <t>Darf Pis/Cofins - Codigo 5952</t>
  </si>
  <si>
    <t>Darf S/ Irf - Codigo 1708</t>
  </si>
  <si>
    <t>Desp Prest Serv Pf</t>
  </si>
  <si>
    <t>Desp Prest Serv Pj</t>
  </si>
  <si>
    <t>Despesas Cartorarias</t>
  </si>
  <si>
    <t>Despesas Com Diretoria</t>
  </si>
  <si>
    <t>Despesas Autor</t>
  </si>
  <si>
    <t>Despesas Eventos Externos</t>
  </si>
  <si>
    <t>Embalagens e Mareriais Graficos</t>
  </si>
  <si>
    <t>Energia Eletrica</t>
  </si>
  <si>
    <t>Estacionamento</t>
  </si>
  <si>
    <t>Fgts</t>
  </si>
  <si>
    <t>Fgts Ferias</t>
  </si>
  <si>
    <t>Impostos E Taxas</t>
  </si>
  <si>
    <t>Estorno e Reembolso</t>
  </si>
  <si>
    <t>231 LANÇAR NA NATUREZA DA DESPESA</t>
  </si>
  <si>
    <t>Internet</t>
  </si>
  <si>
    <t>Monitoramento Sede</t>
  </si>
  <si>
    <t>Royalties</t>
  </si>
  <si>
    <t>PIS 8301</t>
  </si>
  <si>
    <t>Terreno e Dependências - Sede</t>
  </si>
  <si>
    <t>Sistemas e Softwares -Adm Marketing</t>
  </si>
  <si>
    <t>Sistemas e Softwares Comerciais</t>
  </si>
  <si>
    <t>Devolução de Venda</t>
  </si>
  <si>
    <t>Exames médicos</t>
  </si>
  <si>
    <t>Juros pagos/passivos</t>
  </si>
  <si>
    <t>Lanches e Refeições Equipe</t>
  </si>
  <si>
    <t>Lanches e Refeições Comercial</t>
  </si>
  <si>
    <t>Materiais de Escritório</t>
  </si>
  <si>
    <t>Pedágio</t>
  </si>
  <si>
    <t>Remuneração Autônomos - Expedição</t>
  </si>
  <si>
    <t>Despesas Custos Eventos</t>
  </si>
  <si>
    <t>Remuneração Autônomos - Financeiro</t>
  </si>
  <si>
    <t>Remuneração Autonomos - Administração</t>
  </si>
  <si>
    <t>Transporte - Taxi/Uber</t>
  </si>
  <si>
    <t>Remuneração Autônomos - Livraria</t>
  </si>
  <si>
    <t>DIRETORIA - PJ</t>
  </si>
  <si>
    <t>Seguros</t>
  </si>
  <si>
    <t>Condomínio</t>
  </si>
  <si>
    <t>DESPESAS OPERACIONAIS</t>
  </si>
  <si>
    <t>4.3.1</t>
  </si>
  <si>
    <t>DESPESAS ADMINISTRATIVAS</t>
  </si>
  <si>
    <t>4.3.1.01</t>
  </si>
  <si>
    <t>Materiais Impressos</t>
  </si>
  <si>
    <t>Cod 0561</t>
  </si>
  <si>
    <t>Despesas Bancárias</t>
  </si>
  <si>
    <t>Rescisões</t>
  </si>
  <si>
    <t>188 A 192</t>
  </si>
  <si>
    <t>Cod 5952</t>
  </si>
  <si>
    <t>Receitas financeiras</t>
  </si>
  <si>
    <t>Condominio</t>
  </si>
  <si>
    <t>Cod 1162</t>
  </si>
  <si>
    <t>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</si>
</sst>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color rgb="FF6D6D6D"/>
      <name val="Tahoma"/>
    </font>
    <font>
      <b/>
      <sz val="10"/>
      <color rgb="FF6D6D6D"/>
      <name val="Tahoma"/>
    </font>
    <font>
      <b/>
      <sz val="10"/>
      <color rgb="FF000000"/>
      <name val="Tahoma"/>
    </font>
    <font>
      <b/>
      <sz val="11"/>
      <name val="Aptos Narrow"/>
    </font>
    <font>
      <b/>
      <sz val="11"/>
      <color theme="1"/>
      <name val="Aptos Narrow"/>
      <family val="2"/>
      <scheme val="minor"/>
    </font>
    <font>
      <b/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17"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center" vertical="top" wrapText="1"/>
    </xf>
    <xf numFmtId="0" fontId="2" fillId="2" borderId="1" xfId="0" applyNumberFormat="1" applyFont="1" applyFill="1" applyBorder="1" applyAlignment="1" applyProtection="1">
      <alignment horizontal="right" vertical="top" wrapText="1"/>
    </xf>
    <xf numFmtId="0" fontId="2" fillId="2" borderId="1" xfId="0" applyNumberFormat="1" applyFont="1" applyFill="1" applyBorder="1" applyAlignment="1" applyProtection="1">
      <alignment horizontal="center" vertical="top" wrapText="1"/>
    </xf>
    <xf numFmtId="0" fontId="3" fillId="2" borderId="0" xfId="0" applyFont="1" applyBorder="1" applyAlignment="1"/>
    <xf numFmtId="0" fontId="0" fillId="2" borderId="0" xfId="0" applyAlignment="1"/>
    <xf numFmtId="0" fontId="0" fillId="2" borderId="0" xfId="0" applyBorder="1" applyAlignment="1"/>
    <xf numFmtId="0" fontId="1" fillId="2" borderId="0" xfId="0" applyNumberFormat="1" applyFont="1" applyFill="1" applyBorder="1" applyAlignment="1" applyProtection="1">
      <alignment horizontal="center" vertical="top" wrapText="1"/>
    </xf>
    <xf numFmtId="14" fontId="0" fillId="2" borderId="0" xfId="0" applyNumberFormat="1" applyBorder="1" applyAlignment="1"/>
    <xf numFmtId="14" fontId="0" fillId="2" borderId="0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>
      <alignment horizontal="center" vertical="center" wrapText="1"/>
    </xf>
    <xf numFmtId="14" fontId="0" fillId="2" borderId="0" xfId="0" applyNumberFormat="1" applyFont="1" applyFill="1" applyBorder="1" applyAlignment="1" applyProtection="1">
      <alignment horizontal="center" vertical="center"/>
    </xf>
    <xf numFmtId="4" fontId="2" fillId="2" borderId="1" xfId="0" applyNumberFormat="1" applyFont="1" applyFill="1" applyBorder="1" applyAlignment="1" applyProtection="1">
      <alignment horizontal="right" vertical="top" wrapText="1"/>
    </xf>
    <xf numFmtId="0" fontId="4" fillId="4" borderId="0" xfId="0" applyFont="1" applyFill="1" applyAlignment="1"/>
    <xf numFmtId="0" fontId="5" fillId="5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03D3D-1B38-43E3-AEE6-1797B4754FDD}">
  <sheetPr>
    <pageSetUpPr autoPageBreaks="0" fitToPage="1"/>
  </sheetPr>
  <dimension ref="A1:J399"/>
  <sheetViews>
    <sheetView tabSelected="1" showOutlineSymbols="0" workbookViewId="0">
      <selection activeCell="J1" sqref="J1:J1048576"/>
    </sheetView>
  </sheetViews>
  <sheetFormatPr defaultColWidth="14.1640625" defaultRowHeight="15" customHeight="1" x14ac:dyDescent="0.15"/>
  <cols>
    <col min="1" max="1" width="6.6640625"/>
    <col min="2" max="2" width="12.33203125"/>
    <col min="3" max="3" width="14.6640625" bestFit="1" customWidth="1"/>
    <col min="4" max="4" width="16.6640625"/>
    <col min="5" max="5" width="48.1640625"/>
    <col min="6" max="6" width="15.83203125"/>
    <col min="7" max="7" width="13.1640625"/>
    <col min="8" max="8" width="37.83203125"/>
    <col min="9" max="9" width="26.5"/>
    <col min="10" max="10" width="23.5" customWidth="1"/>
  </cols>
  <sheetData>
    <row r="1" spans="1:10" s="8" customFormat="1" ht="16.5" customHeight="1" x14ac:dyDescent="0.15">
      <c r="A1" s="2" t="s">
        <v>528</v>
      </c>
      <c r="B1" s="2" t="s">
        <v>636</v>
      </c>
      <c r="C1" s="2" t="s">
        <v>542</v>
      </c>
      <c r="D1" s="2" t="s">
        <v>537</v>
      </c>
      <c r="E1" s="2" t="s">
        <v>549</v>
      </c>
      <c r="F1" s="2" t="s">
        <v>425</v>
      </c>
      <c r="G1" s="2" t="s">
        <v>16</v>
      </c>
      <c r="H1" s="2" t="s">
        <v>417</v>
      </c>
      <c r="I1" s="2" t="s">
        <v>626</v>
      </c>
      <c r="J1" s="2" t="s">
        <v>2072</v>
      </c>
    </row>
    <row r="2" spans="1:10" ht="15.75" customHeight="1" x14ac:dyDescent="0.15">
      <c r="A2" s="4" t="s">
        <v>490</v>
      </c>
      <c r="B2" s="3" t="s">
        <v>260</v>
      </c>
      <c r="C2" s="1" t="s">
        <v>538</v>
      </c>
      <c r="D2" s="1" t="s">
        <v>260</v>
      </c>
      <c r="E2" s="1" t="s">
        <v>108</v>
      </c>
      <c r="F2" s="3">
        <v>77</v>
      </c>
      <c r="G2" s="1" t="s">
        <v>342</v>
      </c>
      <c r="H2" s="1" t="s">
        <v>665</v>
      </c>
      <c r="I2" s="1" t="s">
        <v>426</v>
      </c>
      <c r="J2" t="str">
        <f>VLOOKUP(H2,Planilha2!B:C,2,0)</f>
        <v>132 a 134</v>
      </c>
    </row>
    <row r="3" spans="1:10" ht="15.75" customHeight="1" x14ac:dyDescent="0.15">
      <c r="A3" s="4" t="s">
        <v>490</v>
      </c>
      <c r="B3" s="3" t="s">
        <v>388</v>
      </c>
      <c r="C3" s="1" t="s">
        <v>538</v>
      </c>
      <c r="D3" s="1" t="s">
        <v>388</v>
      </c>
      <c r="E3" s="1" t="s">
        <v>108</v>
      </c>
      <c r="F3" s="3">
        <v>32.380000000000003</v>
      </c>
      <c r="G3" s="1" t="s">
        <v>342</v>
      </c>
      <c r="H3" s="1" t="s">
        <v>665</v>
      </c>
      <c r="I3" s="1" t="s">
        <v>426</v>
      </c>
      <c r="J3" t="str">
        <f>VLOOKUP(H3,Planilha2!B:C,2,0)</f>
        <v>132 a 134</v>
      </c>
    </row>
    <row r="4" spans="1:10" ht="15.75" customHeight="1" x14ac:dyDescent="0.15">
      <c r="A4" s="4" t="s">
        <v>490</v>
      </c>
      <c r="B4" s="3" t="s">
        <v>571</v>
      </c>
      <c r="C4" s="1" t="s">
        <v>167</v>
      </c>
      <c r="D4" s="1" t="s">
        <v>571</v>
      </c>
      <c r="E4" s="1" t="s">
        <v>108</v>
      </c>
      <c r="F4" s="3">
        <v>206.64</v>
      </c>
      <c r="G4" s="1" t="s">
        <v>342</v>
      </c>
      <c r="H4" s="1" t="s">
        <v>665</v>
      </c>
      <c r="I4" s="1" t="s">
        <v>426</v>
      </c>
      <c r="J4" t="str">
        <f>VLOOKUP(H4,Planilha2!B:C,2,0)</f>
        <v>132 a 134</v>
      </c>
    </row>
    <row r="5" spans="1:10" ht="15.75" customHeight="1" x14ac:dyDescent="0.15">
      <c r="A5" s="4" t="s">
        <v>490</v>
      </c>
      <c r="B5" s="3" t="s">
        <v>643</v>
      </c>
      <c r="C5" s="1" t="s">
        <v>54</v>
      </c>
      <c r="D5" s="1" t="s">
        <v>643</v>
      </c>
      <c r="E5" s="1" t="s">
        <v>108</v>
      </c>
      <c r="F5" s="3">
        <v>51.11</v>
      </c>
      <c r="G5" s="1" t="s">
        <v>342</v>
      </c>
      <c r="H5" s="1" t="s">
        <v>665</v>
      </c>
      <c r="I5" s="1" t="s">
        <v>426</v>
      </c>
      <c r="J5" t="str">
        <f>VLOOKUP(H5,Planilha2!B:C,2,0)</f>
        <v>132 a 134</v>
      </c>
    </row>
    <row r="6" spans="1:10" ht="15.75" customHeight="1" x14ac:dyDescent="0.15">
      <c r="A6" s="4" t="s">
        <v>490</v>
      </c>
      <c r="B6" s="3" t="s">
        <v>25</v>
      </c>
      <c r="C6" s="1" t="s">
        <v>54</v>
      </c>
      <c r="D6" s="1" t="s">
        <v>25</v>
      </c>
      <c r="E6" s="1" t="s">
        <v>108</v>
      </c>
      <c r="F6" s="13">
        <v>1004.37</v>
      </c>
      <c r="G6" s="1" t="s">
        <v>342</v>
      </c>
      <c r="H6" s="1" t="s">
        <v>665</v>
      </c>
      <c r="I6" s="1" t="s">
        <v>426</v>
      </c>
      <c r="J6" t="str">
        <f>VLOOKUP(H6,Planilha2!B:C,2,0)</f>
        <v>132 a 134</v>
      </c>
    </row>
    <row r="7" spans="1:10" ht="15.75" customHeight="1" x14ac:dyDescent="0.15">
      <c r="A7" s="4" t="s">
        <v>490</v>
      </c>
      <c r="B7" s="3" t="s">
        <v>612</v>
      </c>
      <c r="C7" s="1" t="s">
        <v>54</v>
      </c>
      <c r="D7" s="1" t="s">
        <v>612</v>
      </c>
      <c r="E7" s="1" t="s">
        <v>108</v>
      </c>
      <c r="F7" s="3">
        <v>198.49</v>
      </c>
      <c r="G7" s="1" t="s">
        <v>342</v>
      </c>
      <c r="H7" s="1" t="s">
        <v>665</v>
      </c>
      <c r="I7" s="1" t="s">
        <v>426</v>
      </c>
      <c r="J7" t="str">
        <f>VLOOKUP(H7,Planilha2!B:C,2,0)</f>
        <v>132 a 134</v>
      </c>
    </row>
    <row r="8" spans="1:10" ht="15.75" customHeight="1" x14ac:dyDescent="0.15">
      <c r="A8" s="4" t="s">
        <v>490</v>
      </c>
      <c r="B8" s="3" t="s">
        <v>853</v>
      </c>
      <c r="C8" s="1" t="s">
        <v>54</v>
      </c>
      <c r="D8" s="1" t="s">
        <v>853</v>
      </c>
      <c r="E8" s="1" t="s">
        <v>108</v>
      </c>
      <c r="F8" s="3">
        <v>340.36</v>
      </c>
      <c r="G8" s="1" t="s">
        <v>342</v>
      </c>
      <c r="H8" s="1" t="s">
        <v>665</v>
      </c>
      <c r="I8" s="1" t="s">
        <v>426</v>
      </c>
      <c r="J8" t="str">
        <f>VLOOKUP(H8,Planilha2!B:C,2,0)</f>
        <v>132 a 134</v>
      </c>
    </row>
    <row r="9" spans="1:10" ht="15.75" customHeight="1" x14ac:dyDescent="0.15">
      <c r="A9" s="4" t="s">
        <v>490</v>
      </c>
      <c r="B9" s="3" t="s">
        <v>715</v>
      </c>
      <c r="C9" s="1" t="s">
        <v>54</v>
      </c>
      <c r="D9" s="1" t="s">
        <v>715</v>
      </c>
      <c r="E9" s="1" t="s">
        <v>108</v>
      </c>
      <c r="F9" s="3">
        <v>711.3</v>
      </c>
      <c r="G9" s="1" t="s">
        <v>342</v>
      </c>
      <c r="H9" s="1" t="s">
        <v>665</v>
      </c>
      <c r="I9" s="1" t="s">
        <v>426</v>
      </c>
      <c r="J9" t="str">
        <f>VLOOKUP(H9,Planilha2!B:C,2,0)</f>
        <v>132 a 134</v>
      </c>
    </row>
    <row r="10" spans="1:10" ht="15.75" customHeight="1" x14ac:dyDescent="0.15">
      <c r="A10" s="4" t="s">
        <v>490</v>
      </c>
      <c r="B10" s="3" t="s">
        <v>875</v>
      </c>
      <c r="C10" s="1" t="s">
        <v>54</v>
      </c>
      <c r="D10" s="1" t="s">
        <v>875</v>
      </c>
      <c r="E10" s="1" t="s">
        <v>108</v>
      </c>
      <c r="F10" s="3">
        <v>86.51</v>
      </c>
      <c r="G10" s="1" t="s">
        <v>342</v>
      </c>
      <c r="H10" s="1" t="s">
        <v>665</v>
      </c>
      <c r="I10" s="1" t="s">
        <v>426</v>
      </c>
      <c r="J10" t="str">
        <f>VLOOKUP(H10,Planilha2!B:C,2,0)</f>
        <v>132 a 134</v>
      </c>
    </row>
    <row r="11" spans="1:10" ht="15.75" customHeight="1" x14ac:dyDescent="0.15">
      <c r="A11" s="4" t="s">
        <v>490</v>
      </c>
      <c r="B11" s="3" t="s">
        <v>109</v>
      </c>
      <c r="C11" s="1" t="s">
        <v>54</v>
      </c>
      <c r="D11" s="1" t="s">
        <v>109</v>
      </c>
      <c r="E11" s="1" t="s">
        <v>108</v>
      </c>
      <c r="F11" s="3">
        <v>237.77</v>
      </c>
      <c r="G11" s="1" t="s">
        <v>342</v>
      </c>
      <c r="H11" s="1" t="s">
        <v>665</v>
      </c>
      <c r="I11" s="1" t="s">
        <v>426</v>
      </c>
      <c r="J11" t="str">
        <f>VLOOKUP(H11,Planilha2!B:C,2,0)</f>
        <v>132 a 134</v>
      </c>
    </row>
    <row r="12" spans="1:10" ht="15.75" customHeight="1" x14ac:dyDescent="0.15">
      <c r="A12" s="4" t="s">
        <v>490</v>
      </c>
      <c r="B12" s="3" t="s">
        <v>199</v>
      </c>
      <c r="C12" s="1" t="s">
        <v>54</v>
      </c>
      <c r="D12" s="1" t="s">
        <v>199</v>
      </c>
      <c r="E12" s="1" t="s">
        <v>108</v>
      </c>
      <c r="F12" s="3">
        <v>355.46</v>
      </c>
      <c r="G12" s="1" t="s">
        <v>342</v>
      </c>
      <c r="H12" s="1" t="s">
        <v>665</v>
      </c>
      <c r="I12" s="1" t="s">
        <v>426</v>
      </c>
      <c r="J12" t="str">
        <f>VLOOKUP(H12,Planilha2!B:C,2,0)</f>
        <v>132 a 134</v>
      </c>
    </row>
    <row r="13" spans="1:10" ht="15.75" customHeight="1" x14ac:dyDescent="0.15">
      <c r="A13" s="4" t="s">
        <v>490</v>
      </c>
      <c r="B13" s="3" t="s">
        <v>704</v>
      </c>
      <c r="C13" s="1" t="s">
        <v>54</v>
      </c>
      <c r="D13" s="1" t="s">
        <v>704</v>
      </c>
      <c r="E13" s="1" t="s">
        <v>108</v>
      </c>
      <c r="F13" s="3">
        <v>561.70000000000005</v>
      </c>
      <c r="G13" s="1" t="s">
        <v>342</v>
      </c>
      <c r="H13" s="1" t="s">
        <v>665</v>
      </c>
      <c r="I13" s="1" t="s">
        <v>426</v>
      </c>
      <c r="J13" t="str">
        <f>VLOOKUP(H13,Planilha2!B:C,2,0)</f>
        <v>132 a 134</v>
      </c>
    </row>
    <row r="14" spans="1:10" ht="15.75" customHeight="1" x14ac:dyDescent="0.15">
      <c r="A14" s="4" t="s">
        <v>490</v>
      </c>
      <c r="B14" s="3" t="s">
        <v>815</v>
      </c>
      <c r="C14" s="1" t="s">
        <v>54</v>
      </c>
      <c r="D14" s="1" t="s">
        <v>815</v>
      </c>
      <c r="E14" s="1" t="s">
        <v>108</v>
      </c>
      <c r="F14" s="3">
        <v>252.32</v>
      </c>
      <c r="G14" s="1" t="s">
        <v>342</v>
      </c>
      <c r="H14" s="1" t="s">
        <v>665</v>
      </c>
      <c r="I14" s="1" t="s">
        <v>426</v>
      </c>
      <c r="J14" t="str">
        <f>VLOOKUP(H14,Planilha2!B:C,2,0)</f>
        <v>132 a 134</v>
      </c>
    </row>
    <row r="15" spans="1:10" ht="15.75" customHeight="1" x14ac:dyDescent="0.15">
      <c r="A15" s="4" t="s">
        <v>490</v>
      </c>
      <c r="B15" s="3" t="s">
        <v>476</v>
      </c>
      <c r="C15" s="1" t="s">
        <v>54</v>
      </c>
      <c r="D15" s="1" t="s">
        <v>476</v>
      </c>
      <c r="E15" s="1" t="s">
        <v>108</v>
      </c>
      <c r="F15" s="3">
        <v>29.54</v>
      </c>
      <c r="G15" s="1" t="s">
        <v>342</v>
      </c>
      <c r="H15" s="1" t="s">
        <v>665</v>
      </c>
      <c r="I15" s="1" t="s">
        <v>426</v>
      </c>
      <c r="J15" t="str">
        <f>VLOOKUP(H15,Planilha2!B:C,2,0)</f>
        <v>132 a 134</v>
      </c>
    </row>
    <row r="16" spans="1:10" ht="15.75" customHeight="1" x14ac:dyDescent="0.15">
      <c r="A16" s="4" t="s">
        <v>490</v>
      </c>
      <c r="B16" s="3" t="s">
        <v>18</v>
      </c>
      <c r="C16" s="1" t="s">
        <v>54</v>
      </c>
      <c r="D16" s="1" t="s">
        <v>18</v>
      </c>
      <c r="E16" s="1" t="s">
        <v>330</v>
      </c>
      <c r="F16" s="3">
        <v>89.09</v>
      </c>
      <c r="G16" s="1" t="s">
        <v>342</v>
      </c>
      <c r="H16" s="1" t="s">
        <v>665</v>
      </c>
      <c r="I16" s="1" t="s">
        <v>426</v>
      </c>
      <c r="J16" t="str">
        <f>VLOOKUP(H16,Planilha2!B:C,2,0)</f>
        <v>132 a 134</v>
      </c>
    </row>
    <row r="17" spans="1:10" ht="15.75" customHeight="1" x14ac:dyDescent="0.15">
      <c r="A17" s="4" t="s">
        <v>490</v>
      </c>
      <c r="B17" s="3" t="s">
        <v>57</v>
      </c>
      <c r="C17" s="1" t="s">
        <v>54</v>
      </c>
      <c r="D17" s="1" t="s">
        <v>57</v>
      </c>
      <c r="E17" s="1" t="s">
        <v>473</v>
      </c>
      <c r="F17" s="3">
        <v>51.65</v>
      </c>
      <c r="G17" s="1" t="s">
        <v>342</v>
      </c>
      <c r="H17" s="1" t="s">
        <v>665</v>
      </c>
      <c r="I17" s="1" t="s">
        <v>426</v>
      </c>
      <c r="J17" t="str">
        <f>VLOOKUP(H17,Planilha2!B:C,2,0)</f>
        <v>132 a 134</v>
      </c>
    </row>
    <row r="18" spans="1:10" ht="15.75" customHeight="1" x14ac:dyDescent="0.15">
      <c r="A18" s="4" t="s">
        <v>490</v>
      </c>
      <c r="B18" s="3" t="s">
        <v>64</v>
      </c>
      <c r="C18" s="1" t="s">
        <v>54</v>
      </c>
      <c r="D18" s="1" t="s">
        <v>64</v>
      </c>
      <c r="E18" s="1" t="s">
        <v>758</v>
      </c>
      <c r="F18" s="3">
        <v>20.6</v>
      </c>
      <c r="G18" s="1" t="s">
        <v>342</v>
      </c>
      <c r="H18" s="1" t="s">
        <v>665</v>
      </c>
      <c r="I18" s="1" t="s">
        <v>426</v>
      </c>
      <c r="J18" t="str">
        <f>VLOOKUP(H18,Planilha2!B:C,2,0)</f>
        <v>132 a 134</v>
      </c>
    </row>
    <row r="19" spans="1:10" ht="15.75" customHeight="1" x14ac:dyDescent="0.15">
      <c r="A19" s="4" t="s">
        <v>490</v>
      </c>
      <c r="B19" s="3" t="s">
        <v>152</v>
      </c>
      <c r="C19" s="1" t="s">
        <v>54</v>
      </c>
      <c r="D19" s="1" t="s">
        <v>152</v>
      </c>
      <c r="E19" s="1" t="s">
        <v>850</v>
      </c>
      <c r="F19" s="3">
        <v>68.56</v>
      </c>
      <c r="G19" s="1" t="s">
        <v>342</v>
      </c>
      <c r="H19" s="1" t="s">
        <v>665</v>
      </c>
      <c r="I19" s="1" t="s">
        <v>426</v>
      </c>
      <c r="J19" t="str">
        <f>VLOOKUP(H19,Planilha2!B:C,2,0)</f>
        <v>132 a 134</v>
      </c>
    </row>
    <row r="20" spans="1:10" ht="15.75" customHeight="1" x14ac:dyDescent="0.15">
      <c r="A20" s="4" t="s">
        <v>490</v>
      </c>
      <c r="B20" s="3" t="s">
        <v>654</v>
      </c>
      <c r="C20" s="1" t="s">
        <v>54</v>
      </c>
      <c r="D20" s="1" t="s">
        <v>654</v>
      </c>
      <c r="E20" s="1" t="s">
        <v>266</v>
      </c>
      <c r="F20" s="3">
        <v>99.41</v>
      </c>
      <c r="G20" s="1" t="s">
        <v>342</v>
      </c>
      <c r="H20" s="1" t="s">
        <v>665</v>
      </c>
      <c r="I20" s="1" t="s">
        <v>426</v>
      </c>
      <c r="J20" t="str">
        <f>VLOOKUP(H20,Planilha2!B:C,2,0)</f>
        <v>132 a 134</v>
      </c>
    </row>
    <row r="21" spans="1:10" ht="15.75" customHeight="1" x14ac:dyDescent="0.15">
      <c r="A21" s="4" t="s">
        <v>490</v>
      </c>
      <c r="B21" s="3" t="s">
        <v>747</v>
      </c>
      <c r="C21" s="1" t="s">
        <v>54</v>
      </c>
      <c r="D21" s="1" t="s">
        <v>747</v>
      </c>
      <c r="E21" s="1" t="s">
        <v>108</v>
      </c>
      <c r="F21" s="3">
        <v>73.819999999999993</v>
      </c>
      <c r="G21" s="1" t="s">
        <v>342</v>
      </c>
      <c r="H21" s="1" t="s">
        <v>665</v>
      </c>
      <c r="I21" s="1" t="s">
        <v>426</v>
      </c>
      <c r="J21" t="str">
        <f>VLOOKUP(H21,Planilha2!B:C,2,0)</f>
        <v>132 a 134</v>
      </c>
    </row>
    <row r="22" spans="1:10" ht="15.75" customHeight="1" x14ac:dyDescent="0.15">
      <c r="A22" s="4" t="s">
        <v>490</v>
      </c>
      <c r="B22" s="3" t="s">
        <v>151</v>
      </c>
      <c r="C22" s="1" t="s">
        <v>54</v>
      </c>
      <c r="D22" s="1" t="s">
        <v>151</v>
      </c>
      <c r="E22" s="1" t="s">
        <v>108</v>
      </c>
      <c r="F22" s="3">
        <v>165.38</v>
      </c>
      <c r="G22" s="1" t="s">
        <v>342</v>
      </c>
      <c r="H22" s="1" t="s">
        <v>665</v>
      </c>
      <c r="I22" s="1" t="s">
        <v>426</v>
      </c>
      <c r="J22" t="str">
        <f>VLOOKUP(H22,Planilha2!B:C,2,0)</f>
        <v>132 a 134</v>
      </c>
    </row>
    <row r="23" spans="1:10" ht="15.75" customHeight="1" x14ac:dyDescent="0.15">
      <c r="A23" s="4" t="s">
        <v>490</v>
      </c>
      <c r="B23" s="3" t="s">
        <v>615</v>
      </c>
      <c r="C23" s="1" t="s">
        <v>54</v>
      </c>
      <c r="D23" s="1" t="s">
        <v>615</v>
      </c>
      <c r="E23" s="1" t="s">
        <v>108</v>
      </c>
      <c r="F23" s="3">
        <v>275.29000000000002</v>
      </c>
      <c r="G23" s="1" t="s">
        <v>342</v>
      </c>
      <c r="H23" s="1" t="s">
        <v>665</v>
      </c>
      <c r="I23" s="1" t="s">
        <v>426</v>
      </c>
      <c r="J23" t="str">
        <f>VLOOKUP(H23,Planilha2!B:C,2,0)</f>
        <v>132 a 134</v>
      </c>
    </row>
    <row r="24" spans="1:10" ht="15.75" customHeight="1" x14ac:dyDescent="0.15">
      <c r="A24" s="4" t="s">
        <v>490</v>
      </c>
      <c r="B24" s="3" t="s">
        <v>491</v>
      </c>
      <c r="C24" s="1" t="s">
        <v>54</v>
      </c>
      <c r="D24" s="1" t="s">
        <v>491</v>
      </c>
      <c r="E24" s="1" t="s">
        <v>108</v>
      </c>
      <c r="F24" s="3">
        <v>258.69</v>
      </c>
      <c r="G24" s="1" t="s">
        <v>342</v>
      </c>
      <c r="H24" s="1" t="s">
        <v>665</v>
      </c>
      <c r="I24" s="1" t="s">
        <v>426</v>
      </c>
      <c r="J24" t="str">
        <f>VLOOKUP(H24,Planilha2!B:C,2,0)</f>
        <v>132 a 134</v>
      </c>
    </row>
    <row r="25" spans="1:10" ht="15.75" customHeight="1" x14ac:dyDescent="0.15">
      <c r="A25" s="4" t="s">
        <v>490</v>
      </c>
      <c r="B25" s="3" t="s">
        <v>823</v>
      </c>
      <c r="C25" s="1" t="s">
        <v>54</v>
      </c>
      <c r="D25" s="1" t="s">
        <v>823</v>
      </c>
      <c r="E25" s="1" t="s">
        <v>108</v>
      </c>
      <c r="F25" s="3">
        <v>539.48</v>
      </c>
      <c r="G25" s="1" t="s">
        <v>342</v>
      </c>
      <c r="H25" s="1" t="s">
        <v>665</v>
      </c>
      <c r="I25" s="1" t="s">
        <v>426</v>
      </c>
      <c r="J25" t="str">
        <f>VLOOKUP(H25,Planilha2!B:C,2,0)</f>
        <v>132 a 134</v>
      </c>
    </row>
    <row r="26" spans="1:10" ht="15.75" customHeight="1" x14ac:dyDescent="0.15">
      <c r="A26" s="4" t="s">
        <v>490</v>
      </c>
      <c r="B26" s="3" t="s">
        <v>372</v>
      </c>
      <c r="C26" s="1" t="s">
        <v>54</v>
      </c>
      <c r="D26" s="1" t="s">
        <v>372</v>
      </c>
      <c r="E26" s="1" t="s">
        <v>404</v>
      </c>
      <c r="F26" s="3">
        <v>15.83</v>
      </c>
      <c r="G26" s="1" t="s">
        <v>342</v>
      </c>
      <c r="H26" s="1" t="s">
        <v>665</v>
      </c>
      <c r="I26" s="1" t="s">
        <v>426</v>
      </c>
      <c r="J26" t="str">
        <f>VLOOKUP(H26,Planilha2!B:C,2,0)</f>
        <v>132 a 134</v>
      </c>
    </row>
    <row r="27" spans="1:10" ht="15.75" customHeight="1" x14ac:dyDescent="0.15">
      <c r="A27" s="4" t="s">
        <v>490</v>
      </c>
      <c r="B27" s="3" t="s">
        <v>111</v>
      </c>
      <c r="C27" s="1" t="s">
        <v>54</v>
      </c>
      <c r="D27" s="1" t="s">
        <v>111</v>
      </c>
      <c r="E27" s="1" t="s">
        <v>404</v>
      </c>
      <c r="F27" s="3">
        <v>190.55</v>
      </c>
      <c r="G27" s="1" t="s">
        <v>342</v>
      </c>
      <c r="H27" s="1" t="s">
        <v>665</v>
      </c>
      <c r="I27" s="1" t="s">
        <v>426</v>
      </c>
      <c r="J27" t="str">
        <f>VLOOKUP(H27,Planilha2!B:C,2,0)</f>
        <v>132 a 134</v>
      </c>
    </row>
    <row r="28" spans="1:10" ht="15.75" customHeight="1" x14ac:dyDescent="0.15">
      <c r="A28" s="4" t="s">
        <v>490</v>
      </c>
      <c r="B28" s="3" t="s">
        <v>474</v>
      </c>
      <c r="C28" s="1" t="s">
        <v>54</v>
      </c>
      <c r="D28" s="1" t="s">
        <v>474</v>
      </c>
      <c r="E28" s="1" t="s">
        <v>770</v>
      </c>
      <c r="F28" s="3">
        <v>59.13</v>
      </c>
      <c r="G28" s="1" t="s">
        <v>342</v>
      </c>
      <c r="H28" s="1" t="s">
        <v>665</v>
      </c>
      <c r="I28" s="1" t="s">
        <v>426</v>
      </c>
      <c r="J28" t="str">
        <f>VLOOKUP(H28,Planilha2!B:C,2,0)</f>
        <v>132 a 134</v>
      </c>
    </row>
    <row r="29" spans="1:10" ht="15.75" customHeight="1" x14ac:dyDescent="0.15">
      <c r="A29" s="4" t="s">
        <v>490</v>
      </c>
      <c r="B29" s="3" t="s">
        <v>736</v>
      </c>
      <c r="C29" s="1" t="s">
        <v>54</v>
      </c>
      <c r="D29" s="1" t="s">
        <v>736</v>
      </c>
      <c r="E29" s="1" t="s">
        <v>108</v>
      </c>
      <c r="F29" s="3">
        <v>132.36000000000001</v>
      </c>
      <c r="G29" s="1" t="s">
        <v>342</v>
      </c>
      <c r="H29" s="1" t="s">
        <v>665</v>
      </c>
      <c r="I29" s="1" t="s">
        <v>426</v>
      </c>
      <c r="J29" t="str">
        <f>VLOOKUP(H29,Planilha2!B:C,2,0)</f>
        <v>132 a 134</v>
      </c>
    </row>
    <row r="30" spans="1:10" ht="15.75" customHeight="1" x14ac:dyDescent="0.15">
      <c r="A30" s="4" t="s">
        <v>490</v>
      </c>
      <c r="B30" s="3" t="s">
        <v>344</v>
      </c>
      <c r="C30" s="1" t="s">
        <v>54</v>
      </c>
      <c r="D30" s="1" t="s">
        <v>344</v>
      </c>
      <c r="E30" s="1" t="s">
        <v>96</v>
      </c>
      <c r="F30" s="3">
        <v>51.65</v>
      </c>
      <c r="G30" s="1" t="s">
        <v>342</v>
      </c>
      <c r="H30" s="1" t="s">
        <v>665</v>
      </c>
      <c r="I30" s="1" t="s">
        <v>426</v>
      </c>
      <c r="J30" t="str">
        <f>VLOOKUP(H30,Planilha2!B:C,2,0)</f>
        <v>132 a 134</v>
      </c>
    </row>
    <row r="31" spans="1:10" ht="15.75" customHeight="1" x14ac:dyDescent="0.15">
      <c r="A31" s="4" t="s">
        <v>490</v>
      </c>
      <c r="B31" s="3" t="s">
        <v>530</v>
      </c>
      <c r="C31" s="1" t="s">
        <v>54</v>
      </c>
      <c r="D31" s="1" t="s">
        <v>530</v>
      </c>
      <c r="E31" s="1" t="s">
        <v>108</v>
      </c>
      <c r="F31" s="3">
        <v>138.72</v>
      </c>
      <c r="G31" s="1" t="s">
        <v>342</v>
      </c>
      <c r="H31" s="1" t="s">
        <v>665</v>
      </c>
      <c r="I31" s="1" t="s">
        <v>426</v>
      </c>
      <c r="J31" t="str">
        <f>VLOOKUP(H31,Planilha2!B:C,2,0)</f>
        <v>132 a 134</v>
      </c>
    </row>
    <row r="32" spans="1:10" ht="15.75" customHeight="1" x14ac:dyDescent="0.15">
      <c r="A32" s="4" t="s">
        <v>490</v>
      </c>
      <c r="B32" s="3" t="s">
        <v>465</v>
      </c>
      <c r="C32" s="1" t="s">
        <v>54</v>
      </c>
      <c r="D32" s="1" t="s">
        <v>465</v>
      </c>
      <c r="E32" s="1" t="s">
        <v>108</v>
      </c>
      <c r="F32" s="3">
        <v>73.81</v>
      </c>
      <c r="G32" s="1" t="s">
        <v>342</v>
      </c>
      <c r="H32" s="1" t="s">
        <v>665</v>
      </c>
      <c r="I32" s="1" t="s">
        <v>426</v>
      </c>
      <c r="J32" t="str">
        <f>VLOOKUP(H32,Planilha2!B:C,2,0)</f>
        <v>132 a 134</v>
      </c>
    </row>
    <row r="33" spans="1:10" ht="15.75" customHeight="1" x14ac:dyDescent="0.15">
      <c r="A33" s="4" t="s">
        <v>490</v>
      </c>
      <c r="B33" s="3" t="s">
        <v>62</v>
      </c>
      <c r="C33" s="1" t="s">
        <v>54</v>
      </c>
      <c r="D33" s="1" t="s">
        <v>62</v>
      </c>
      <c r="E33" s="1" t="s">
        <v>108</v>
      </c>
      <c r="F33" s="3">
        <v>952.99</v>
      </c>
      <c r="G33" s="1" t="s">
        <v>342</v>
      </c>
      <c r="H33" s="1" t="s">
        <v>665</v>
      </c>
      <c r="I33" s="1" t="s">
        <v>426</v>
      </c>
      <c r="J33" t="str">
        <f>VLOOKUP(H33,Planilha2!B:C,2,0)</f>
        <v>132 a 134</v>
      </c>
    </row>
    <row r="34" spans="1:10" ht="15.75" customHeight="1" x14ac:dyDescent="0.15">
      <c r="A34" s="4" t="s">
        <v>490</v>
      </c>
      <c r="B34" s="3" t="s">
        <v>475</v>
      </c>
      <c r="C34" s="1" t="s">
        <v>54</v>
      </c>
      <c r="D34" s="1" t="s">
        <v>475</v>
      </c>
      <c r="E34" s="1" t="s">
        <v>108</v>
      </c>
      <c r="F34" s="3">
        <v>425.28</v>
      </c>
      <c r="G34" s="1" t="s">
        <v>342</v>
      </c>
      <c r="H34" s="1" t="s">
        <v>665</v>
      </c>
      <c r="I34" s="1" t="s">
        <v>426</v>
      </c>
      <c r="J34" t="str">
        <f>VLOOKUP(H34,Planilha2!B:C,2,0)</f>
        <v>132 a 134</v>
      </c>
    </row>
    <row r="35" spans="1:10" ht="15.75" customHeight="1" x14ac:dyDescent="0.15">
      <c r="A35" s="4" t="s">
        <v>490</v>
      </c>
      <c r="B35" s="3" t="s">
        <v>41</v>
      </c>
      <c r="C35" s="1" t="s">
        <v>54</v>
      </c>
      <c r="D35" s="1" t="s">
        <v>41</v>
      </c>
      <c r="E35" s="1" t="s">
        <v>108</v>
      </c>
      <c r="F35" s="3">
        <v>1998.53</v>
      </c>
      <c r="G35" s="1" t="s">
        <v>342</v>
      </c>
      <c r="H35" s="1" t="s">
        <v>665</v>
      </c>
      <c r="I35" s="1" t="s">
        <v>426</v>
      </c>
      <c r="J35" t="str">
        <f>VLOOKUP(H35,Planilha2!B:C,2,0)</f>
        <v>132 a 134</v>
      </c>
    </row>
    <row r="36" spans="1:10" ht="15.75" customHeight="1" x14ac:dyDescent="0.15">
      <c r="A36" s="4" t="s">
        <v>490</v>
      </c>
      <c r="B36" s="3" t="s">
        <v>127</v>
      </c>
      <c r="C36" s="1" t="s">
        <v>54</v>
      </c>
      <c r="D36" s="1" t="s">
        <v>127</v>
      </c>
      <c r="E36" s="1" t="s">
        <v>108</v>
      </c>
      <c r="F36" s="3">
        <v>260.57</v>
      </c>
      <c r="G36" s="1" t="s">
        <v>342</v>
      </c>
      <c r="H36" s="1" t="s">
        <v>665</v>
      </c>
      <c r="I36" s="1" t="s">
        <v>426</v>
      </c>
      <c r="J36" t="str">
        <f>VLOOKUP(H36,Planilha2!B:C,2,0)</f>
        <v>132 a 134</v>
      </c>
    </row>
    <row r="37" spans="1:10" ht="15.75" customHeight="1" x14ac:dyDescent="0.15">
      <c r="A37" s="4" t="s">
        <v>490</v>
      </c>
      <c r="B37" s="3" t="s">
        <v>323</v>
      </c>
      <c r="C37" s="1" t="s">
        <v>54</v>
      </c>
      <c r="D37" s="1" t="s">
        <v>323</v>
      </c>
      <c r="E37" s="1" t="s">
        <v>108</v>
      </c>
      <c r="F37" s="3">
        <v>1598.43</v>
      </c>
      <c r="G37" s="1" t="s">
        <v>342</v>
      </c>
      <c r="H37" s="1" t="s">
        <v>665</v>
      </c>
      <c r="I37" s="1" t="s">
        <v>426</v>
      </c>
      <c r="J37" t="str">
        <f>VLOOKUP(H37,Planilha2!B:C,2,0)</f>
        <v>132 a 134</v>
      </c>
    </row>
    <row r="38" spans="1:10" ht="15.75" customHeight="1" x14ac:dyDescent="0.15">
      <c r="A38" s="4" t="s">
        <v>490</v>
      </c>
      <c r="B38" s="3" t="s">
        <v>518</v>
      </c>
      <c r="C38" s="1" t="s">
        <v>54</v>
      </c>
      <c r="D38" s="1" t="s">
        <v>518</v>
      </c>
      <c r="E38" s="1" t="s">
        <v>108</v>
      </c>
      <c r="F38" s="3">
        <v>148.61000000000001</v>
      </c>
      <c r="G38" s="1" t="s">
        <v>342</v>
      </c>
      <c r="H38" s="1" t="s">
        <v>665</v>
      </c>
      <c r="I38" s="1" t="s">
        <v>426</v>
      </c>
      <c r="J38" t="str">
        <f>VLOOKUP(H38,Planilha2!B:C,2,0)</f>
        <v>132 a 134</v>
      </c>
    </row>
    <row r="39" spans="1:10" ht="15.75" customHeight="1" x14ac:dyDescent="0.15">
      <c r="A39" s="4" t="s">
        <v>490</v>
      </c>
      <c r="B39" s="3" t="s">
        <v>128</v>
      </c>
      <c r="C39" s="1" t="s">
        <v>54</v>
      </c>
      <c r="D39" s="1" t="s">
        <v>128</v>
      </c>
      <c r="E39" s="1" t="s">
        <v>108</v>
      </c>
      <c r="F39" s="3">
        <v>508.13</v>
      </c>
      <c r="G39" s="1" t="s">
        <v>342</v>
      </c>
      <c r="H39" s="1" t="s">
        <v>665</v>
      </c>
      <c r="I39" s="1" t="s">
        <v>426</v>
      </c>
      <c r="J39" t="str">
        <f>VLOOKUP(H39,Planilha2!B:C,2,0)</f>
        <v>132 a 134</v>
      </c>
    </row>
    <row r="40" spans="1:10" ht="15.75" customHeight="1" x14ac:dyDescent="0.15">
      <c r="A40" s="4" t="s">
        <v>490</v>
      </c>
      <c r="B40" s="3" t="s">
        <v>485</v>
      </c>
      <c r="C40" s="1" t="s">
        <v>54</v>
      </c>
      <c r="D40" s="1" t="s">
        <v>485</v>
      </c>
      <c r="E40" s="1" t="s">
        <v>108</v>
      </c>
      <c r="F40" s="3">
        <v>134.28</v>
      </c>
      <c r="G40" s="1" t="s">
        <v>342</v>
      </c>
      <c r="H40" s="1" t="s">
        <v>665</v>
      </c>
      <c r="I40" s="1" t="s">
        <v>426</v>
      </c>
      <c r="J40" t="str">
        <f>VLOOKUP(H40,Planilha2!B:C,2,0)</f>
        <v>132 a 134</v>
      </c>
    </row>
    <row r="41" spans="1:10" ht="15.75" customHeight="1" x14ac:dyDescent="0.15">
      <c r="A41" s="4" t="s">
        <v>490</v>
      </c>
      <c r="B41" s="3" t="s">
        <v>772</v>
      </c>
      <c r="C41" s="1" t="s">
        <v>54</v>
      </c>
      <c r="D41" s="1" t="s">
        <v>772</v>
      </c>
      <c r="E41" s="1" t="s">
        <v>108</v>
      </c>
      <c r="F41" s="3">
        <v>567.65</v>
      </c>
      <c r="G41" s="1" t="s">
        <v>342</v>
      </c>
      <c r="H41" s="1" t="s">
        <v>665</v>
      </c>
      <c r="I41" s="1" t="s">
        <v>426</v>
      </c>
      <c r="J41" t="str">
        <f>VLOOKUP(H41,Planilha2!B:C,2,0)</f>
        <v>132 a 134</v>
      </c>
    </row>
    <row r="42" spans="1:10" ht="15.75" customHeight="1" x14ac:dyDescent="0.15">
      <c r="A42" s="4" t="s">
        <v>490</v>
      </c>
      <c r="B42" s="3" t="s">
        <v>258</v>
      </c>
      <c r="C42" s="1" t="s">
        <v>54</v>
      </c>
      <c r="D42" s="1" t="s">
        <v>258</v>
      </c>
      <c r="E42" s="1" t="s">
        <v>110</v>
      </c>
      <c r="F42" s="3">
        <v>16.82</v>
      </c>
      <c r="G42" s="1" t="s">
        <v>342</v>
      </c>
      <c r="H42" s="1" t="s">
        <v>665</v>
      </c>
      <c r="I42" s="1" t="s">
        <v>426</v>
      </c>
      <c r="J42" t="str">
        <f>VLOOKUP(H42,Planilha2!B:C,2,0)</f>
        <v>132 a 134</v>
      </c>
    </row>
    <row r="43" spans="1:10" ht="15.75" customHeight="1" x14ac:dyDescent="0.15">
      <c r="A43" s="4" t="s">
        <v>490</v>
      </c>
      <c r="B43" s="3" t="s">
        <v>689</v>
      </c>
      <c r="C43" s="1" t="s">
        <v>54</v>
      </c>
      <c r="D43" s="1" t="s">
        <v>689</v>
      </c>
      <c r="E43" s="1" t="s">
        <v>377</v>
      </c>
      <c r="F43" s="3">
        <v>79.599999999999994</v>
      </c>
      <c r="G43" s="1" t="s">
        <v>342</v>
      </c>
      <c r="H43" s="1" t="s">
        <v>665</v>
      </c>
      <c r="I43" s="1" t="s">
        <v>426</v>
      </c>
      <c r="J43" t="str">
        <f>VLOOKUP(H43,Planilha2!B:C,2,0)</f>
        <v>132 a 134</v>
      </c>
    </row>
    <row r="44" spans="1:10" ht="15.75" customHeight="1" x14ac:dyDescent="0.15">
      <c r="A44" s="4" t="s">
        <v>490</v>
      </c>
      <c r="B44" s="3" t="s">
        <v>725</v>
      </c>
      <c r="C44" s="1" t="s">
        <v>54</v>
      </c>
      <c r="D44" s="1" t="s">
        <v>725</v>
      </c>
      <c r="E44" s="1" t="s">
        <v>108</v>
      </c>
      <c r="F44" s="3">
        <v>43.4</v>
      </c>
      <c r="G44" s="1" t="s">
        <v>342</v>
      </c>
      <c r="H44" s="1" t="s">
        <v>665</v>
      </c>
      <c r="I44" s="1" t="s">
        <v>426</v>
      </c>
      <c r="J44" t="str">
        <f>VLOOKUP(H44,Planilha2!B:C,2,0)</f>
        <v>132 a 134</v>
      </c>
    </row>
    <row r="45" spans="1:10" ht="15.75" customHeight="1" x14ac:dyDescent="0.15">
      <c r="A45" s="4" t="s">
        <v>490</v>
      </c>
      <c r="B45" s="3" t="s">
        <v>69</v>
      </c>
      <c r="C45" s="1" t="s">
        <v>54</v>
      </c>
      <c r="D45" s="1" t="s">
        <v>69</v>
      </c>
      <c r="E45" s="1" t="s">
        <v>108</v>
      </c>
      <c r="F45" s="3">
        <v>298.64999999999998</v>
      </c>
      <c r="G45" s="1" t="s">
        <v>342</v>
      </c>
      <c r="H45" s="1" t="s">
        <v>665</v>
      </c>
      <c r="I45" s="1" t="s">
        <v>426</v>
      </c>
      <c r="J45" t="str">
        <f>VLOOKUP(H45,Planilha2!B:C,2,0)</f>
        <v>132 a 134</v>
      </c>
    </row>
    <row r="46" spans="1:10" ht="15.75" customHeight="1" x14ac:dyDescent="0.15">
      <c r="A46" s="4" t="s">
        <v>490</v>
      </c>
      <c r="B46" s="3" t="s">
        <v>307</v>
      </c>
      <c r="C46" s="1" t="s">
        <v>54</v>
      </c>
      <c r="D46" s="1" t="s">
        <v>307</v>
      </c>
      <c r="E46" s="1" t="s">
        <v>108</v>
      </c>
      <c r="F46" s="3">
        <v>134.65</v>
      </c>
      <c r="G46" s="1" t="s">
        <v>342</v>
      </c>
      <c r="H46" s="1" t="s">
        <v>665</v>
      </c>
      <c r="I46" s="1" t="s">
        <v>426</v>
      </c>
      <c r="J46" t="str">
        <f>VLOOKUP(H46,Planilha2!B:C,2,0)</f>
        <v>132 a 134</v>
      </c>
    </row>
    <row r="47" spans="1:10" ht="15.75" customHeight="1" x14ac:dyDescent="0.15">
      <c r="A47" s="4" t="s">
        <v>490</v>
      </c>
      <c r="B47" s="3" t="s">
        <v>360</v>
      </c>
      <c r="C47" s="1" t="s">
        <v>54</v>
      </c>
      <c r="D47" s="1" t="s">
        <v>360</v>
      </c>
      <c r="E47" s="1" t="s">
        <v>108</v>
      </c>
      <c r="F47" s="3">
        <v>1013.5</v>
      </c>
      <c r="G47" s="1" t="s">
        <v>342</v>
      </c>
      <c r="H47" s="1" t="s">
        <v>665</v>
      </c>
      <c r="I47" s="1" t="s">
        <v>426</v>
      </c>
      <c r="J47" t="str">
        <f>VLOOKUP(H47,Planilha2!B:C,2,0)</f>
        <v>132 a 134</v>
      </c>
    </row>
    <row r="48" spans="1:10" ht="15.75" customHeight="1" x14ac:dyDescent="0.15">
      <c r="A48" s="4" t="s">
        <v>490</v>
      </c>
      <c r="B48" s="3" t="s">
        <v>658</v>
      </c>
      <c r="C48" s="1" t="s">
        <v>54</v>
      </c>
      <c r="D48" s="1" t="s">
        <v>658</v>
      </c>
      <c r="E48" s="1" t="s">
        <v>108</v>
      </c>
      <c r="F48" s="3">
        <v>406.82</v>
      </c>
      <c r="G48" s="1" t="s">
        <v>342</v>
      </c>
      <c r="H48" s="1" t="s">
        <v>665</v>
      </c>
      <c r="I48" s="1" t="s">
        <v>426</v>
      </c>
      <c r="J48" t="str">
        <f>VLOOKUP(H48,Planilha2!B:C,2,0)</f>
        <v>132 a 134</v>
      </c>
    </row>
    <row r="49" spans="1:10" ht="15.75" customHeight="1" x14ac:dyDescent="0.15">
      <c r="A49" s="4" t="s">
        <v>490</v>
      </c>
      <c r="B49" s="3" t="s">
        <v>419</v>
      </c>
      <c r="C49" s="1" t="s">
        <v>54</v>
      </c>
      <c r="D49" s="1" t="s">
        <v>419</v>
      </c>
      <c r="E49" s="1" t="s">
        <v>251</v>
      </c>
      <c r="F49" s="3">
        <v>84.48</v>
      </c>
      <c r="G49" s="1" t="s">
        <v>342</v>
      </c>
      <c r="H49" s="1" t="s">
        <v>665</v>
      </c>
      <c r="I49" s="1" t="s">
        <v>426</v>
      </c>
      <c r="J49" t="str">
        <f>VLOOKUP(H49,Planilha2!B:C,2,0)</f>
        <v>132 a 134</v>
      </c>
    </row>
    <row r="50" spans="1:10" ht="15.75" customHeight="1" x14ac:dyDescent="0.15">
      <c r="A50" s="4" t="s">
        <v>490</v>
      </c>
      <c r="B50" s="3" t="s">
        <v>28</v>
      </c>
      <c r="C50" s="1" t="s">
        <v>54</v>
      </c>
      <c r="D50" s="1" t="s">
        <v>28</v>
      </c>
      <c r="E50" s="1" t="s">
        <v>37</v>
      </c>
      <c r="F50" s="3">
        <v>149.16</v>
      </c>
      <c r="G50" s="1" t="s">
        <v>342</v>
      </c>
      <c r="H50" s="1" t="s">
        <v>665</v>
      </c>
      <c r="I50" s="1" t="s">
        <v>426</v>
      </c>
      <c r="J50" t="str">
        <f>VLOOKUP(H50,Planilha2!B:C,2,0)</f>
        <v>132 a 134</v>
      </c>
    </row>
    <row r="51" spans="1:10" ht="15.75" customHeight="1" x14ac:dyDescent="0.15">
      <c r="A51" s="4" t="s">
        <v>490</v>
      </c>
      <c r="B51" s="3" t="s">
        <v>760</v>
      </c>
      <c r="C51" s="1" t="s">
        <v>54</v>
      </c>
      <c r="D51" s="1" t="s">
        <v>760</v>
      </c>
      <c r="E51" s="1" t="s">
        <v>783</v>
      </c>
      <c r="F51" s="3">
        <v>128.72</v>
      </c>
      <c r="G51" s="1" t="s">
        <v>342</v>
      </c>
      <c r="H51" s="1" t="s">
        <v>665</v>
      </c>
      <c r="I51" s="1" t="s">
        <v>426</v>
      </c>
      <c r="J51" t="str">
        <f>VLOOKUP(H51,Planilha2!B:C,2,0)</f>
        <v>132 a 134</v>
      </c>
    </row>
    <row r="52" spans="1:10" ht="15.75" customHeight="1" x14ac:dyDescent="0.15">
      <c r="A52" s="4" t="s">
        <v>490</v>
      </c>
      <c r="B52" s="3" t="s">
        <v>63</v>
      </c>
      <c r="C52" s="1" t="s">
        <v>54</v>
      </c>
      <c r="D52" s="1" t="s">
        <v>63</v>
      </c>
      <c r="E52" s="1" t="s">
        <v>507</v>
      </c>
      <c r="F52" s="3">
        <v>220.91</v>
      </c>
      <c r="G52" s="1" t="s">
        <v>342</v>
      </c>
      <c r="H52" s="1" t="s">
        <v>665</v>
      </c>
      <c r="I52" s="1" t="s">
        <v>426</v>
      </c>
      <c r="J52" t="str">
        <f>VLOOKUP(H52,Planilha2!B:C,2,0)</f>
        <v>132 a 134</v>
      </c>
    </row>
    <row r="53" spans="1:10" ht="15.75" customHeight="1" x14ac:dyDescent="0.15">
      <c r="A53" s="4" t="s">
        <v>490</v>
      </c>
      <c r="B53" s="3" t="s">
        <v>471</v>
      </c>
      <c r="C53" s="1" t="s">
        <v>54</v>
      </c>
      <c r="D53" s="1" t="s">
        <v>471</v>
      </c>
      <c r="E53" s="1" t="s">
        <v>308</v>
      </c>
      <c r="F53" s="3">
        <v>159.01</v>
      </c>
      <c r="G53" s="1" t="s">
        <v>342</v>
      </c>
      <c r="H53" s="1" t="s">
        <v>665</v>
      </c>
      <c r="I53" s="1" t="s">
        <v>426</v>
      </c>
      <c r="J53" t="str">
        <f>VLOOKUP(H53,Planilha2!B:C,2,0)</f>
        <v>132 a 134</v>
      </c>
    </row>
    <row r="54" spans="1:10" ht="15.75" customHeight="1" x14ac:dyDescent="0.15">
      <c r="A54" s="4" t="s">
        <v>490</v>
      </c>
      <c r="B54" s="3" t="s">
        <v>535</v>
      </c>
      <c r="C54" s="1" t="s">
        <v>54</v>
      </c>
      <c r="D54" s="1" t="s">
        <v>535</v>
      </c>
      <c r="E54" s="1" t="s">
        <v>457</v>
      </c>
      <c r="F54" s="3">
        <v>214.73</v>
      </c>
      <c r="G54" s="1" t="s">
        <v>342</v>
      </c>
      <c r="H54" s="1" t="s">
        <v>665</v>
      </c>
      <c r="I54" s="1" t="s">
        <v>426</v>
      </c>
      <c r="J54" t="str">
        <f>VLOOKUP(H54,Planilha2!B:C,2,0)</f>
        <v>132 a 134</v>
      </c>
    </row>
    <row r="55" spans="1:10" ht="15.75" customHeight="1" x14ac:dyDescent="0.15">
      <c r="A55" s="4" t="s">
        <v>490</v>
      </c>
      <c r="B55" s="3" t="s">
        <v>640</v>
      </c>
      <c r="C55" s="1" t="s">
        <v>54</v>
      </c>
      <c r="D55" s="1" t="s">
        <v>640</v>
      </c>
      <c r="E55" s="1" t="s">
        <v>108</v>
      </c>
      <c r="F55" s="3">
        <v>76.540000000000006</v>
      </c>
      <c r="G55" s="1" t="s">
        <v>342</v>
      </c>
      <c r="H55" s="1" t="s">
        <v>665</v>
      </c>
      <c r="I55" s="1" t="s">
        <v>426</v>
      </c>
      <c r="J55" t="str">
        <f>VLOOKUP(H55,Planilha2!B:C,2,0)</f>
        <v>132 a 134</v>
      </c>
    </row>
    <row r="56" spans="1:10" ht="15.75" customHeight="1" x14ac:dyDescent="0.15">
      <c r="A56" s="4" t="s">
        <v>490</v>
      </c>
      <c r="B56" s="3" t="s">
        <v>601</v>
      </c>
      <c r="C56" s="1" t="s">
        <v>54</v>
      </c>
      <c r="D56" s="1" t="s">
        <v>601</v>
      </c>
      <c r="E56" s="1" t="s">
        <v>108</v>
      </c>
      <c r="F56" s="3">
        <v>182.58</v>
      </c>
      <c r="G56" s="1" t="s">
        <v>342</v>
      </c>
      <c r="H56" s="1" t="s">
        <v>665</v>
      </c>
      <c r="I56" s="1" t="s">
        <v>426</v>
      </c>
      <c r="J56" t="str">
        <f>VLOOKUP(H56,Planilha2!B:C,2,0)</f>
        <v>132 a 134</v>
      </c>
    </row>
    <row r="57" spans="1:10" ht="15.75" customHeight="1" x14ac:dyDescent="0.15">
      <c r="A57" s="4" t="s">
        <v>490</v>
      </c>
      <c r="B57" s="3" t="s">
        <v>789</v>
      </c>
      <c r="C57" s="1" t="s">
        <v>54</v>
      </c>
      <c r="D57" s="1" t="s">
        <v>789</v>
      </c>
      <c r="E57" s="1" t="s">
        <v>763</v>
      </c>
      <c r="F57" s="3">
        <v>29.85</v>
      </c>
      <c r="G57" s="1" t="s">
        <v>342</v>
      </c>
      <c r="H57" s="1" t="s">
        <v>665</v>
      </c>
      <c r="I57" s="1" t="s">
        <v>426</v>
      </c>
      <c r="J57" t="str">
        <f>VLOOKUP(H57,Planilha2!B:C,2,0)</f>
        <v>132 a 134</v>
      </c>
    </row>
    <row r="58" spans="1:10" ht="15.75" customHeight="1" x14ac:dyDescent="0.15">
      <c r="A58" s="4" t="s">
        <v>490</v>
      </c>
      <c r="B58" s="3" t="s">
        <v>394</v>
      </c>
      <c r="C58" s="1" t="s">
        <v>489</v>
      </c>
      <c r="D58" s="1" t="s">
        <v>394</v>
      </c>
      <c r="E58" s="1" t="s">
        <v>108</v>
      </c>
      <c r="F58" s="3">
        <v>234.97</v>
      </c>
      <c r="G58" s="1" t="s">
        <v>342</v>
      </c>
      <c r="H58" s="1" t="s">
        <v>665</v>
      </c>
      <c r="I58" s="1" t="s">
        <v>426</v>
      </c>
      <c r="J58" t="str">
        <f>VLOOKUP(H58,Planilha2!B:C,2,0)</f>
        <v>132 a 134</v>
      </c>
    </row>
    <row r="59" spans="1:10" ht="15.75" customHeight="1" x14ac:dyDescent="0.15">
      <c r="A59" s="4" t="s">
        <v>490</v>
      </c>
      <c r="B59" s="3" t="s">
        <v>160</v>
      </c>
      <c r="C59" s="1" t="s">
        <v>489</v>
      </c>
      <c r="D59" s="1" t="s">
        <v>160</v>
      </c>
      <c r="E59" s="1" t="s">
        <v>108</v>
      </c>
      <c r="F59" s="3">
        <v>27.51</v>
      </c>
      <c r="G59" s="1" t="s">
        <v>342</v>
      </c>
      <c r="H59" s="1" t="s">
        <v>665</v>
      </c>
      <c r="I59" s="1" t="s">
        <v>426</v>
      </c>
      <c r="J59" t="str">
        <f>VLOOKUP(H59,Planilha2!B:C,2,0)</f>
        <v>132 a 134</v>
      </c>
    </row>
    <row r="60" spans="1:10" ht="15.75" customHeight="1" x14ac:dyDescent="0.15">
      <c r="A60" s="4" t="s">
        <v>490</v>
      </c>
      <c r="B60" s="3" t="s">
        <v>358</v>
      </c>
      <c r="C60" s="1" t="s">
        <v>489</v>
      </c>
      <c r="D60" s="1" t="s">
        <v>358</v>
      </c>
      <c r="E60" s="1" t="s">
        <v>108</v>
      </c>
      <c r="F60" s="3">
        <v>80.2</v>
      </c>
      <c r="G60" s="1" t="s">
        <v>342</v>
      </c>
      <c r="H60" s="1" t="s">
        <v>665</v>
      </c>
      <c r="I60" s="1" t="s">
        <v>426</v>
      </c>
      <c r="J60" t="str">
        <f>VLOOKUP(H60,Planilha2!B:C,2,0)</f>
        <v>132 a 134</v>
      </c>
    </row>
    <row r="61" spans="1:10" ht="15.75" customHeight="1" x14ac:dyDescent="0.15">
      <c r="A61" s="4" t="s">
        <v>490</v>
      </c>
      <c r="B61" s="3" t="s">
        <v>728</v>
      </c>
      <c r="C61" s="1" t="s">
        <v>489</v>
      </c>
      <c r="D61" s="1" t="s">
        <v>728</v>
      </c>
      <c r="E61" s="1" t="s">
        <v>220</v>
      </c>
      <c r="F61" s="3">
        <v>41.73</v>
      </c>
      <c r="G61" s="1" t="s">
        <v>342</v>
      </c>
      <c r="H61" s="1" t="s">
        <v>665</v>
      </c>
      <c r="I61" s="1" t="s">
        <v>426</v>
      </c>
      <c r="J61" t="str">
        <f>VLOOKUP(H61,Planilha2!B:C,2,0)</f>
        <v>132 a 134</v>
      </c>
    </row>
    <row r="62" spans="1:10" ht="15.75" customHeight="1" x14ac:dyDescent="0.15">
      <c r="A62" s="4" t="s">
        <v>490</v>
      </c>
      <c r="B62" s="3" t="s">
        <v>269</v>
      </c>
      <c r="C62" s="1" t="s">
        <v>489</v>
      </c>
      <c r="D62" s="1" t="s">
        <v>269</v>
      </c>
      <c r="E62" s="1" t="s">
        <v>287</v>
      </c>
      <c r="F62" s="3">
        <v>86.42</v>
      </c>
      <c r="G62" s="1" t="s">
        <v>342</v>
      </c>
      <c r="H62" s="1" t="s">
        <v>665</v>
      </c>
      <c r="I62" s="1" t="s">
        <v>426</v>
      </c>
      <c r="J62" t="str">
        <f>VLOOKUP(H62,Planilha2!B:C,2,0)</f>
        <v>132 a 134</v>
      </c>
    </row>
    <row r="63" spans="1:10" ht="15.75" customHeight="1" x14ac:dyDescent="0.15">
      <c r="A63" s="4" t="s">
        <v>490</v>
      </c>
      <c r="B63" s="3" t="s">
        <v>681</v>
      </c>
      <c r="C63" s="1" t="s">
        <v>489</v>
      </c>
      <c r="D63" s="1" t="s">
        <v>681</v>
      </c>
      <c r="E63" s="1" t="s">
        <v>834</v>
      </c>
      <c r="F63" s="3">
        <v>958.4</v>
      </c>
      <c r="G63" s="1" t="s">
        <v>342</v>
      </c>
      <c r="H63" s="1" t="s">
        <v>665</v>
      </c>
      <c r="I63" s="1" t="s">
        <v>426</v>
      </c>
      <c r="J63" t="str">
        <f>VLOOKUP(H63,Planilha2!B:C,2,0)</f>
        <v>132 a 134</v>
      </c>
    </row>
    <row r="64" spans="1:10" ht="15.75" customHeight="1" x14ac:dyDescent="0.15">
      <c r="A64" s="4" t="s">
        <v>490</v>
      </c>
      <c r="B64" s="3" t="s">
        <v>620</v>
      </c>
      <c r="C64" s="1" t="s">
        <v>489</v>
      </c>
      <c r="D64" s="1" t="s">
        <v>620</v>
      </c>
      <c r="E64" s="1" t="s">
        <v>22</v>
      </c>
      <c r="F64" s="3">
        <v>539.1</v>
      </c>
      <c r="G64" s="1" t="s">
        <v>342</v>
      </c>
      <c r="H64" s="1" t="s">
        <v>665</v>
      </c>
      <c r="I64" s="1" t="s">
        <v>426</v>
      </c>
      <c r="J64" t="str">
        <f>VLOOKUP(H64,Planilha2!B:C,2,0)</f>
        <v>132 a 134</v>
      </c>
    </row>
    <row r="65" spans="1:10" ht="15.75" customHeight="1" x14ac:dyDescent="0.15">
      <c r="A65" s="4" t="s">
        <v>490</v>
      </c>
      <c r="B65" s="3" t="s">
        <v>502</v>
      </c>
      <c r="C65" s="1" t="s">
        <v>489</v>
      </c>
      <c r="D65" s="1" t="s">
        <v>502</v>
      </c>
      <c r="E65" s="1" t="s">
        <v>861</v>
      </c>
      <c r="F65" s="3">
        <v>718.8</v>
      </c>
      <c r="G65" s="1" t="s">
        <v>342</v>
      </c>
      <c r="H65" s="1" t="s">
        <v>665</v>
      </c>
      <c r="I65" s="1" t="s">
        <v>426</v>
      </c>
      <c r="J65" t="str">
        <f>VLOOKUP(H65,Planilha2!B:C,2,0)</f>
        <v>132 a 134</v>
      </c>
    </row>
    <row r="66" spans="1:10" ht="15.75" customHeight="1" x14ac:dyDescent="0.15">
      <c r="A66" s="4" t="s">
        <v>490</v>
      </c>
      <c r="B66" s="3" t="s">
        <v>605</v>
      </c>
      <c r="C66" s="1" t="s">
        <v>489</v>
      </c>
      <c r="D66" s="1" t="s">
        <v>605</v>
      </c>
      <c r="E66" s="1" t="s">
        <v>108</v>
      </c>
      <c r="F66" s="3">
        <v>49.38</v>
      </c>
      <c r="G66" s="1" t="s">
        <v>342</v>
      </c>
      <c r="H66" s="1" t="s">
        <v>665</v>
      </c>
      <c r="I66" s="1" t="s">
        <v>426</v>
      </c>
      <c r="J66" t="str">
        <f>VLOOKUP(H66,Planilha2!B:C,2,0)</f>
        <v>132 a 134</v>
      </c>
    </row>
    <row r="67" spans="1:10" ht="15.75" customHeight="1" x14ac:dyDescent="0.15">
      <c r="A67" s="4" t="s">
        <v>490</v>
      </c>
      <c r="B67" s="3" t="s">
        <v>181</v>
      </c>
      <c r="C67" s="1" t="s">
        <v>489</v>
      </c>
      <c r="D67" s="1" t="s">
        <v>181</v>
      </c>
      <c r="E67" s="1" t="s">
        <v>252</v>
      </c>
      <c r="F67" s="3">
        <v>61.05</v>
      </c>
      <c r="G67" s="1" t="s">
        <v>342</v>
      </c>
      <c r="H67" s="1" t="s">
        <v>665</v>
      </c>
      <c r="I67" s="1" t="s">
        <v>426</v>
      </c>
      <c r="J67" t="str">
        <f>VLOOKUP(H67,Planilha2!B:C,2,0)</f>
        <v>132 a 134</v>
      </c>
    </row>
    <row r="68" spans="1:10" ht="15.75" customHeight="1" x14ac:dyDescent="0.15">
      <c r="A68" s="4" t="s">
        <v>490</v>
      </c>
      <c r="B68" s="3" t="s">
        <v>583</v>
      </c>
      <c r="C68" s="1" t="s">
        <v>489</v>
      </c>
      <c r="D68" s="1" t="s">
        <v>583</v>
      </c>
      <c r="E68" s="1" t="s">
        <v>287</v>
      </c>
      <c r="F68" s="3">
        <v>1500</v>
      </c>
      <c r="G68" s="1" t="s">
        <v>342</v>
      </c>
      <c r="H68" s="1" t="s">
        <v>665</v>
      </c>
      <c r="I68" s="1" t="s">
        <v>426</v>
      </c>
      <c r="J68" t="str">
        <f>VLOOKUP(H68,Planilha2!B:C,2,0)</f>
        <v>132 a 134</v>
      </c>
    </row>
    <row r="69" spans="1:10" ht="15.75" customHeight="1" x14ac:dyDescent="0.15">
      <c r="A69" s="4" t="s">
        <v>490</v>
      </c>
      <c r="B69" s="3" t="s">
        <v>366</v>
      </c>
      <c r="C69" s="1" t="s">
        <v>489</v>
      </c>
      <c r="D69" s="1" t="s">
        <v>366</v>
      </c>
      <c r="E69" s="1" t="s">
        <v>227</v>
      </c>
      <c r="F69" s="3">
        <v>419.3</v>
      </c>
      <c r="G69" s="1" t="s">
        <v>342</v>
      </c>
      <c r="H69" s="1" t="s">
        <v>665</v>
      </c>
      <c r="I69" s="1" t="s">
        <v>426</v>
      </c>
      <c r="J69" t="str">
        <f>VLOOKUP(H69,Planilha2!B:C,2,0)</f>
        <v>132 a 134</v>
      </c>
    </row>
    <row r="70" spans="1:10" ht="15.75" customHeight="1" x14ac:dyDescent="0.15">
      <c r="A70" s="4" t="s">
        <v>490</v>
      </c>
      <c r="B70" s="3" t="s">
        <v>564</v>
      </c>
      <c r="C70" s="1" t="s">
        <v>489</v>
      </c>
      <c r="D70" s="1" t="s">
        <v>564</v>
      </c>
      <c r="E70" s="1" t="s">
        <v>690</v>
      </c>
      <c r="F70" s="3">
        <v>1497.5</v>
      </c>
      <c r="G70" s="1" t="s">
        <v>342</v>
      </c>
      <c r="H70" s="1" t="s">
        <v>665</v>
      </c>
      <c r="I70" s="1" t="s">
        <v>426</v>
      </c>
      <c r="J70" t="str">
        <f>VLOOKUP(H70,Planilha2!B:C,2,0)</f>
        <v>132 a 134</v>
      </c>
    </row>
    <row r="71" spans="1:10" ht="15.75" customHeight="1" x14ac:dyDescent="0.15">
      <c r="A71" s="4" t="s">
        <v>490</v>
      </c>
      <c r="B71" s="3" t="s">
        <v>455</v>
      </c>
      <c r="C71" s="1" t="s">
        <v>489</v>
      </c>
      <c r="D71" s="1" t="s">
        <v>455</v>
      </c>
      <c r="E71" s="1" t="s">
        <v>446</v>
      </c>
      <c r="F71" s="3">
        <v>1018.3</v>
      </c>
      <c r="G71" s="1" t="s">
        <v>342</v>
      </c>
      <c r="H71" s="1" t="s">
        <v>665</v>
      </c>
      <c r="I71" s="1" t="s">
        <v>426</v>
      </c>
      <c r="J71" t="str">
        <f>VLOOKUP(H71,Planilha2!B:C,2,0)</f>
        <v>132 a 134</v>
      </c>
    </row>
    <row r="72" spans="1:10" ht="15.75" customHeight="1" x14ac:dyDescent="0.15">
      <c r="A72" s="4" t="s">
        <v>281</v>
      </c>
      <c r="B72" s="3" t="s">
        <v>779</v>
      </c>
      <c r="C72" s="1" t="s">
        <v>489</v>
      </c>
      <c r="D72" s="1" t="s">
        <v>779</v>
      </c>
      <c r="E72" s="1" t="s">
        <v>107</v>
      </c>
      <c r="F72" s="3">
        <v>-50</v>
      </c>
      <c r="G72" s="1" t="s">
        <v>723</v>
      </c>
      <c r="H72" s="1" t="s">
        <v>617</v>
      </c>
      <c r="I72" s="1" t="s">
        <v>155</v>
      </c>
      <c r="J72">
        <f>VLOOKUP(H72,Planilha2!B:C,2,0)</f>
        <v>238</v>
      </c>
    </row>
    <row r="73" spans="1:10" ht="15.75" customHeight="1" x14ac:dyDescent="0.15">
      <c r="A73" s="4" t="s">
        <v>281</v>
      </c>
      <c r="B73" s="3" t="s">
        <v>653</v>
      </c>
      <c r="C73" s="1" t="s">
        <v>489</v>
      </c>
      <c r="D73" s="1" t="s">
        <v>653</v>
      </c>
      <c r="E73" s="1" t="s">
        <v>139</v>
      </c>
      <c r="F73" s="3">
        <v>-104.4</v>
      </c>
      <c r="G73" s="1" t="s">
        <v>723</v>
      </c>
      <c r="H73" s="1" t="s">
        <v>639</v>
      </c>
      <c r="I73" s="1" t="s">
        <v>812</v>
      </c>
      <c r="J73">
        <f>VLOOKUP(H73,Planilha2!B:C,2,0)</f>
        <v>201</v>
      </c>
    </row>
    <row r="74" spans="1:10" ht="15.75" customHeight="1" x14ac:dyDescent="0.15">
      <c r="A74" s="4" t="s">
        <v>281</v>
      </c>
      <c r="B74" s="3" t="s">
        <v>443</v>
      </c>
      <c r="C74" s="1" t="s">
        <v>489</v>
      </c>
      <c r="D74" s="1" t="s">
        <v>443</v>
      </c>
      <c r="E74" s="1" t="s">
        <v>762</v>
      </c>
      <c r="F74" s="3">
        <v>-28000</v>
      </c>
      <c r="G74" s="1" t="s">
        <v>342</v>
      </c>
      <c r="H74" s="1" t="s">
        <v>21</v>
      </c>
      <c r="I74" s="1" t="s">
        <v>531</v>
      </c>
      <c r="J74">
        <f>VLOOKUP(H74,Planilha2!B:C,2,0)</f>
        <v>0</v>
      </c>
    </row>
    <row r="75" spans="1:10" ht="15.75" customHeight="1" x14ac:dyDescent="0.15">
      <c r="A75" s="4" t="s">
        <v>490</v>
      </c>
      <c r="B75" s="3" t="s">
        <v>577</v>
      </c>
      <c r="C75" s="1" t="s">
        <v>660</v>
      </c>
      <c r="D75" s="1" t="s">
        <v>577</v>
      </c>
      <c r="E75" s="1" t="s">
        <v>81</v>
      </c>
      <c r="F75" s="3">
        <v>3619.55</v>
      </c>
      <c r="G75" s="1" t="s">
        <v>342</v>
      </c>
      <c r="H75" s="1" t="s">
        <v>665</v>
      </c>
      <c r="I75" s="1" t="s">
        <v>426</v>
      </c>
      <c r="J75" t="str">
        <f>VLOOKUP(H75,Planilha2!B:C,2,0)</f>
        <v>132 a 134</v>
      </c>
    </row>
    <row r="76" spans="1:10" ht="15.75" customHeight="1" x14ac:dyDescent="0.15">
      <c r="A76" s="4" t="s">
        <v>490</v>
      </c>
      <c r="B76" s="3" t="s">
        <v>351</v>
      </c>
      <c r="C76" s="1" t="s">
        <v>660</v>
      </c>
      <c r="D76" s="1" t="s">
        <v>351</v>
      </c>
      <c r="E76" s="1" t="s">
        <v>700</v>
      </c>
      <c r="F76" s="3">
        <v>6682.54</v>
      </c>
      <c r="G76" s="1" t="s">
        <v>342</v>
      </c>
      <c r="H76" s="1" t="s">
        <v>665</v>
      </c>
      <c r="I76" s="1" t="s">
        <v>426</v>
      </c>
      <c r="J76" t="str">
        <f>VLOOKUP(H76,Planilha2!B:C,2,0)</f>
        <v>132 a 134</v>
      </c>
    </row>
    <row r="77" spans="1:10" ht="15.75" customHeight="1" x14ac:dyDescent="0.15">
      <c r="A77" s="4" t="s">
        <v>490</v>
      </c>
      <c r="B77" s="3" t="s">
        <v>29</v>
      </c>
      <c r="C77" s="1" t="s">
        <v>660</v>
      </c>
      <c r="D77" s="1" t="s">
        <v>29</v>
      </c>
      <c r="E77" s="1" t="s">
        <v>754</v>
      </c>
      <c r="F77" s="3">
        <v>1377.7</v>
      </c>
      <c r="G77" s="1" t="s">
        <v>342</v>
      </c>
      <c r="H77" s="1" t="s">
        <v>665</v>
      </c>
      <c r="I77" s="1" t="s">
        <v>426</v>
      </c>
      <c r="J77" t="str">
        <f>VLOOKUP(H77,Planilha2!B:C,2,0)</f>
        <v>132 a 134</v>
      </c>
    </row>
    <row r="78" spans="1:10" ht="15.75" customHeight="1" x14ac:dyDescent="0.15">
      <c r="A78" s="4" t="s">
        <v>490</v>
      </c>
      <c r="B78" s="3" t="s">
        <v>668</v>
      </c>
      <c r="C78" s="1" t="s">
        <v>660</v>
      </c>
      <c r="D78" s="1" t="s">
        <v>668</v>
      </c>
      <c r="E78" s="1" t="s">
        <v>424</v>
      </c>
      <c r="F78" s="3">
        <v>9887.92</v>
      </c>
      <c r="G78" s="1" t="s">
        <v>342</v>
      </c>
      <c r="H78" s="1" t="s">
        <v>665</v>
      </c>
      <c r="I78" s="1" t="s">
        <v>426</v>
      </c>
      <c r="J78" t="str">
        <f>VLOOKUP(H78,Planilha2!B:C,2,0)</f>
        <v>132 a 134</v>
      </c>
    </row>
    <row r="79" spans="1:10" ht="15.75" customHeight="1" x14ac:dyDescent="0.15">
      <c r="A79" s="4" t="s">
        <v>490</v>
      </c>
      <c r="B79" s="3" t="s">
        <v>828</v>
      </c>
      <c r="C79" s="1" t="s">
        <v>660</v>
      </c>
      <c r="D79" s="1" t="s">
        <v>828</v>
      </c>
      <c r="E79" s="1" t="s">
        <v>379</v>
      </c>
      <c r="F79" s="3">
        <v>172.53</v>
      </c>
      <c r="G79" s="1" t="s">
        <v>342</v>
      </c>
      <c r="H79" s="1" t="s">
        <v>665</v>
      </c>
      <c r="I79" s="1" t="s">
        <v>426</v>
      </c>
      <c r="J79" t="str">
        <f>VLOOKUP(H79,Planilha2!B:C,2,0)</f>
        <v>132 a 134</v>
      </c>
    </row>
    <row r="80" spans="1:10" ht="15.75" customHeight="1" x14ac:dyDescent="0.15">
      <c r="A80" s="4" t="s">
        <v>490</v>
      </c>
      <c r="B80" s="3" t="s">
        <v>503</v>
      </c>
      <c r="C80" s="1" t="s">
        <v>393</v>
      </c>
      <c r="D80" s="1" t="s">
        <v>503</v>
      </c>
      <c r="E80" s="1" t="s">
        <v>888</v>
      </c>
      <c r="F80" s="3">
        <v>5.27</v>
      </c>
      <c r="G80" s="1" t="s">
        <v>342</v>
      </c>
      <c r="H80" s="1" t="s">
        <v>665</v>
      </c>
      <c r="I80" s="1" t="s">
        <v>426</v>
      </c>
      <c r="J80" t="str">
        <f>VLOOKUP(H80,Planilha2!B:C,2,0)</f>
        <v>132 a 134</v>
      </c>
    </row>
    <row r="81" spans="1:10" ht="15.75" customHeight="1" x14ac:dyDescent="0.15">
      <c r="A81" s="4" t="s">
        <v>490</v>
      </c>
      <c r="B81" s="3" t="s">
        <v>480</v>
      </c>
      <c r="C81" s="1" t="s">
        <v>393</v>
      </c>
      <c r="D81" s="1" t="s">
        <v>480</v>
      </c>
      <c r="E81" s="1" t="s">
        <v>559</v>
      </c>
      <c r="F81" s="3">
        <v>10.54</v>
      </c>
      <c r="G81" s="1" t="s">
        <v>342</v>
      </c>
      <c r="H81" s="1" t="s">
        <v>665</v>
      </c>
      <c r="I81" s="1" t="s">
        <v>426</v>
      </c>
      <c r="J81" t="str">
        <f>VLOOKUP(H81,Planilha2!B:C,2,0)</f>
        <v>132 a 134</v>
      </c>
    </row>
    <row r="82" spans="1:10" ht="15.75" customHeight="1" x14ac:dyDescent="0.15">
      <c r="A82" s="4" t="s">
        <v>490</v>
      </c>
      <c r="B82" s="3" t="s">
        <v>778</v>
      </c>
      <c r="C82" s="1" t="s">
        <v>393</v>
      </c>
      <c r="D82" s="1" t="s">
        <v>778</v>
      </c>
      <c r="E82" s="1" t="s">
        <v>461</v>
      </c>
      <c r="F82" s="3">
        <v>10.7</v>
      </c>
      <c r="G82" s="1" t="s">
        <v>342</v>
      </c>
      <c r="H82" s="1" t="s">
        <v>665</v>
      </c>
      <c r="I82" s="1" t="s">
        <v>426</v>
      </c>
      <c r="J82" t="str">
        <f>VLOOKUP(H82,Planilha2!B:C,2,0)</f>
        <v>132 a 134</v>
      </c>
    </row>
    <row r="83" spans="1:10" ht="15.75" customHeight="1" x14ac:dyDescent="0.15">
      <c r="A83" s="4" t="s">
        <v>490</v>
      </c>
      <c r="B83" s="3" t="s">
        <v>854</v>
      </c>
      <c r="C83" s="1" t="s">
        <v>393</v>
      </c>
      <c r="D83" s="1" t="s">
        <v>854</v>
      </c>
      <c r="E83" s="1" t="s">
        <v>861</v>
      </c>
      <c r="F83" s="3">
        <v>50.64</v>
      </c>
      <c r="G83" s="1" t="s">
        <v>342</v>
      </c>
      <c r="H83" s="1" t="s">
        <v>665</v>
      </c>
      <c r="I83" s="1" t="s">
        <v>426</v>
      </c>
      <c r="J83" t="str">
        <f>VLOOKUP(H83,Planilha2!B:C,2,0)</f>
        <v>132 a 134</v>
      </c>
    </row>
    <row r="84" spans="1:10" ht="15.75" customHeight="1" x14ac:dyDescent="0.15">
      <c r="A84" s="4" t="s">
        <v>490</v>
      </c>
      <c r="B84" s="3" t="s">
        <v>630</v>
      </c>
      <c r="C84" s="1" t="s">
        <v>393</v>
      </c>
      <c r="D84" s="1" t="s">
        <v>630</v>
      </c>
      <c r="E84" s="1" t="s">
        <v>446</v>
      </c>
      <c r="F84" s="3">
        <v>71.739999999999995</v>
      </c>
      <c r="G84" s="1" t="s">
        <v>342</v>
      </c>
      <c r="H84" s="1" t="s">
        <v>665</v>
      </c>
      <c r="I84" s="1" t="s">
        <v>426</v>
      </c>
      <c r="J84" t="str">
        <f>VLOOKUP(H84,Planilha2!B:C,2,0)</f>
        <v>132 a 134</v>
      </c>
    </row>
    <row r="85" spans="1:10" ht="15.75" customHeight="1" x14ac:dyDescent="0.15">
      <c r="A85" s="4" t="s">
        <v>490</v>
      </c>
      <c r="B85" s="3" t="s">
        <v>157</v>
      </c>
      <c r="C85" s="1" t="s">
        <v>393</v>
      </c>
      <c r="D85" s="1" t="s">
        <v>157</v>
      </c>
      <c r="E85" s="1" t="s">
        <v>22</v>
      </c>
      <c r="F85" s="3">
        <v>37.979999999999997</v>
      </c>
      <c r="G85" s="1" t="s">
        <v>342</v>
      </c>
      <c r="H85" s="1" t="s">
        <v>665</v>
      </c>
      <c r="I85" s="1" t="s">
        <v>426</v>
      </c>
      <c r="J85" t="str">
        <f>VLOOKUP(H85,Planilha2!B:C,2,0)</f>
        <v>132 a 134</v>
      </c>
    </row>
    <row r="86" spans="1:10" ht="15.75" customHeight="1" x14ac:dyDescent="0.15">
      <c r="A86" s="4" t="s">
        <v>490</v>
      </c>
      <c r="B86" s="3" t="s">
        <v>866</v>
      </c>
      <c r="C86" s="1" t="s">
        <v>393</v>
      </c>
      <c r="D86" s="1" t="s">
        <v>866</v>
      </c>
      <c r="E86" s="1" t="s">
        <v>834</v>
      </c>
      <c r="F86" s="3">
        <v>67.52</v>
      </c>
      <c r="G86" s="1" t="s">
        <v>342</v>
      </c>
      <c r="H86" s="1" t="s">
        <v>665</v>
      </c>
      <c r="I86" s="1" t="s">
        <v>426</v>
      </c>
      <c r="J86" t="str">
        <f>VLOOKUP(H86,Planilha2!B:C,2,0)</f>
        <v>132 a 134</v>
      </c>
    </row>
    <row r="87" spans="1:10" ht="15.75" customHeight="1" x14ac:dyDescent="0.15">
      <c r="A87" s="4" t="s">
        <v>490</v>
      </c>
      <c r="B87" s="3" t="s">
        <v>385</v>
      </c>
      <c r="C87" s="1" t="s">
        <v>393</v>
      </c>
      <c r="D87" s="1" t="s">
        <v>385</v>
      </c>
      <c r="E87" s="1" t="s">
        <v>690</v>
      </c>
      <c r="F87" s="3">
        <v>105.5</v>
      </c>
      <c r="G87" s="1" t="s">
        <v>342</v>
      </c>
      <c r="H87" s="1" t="s">
        <v>665</v>
      </c>
      <c r="I87" s="1" t="s">
        <v>426</v>
      </c>
      <c r="J87" t="str">
        <f>VLOOKUP(H87,Planilha2!B:C,2,0)</f>
        <v>132 a 134</v>
      </c>
    </row>
    <row r="88" spans="1:10" ht="15.75" customHeight="1" x14ac:dyDescent="0.15">
      <c r="A88" s="4" t="s">
        <v>490</v>
      </c>
      <c r="B88" s="3" t="s">
        <v>711</v>
      </c>
      <c r="C88" s="1" t="s">
        <v>393</v>
      </c>
      <c r="D88" s="1" t="s">
        <v>711</v>
      </c>
      <c r="E88" s="1" t="s">
        <v>709</v>
      </c>
      <c r="F88" s="3">
        <v>2237.54</v>
      </c>
      <c r="G88" s="1" t="s">
        <v>342</v>
      </c>
      <c r="H88" s="1" t="s">
        <v>665</v>
      </c>
      <c r="I88" s="1" t="s">
        <v>426</v>
      </c>
      <c r="J88" t="str">
        <f>VLOOKUP(H88,Planilha2!B:C,2,0)</f>
        <v>132 a 134</v>
      </c>
    </row>
    <row r="89" spans="1:10" ht="15.75" customHeight="1" x14ac:dyDescent="0.15">
      <c r="A89" s="4" t="s">
        <v>281</v>
      </c>
      <c r="B89" s="3" t="s">
        <v>799</v>
      </c>
      <c r="C89" s="1" t="s">
        <v>393</v>
      </c>
      <c r="D89" s="1" t="s">
        <v>799</v>
      </c>
      <c r="E89" s="1" t="s">
        <v>762</v>
      </c>
      <c r="F89" s="3">
        <v>-25000</v>
      </c>
      <c r="G89" s="1" t="s">
        <v>342</v>
      </c>
      <c r="H89" s="1" t="s">
        <v>21</v>
      </c>
      <c r="I89" s="1" t="s">
        <v>531</v>
      </c>
      <c r="J89">
        <f>VLOOKUP(H89,Planilha2!B:C,2,0)</f>
        <v>0</v>
      </c>
    </row>
    <row r="90" spans="1:10" ht="15.75" customHeight="1" x14ac:dyDescent="0.15">
      <c r="A90" s="4" t="s">
        <v>490</v>
      </c>
      <c r="B90" s="3" t="s">
        <v>740</v>
      </c>
      <c r="C90" s="1" t="s">
        <v>45</v>
      </c>
      <c r="D90" s="1" t="s">
        <v>740</v>
      </c>
      <c r="E90" s="1" t="s">
        <v>792</v>
      </c>
      <c r="F90" s="3">
        <v>49.9</v>
      </c>
      <c r="G90" s="1" t="s">
        <v>342</v>
      </c>
      <c r="H90" s="1" t="s">
        <v>665</v>
      </c>
      <c r="I90" s="1" t="s">
        <v>426</v>
      </c>
      <c r="J90" t="str">
        <f>VLOOKUP(H90,Planilha2!B:C,2,0)</f>
        <v>132 a 134</v>
      </c>
    </row>
    <row r="91" spans="1:10" ht="15.75" customHeight="1" x14ac:dyDescent="0.15">
      <c r="A91" s="4" t="s">
        <v>490</v>
      </c>
      <c r="B91" s="3" t="s">
        <v>416</v>
      </c>
      <c r="C91" s="1" t="s">
        <v>45</v>
      </c>
      <c r="D91" s="1" t="s">
        <v>416</v>
      </c>
      <c r="E91" s="1" t="s">
        <v>792</v>
      </c>
      <c r="F91" s="3">
        <v>941</v>
      </c>
      <c r="G91" s="1" t="s">
        <v>342</v>
      </c>
      <c r="H91" s="1" t="s">
        <v>665</v>
      </c>
      <c r="I91" s="1" t="s">
        <v>426</v>
      </c>
      <c r="J91" t="str">
        <f>VLOOKUP(H91,Planilha2!B:C,2,0)</f>
        <v>132 a 134</v>
      </c>
    </row>
    <row r="92" spans="1:10" ht="15.75" customHeight="1" x14ac:dyDescent="0.15">
      <c r="A92" s="4" t="s">
        <v>490</v>
      </c>
      <c r="B92" s="3" t="s">
        <v>134</v>
      </c>
      <c r="C92" s="1" t="s">
        <v>45</v>
      </c>
      <c r="D92" s="1" t="s">
        <v>134</v>
      </c>
      <c r="E92" s="1" t="s">
        <v>754</v>
      </c>
      <c r="F92" s="3">
        <v>63.27</v>
      </c>
      <c r="G92" s="1" t="s">
        <v>342</v>
      </c>
      <c r="H92" s="1" t="s">
        <v>665</v>
      </c>
      <c r="I92" s="1" t="s">
        <v>426</v>
      </c>
      <c r="J92" t="str">
        <f>VLOOKUP(H92,Planilha2!B:C,2,0)</f>
        <v>132 a 134</v>
      </c>
    </row>
    <row r="93" spans="1:10" ht="15.75" customHeight="1" x14ac:dyDescent="0.15">
      <c r="A93" s="4" t="s">
        <v>490</v>
      </c>
      <c r="B93" s="3" t="s">
        <v>95</v>
      </c>
      <c r="C93" s="1" t="s">
        <v>45</v>
      </c>
      <c r="D93" s="1" t="s">
        <v>95</v>
      </c>
      <c r="E93" s="1" t="s">
        <v>754</v>
      </c>
      <c r="F93" s="3">
        <v>42.2</v>
      </c>
      <c r="G93" s="1" t="s">
        <v>342</v>
      </c>
      <c r="H93" s="1" t="s">
        <v>665</v>
      </c>
      <c r="I93" s="1" t="s">
        <v>426</v>
      </c>
      <c r="J93" t="str">
        <f>VLOOKUP(H93,Planilha2!B:C,2,0)</f>
        <v>132 a 134</v>
      </c>
    </row>
    <row r="94" spans="1:10" ht="15.75" customHeight="1" x14ac:dyDescent="0.15">
      <c r="A94" s="4" t="s">
        <v>490</v>
      </c>
      <c r="B94" s="3" t="s">
        <v>184</v>
      </c>
      <c r="C94" s="1" t="s">
        <v>524</v>
      </c>
      <c r="D94" s="1" t="s">
        <v>184</v>
      </c>
      <c r="E94" s="1" t="s">
        <v>572</v>
      </c>
      <c r="F94" s="3">
        <v>4000</v>
      </c>
      <c r="G94" s="1" t="s">
        <v>342</v>
      </c>
      <c r="H94" s="1" t="s">
        <v>665</v>
      </c>
      <c r="I94" s="1" t="s">
        <v>426</v>
      </c>
      <c r="J94" t="str">
        <f>VLOOKUP(H94,Planilha2!B:C,2,0)</f>
        <v>132 a 134</v>
      </c>
    </row>
    <row r="95" spans="1:10" ht="15.75" customHeight="1" x14ac:dyDescent="0.15">
      <c r="A95" s="4" t="s">
        <v>281</v>
      </c>
      <c r="B95" s="3" t="s">
        <v>230</v>
      </c>
      <c r="C95" s="1" t="s">
        <v>524</v>
      </c>
      <c r="D95" s="1" t="s">
        <v>230</v>
      </c>
      <c r="E95" s="1" t="s">
        <v>825</v>
      </c>
      <c r="F95" s="3">
        <v>-5000</v>
      </c>
      <c r="G95" s="1" t="s">
        <v>723</v>
      </c>
      <c r="H95" s="1" t="s">
        <v>720</v>
      </c>
      <c r="I95" s="1" t="s">
        <v>512</v>
      </c>
      <c r="J95">
        <f>VLOOKUP(H95,Planilha2!B:C,2,0)</f>
        <v>245</v>
      </c>
    </row>
    <row r="96" spans="1:10" ht="15.75" customHeight="1" x14ac:dyDescent="0.15">
      <c r="A96" s="4" t="s">
        <v>490</v>
      </c>
      <c r="B96" s="3" t="s">
        <v>156</v>
      </c>
      <c r="C96" s="1" t="s">
        <v>722</v>
      </c>
      <c r="D96" s="1" t="s">
        <v>156</v>
      </c>
      <c r="E96" s="1" t="s">
        <v>325</v>
      </c>
      <c r="F96" s="3">
        <v>52</v>
      </c>
      <c r="G96" s="1" t="s">
        <v>342</v>
      </c>
      <c r="H96" s="1" t="s">
        <v>665</v>
      </c>
      <c r="I96" s="1" t="s">
        <v>426</v>
      </c>
      <c r="J96" t="str">
        <f>VLOOKUP(H96,Planilha2!B:C,2,0)</f>
        <v>132 a 134</v>
      </c>
    </row>
    <row r="97" spans="1:10" ht="15.75" customHeight="1" x14ac:dyDescent="0.15">
      <c r="A97" s="4" t="s">
        <v>490</v>
      </c>
      <c r="B97" s="3" t="s">
        <v>283</v>
      </c>
      <c r="C97" s="1" t="s">
        <v>722</v>
      </c>
      <c r="D97" s="1" t="s">
        <v>283</v>
      </c>
      <c r="E97" s="1" t="s">
        <v>674</v>
      </c>
      <c r="F97" s="3">
        <v>2000</v>
      </c>
      <c r="G97" s="1" t="s">
        <v>342</v>
      </c>
      <c r="H97" s="1" t="s">
        <v>665</v>
      </c>
      <c r="I97" s="1" t="s">
        <v>426</v>
      </c>
      <c r="J97" t="str">
        <f>VLOOKUP(H97,Planilha2!B:C,2,0)</f>
        <v>132 a 134</v>
      </c>
    </row>
    <row r="98" spans="1:10" ht="15.75" customHeight="1" x14ac:dyDescent="0.15">
      <c r="A98" s="4" t="s">
        <v>490</v>
      </c>
      <c r="B98" s="3" t="s">
        <v>516</v>
      </c>
      <c r="C98" s="1" t="s">
        <v>722</v>
      </c>
      <c r="D98" s="1" t="s">
        <v>516</v>
      </c>
      <c r="E98" s="1" t="s">
        <v>674</v>
      </c>
      <c r="F98" s="3">
        <v>1396.42</v>
      </c>
      <c r="G98" s="1" t="s">
        <v>342</v>
      </c>
      <c r="H98" s="1" t="s">
        <v>665</v>
      </c>
      <c r="I98" s="1" t="s">
        <v>426</v>
      </c>
      <c r="J98" t="str">
        <f>VLOOKUP(H98,Planilha2!B:C,2,0)</f>
        <v>132 a 134</v>
      </c>
    </row>
    <row r="99" spans="1:10" ht="15.75" customHeight="1" x14ac:dyDescent="0.15">
      <c r="A99" s="4" t="s">
        <v>490</v>
      </c>
      <c r="B99" s="3" t="s">
        <v>802</v>
      </c>
      <c r="C99" s="1" t="s">
        <v>722</v>
      </c>
      <c r="D99" s="1" t="s">
        <v>802</v>
      </c>
      <c r="E99" s="1" t="s">
        <v>603</v>
      </c>
      <c r="F99" s="3">
        <v>3290.5</v>
      </c>
      <c r="G99" s="1" t="s">
        <v>342</v>
      </c>
      <c r="H99" s="1" t="s">
        <v>665</v>
      </c>
      <c r="I99" s="1" t="s">
        <v>426</v>
      </c>
      <c r="J99" t="str">
        <f>VLOOKUP(H99,Planilha2!B:C,2,0)</f>
        <v>132 a 134</v>
      </c>
    </row>
    <row r="100" spans="1:10" ht="15.75" customHeight="1" x14ac:dyDescent="0.15">
      <c r="A100" s="4" t="s">
        <v>490</v>
      </c>
      <c r="B100" s="3" t="s">
        <v>434</v>
      </c>
      <c r="C100" s="1" t="s">
        <v>209</v>
      </c>
      <c r="D100" s="1" t="s">
        <v>434</v>
      </c>
      <c r="E100" s="1" t="s">
        <v>108</v>
      </c>
      <c r="F100" s="3">
        <v>556.79999999999995</v>
      </c>
      <c r="G100" s="1" t="s">
        <v>342</v>
      </c>
      <c r="H100" s="1" t="s">
        <v>665</v>
      </c>
      <c r="I100" s="1" t="s">
        <v>426</v>
      </c>
      <c r="J100" t="str">
        <f>VLOOKUP(H100,Planilha2!B:C,2,0)</f>
        <v>132 a 134</v>
      </c>
    </row>
    <row r="101" spans="1:10" ht="15.75" customHeight="1" x14ac:dyDescent="0.15">
      <c r="A101" s="4" t="s">
        <v>490</v>
      </c>
      <c r="B101" s="3" t="s">
        <v>588</v>
      </c>
      <c r="C101" s="1" t="s">
        <v>209</v>
      </c>
      <c r="D101" s="1" t="s">
        <v>588</v>
      </c>
      <c r="E101" s="1" t="s">
        <v>108</v>
      </c>
      <c r="F101" s="3">
        <v>256.45999999999998</v>
      </c>
      <c r="G101" s="1" t="s">
        <v>342</v>
      </c>
      <c r="H101" s="1" t="s">
        <v>665</v>
      </c>
      <c r="I101" s="1" t="s">
        <v>426</v>
      </c>
      <c r="J101" t="str">
        <f>VLOOKUP(H101,Planilha2!B:C,2,0)</f>
        <v>132 a 134</v>
      </c>
    </row>
    <row r="102" spans="1:10" ht="15.75" customHeight="1" x14ac:dyDescent="0.15">
      <c r="A102" s="4" t="s">
        <v>490</v>
      </c>
      <c r="B102" s="3" t="s">
        <v>39</v>
      </c>
      <c r="C102" s="1" t="s">
        <v>209</v>
      </c>
      <c r="D102" s="1" t="s">
        <v>39</v>
      </c>
      <c r="E102" s="1" t="s">
        <v>108</v>
      </c>
      <c r="F102" s="3">
        <v>312.07</v>
      </c>
      <c r="G102" s="1" t="s">
        <v>342</v>
      </c>
      <c r="H102" s="1" t="s">
        <v>665</v>
      </c>
      <c r="I102" s="1" t="s">
        <v>426</v>
      </c>
      <c r="J102" t="str">
        <f>VLOOKUP(H102,Planilha2!B:C,2,0)</f>
        <v>132 a 134</v>
      </c>
    </row>
    <row r="103" spans="1:10" ht="15.75" customHeight="1" x14ac:dyDescent="0.15">
      <c r="A103" s="4" t="s">
        <v>490</v>
      </c>
      <c r="B103" s="3" t="s">
        <v>848</v>
      </c>
      <c r="C103" s="1" t="s">
        <v>209</v>
      </c>
      <c r="D103" s="1" t="s">
        <v>848</v>
      </c>
      <c r="E103" s="1" t="s">
        <v>108</v>
      </c>
      <c r="F103" s="3">
        <v>82.14</v>
      </c>
      <c r="G103" s="1" t="s">
        <v>342</v>
      </c>
      <c r="H103" s="1" t="s">
        <v>665</v>
      </c>
      <c r="I103" s="1" t="s">
        <v>426</v>
      </c>
      <c r="J103" t="str">
        <f>VLOOKUP(H103,Planilha2!B:C,2,0)</f>
        <v>132 a 134</v>
      </c>
    </row>
    <row r="104" spans="1:10" ht="15.75" customHeight="1" x14ac:dyDescent="0.15">
      <c r="A104" s="4" t="s">
        <v>490</v>
      </c>
      <c r="B104" s="3" t="s">
        <v>44</v>
      </c>
      <c r="C104" s="1" t="s">
        <v>209</v>
      </c>
      <c r="D104" s="1" t="s">
        <v>44</v>
      </c>
      <c r="E104" s="1" t="s">
        <v>108</v>
      </c>
      <c r="F104" s="3">
        <v>266.07</v>
      </c>
      <c r="G104" s="1" t="s">
        <v>342</v>
      </c>
      <c r="H104" s="1" t="s">
        <v>665</v>
      </c>
      <c r="I104" s="1" t="s">
        <v>426</v>
      </c>
      <c r="J104" t="str">
        <f>VLOOKUP(H104,Planilha2!B:C,2,0)</f>
        <v>132 a 134</v>
      </c>
    </row>
    <row r="105" spans="1:10" ht="15.75" customHeight="1" x14ac:dyDescent="0.15">
      <c r="A105" s="4" t="s">
        <v>490</v>
      </c>
      <c r="B105" s="3" t="s">
        <v>363</v>
      </c>
      <c r="C105" s="1" t="s">
        <v>209</v>
      </c>
      <c r="D105" s="1" t="s">
        <v>363</v>
      </c>
      <c r="E105" s="1" t="s">
        <v>108</v>
      </c>
      <c r="F105" s="3">
        <v>244.95</v>
      </c>
      <c r="G105" s="1" t="s">
        <v>342</v>
      </c>
      <c r="H105" s="1" t="s">
        <v>665</v>
      </c>
      <c r="I105" s="1" t="s">
        <v>426</v>
      </c>
      <c r="J105" t="str">
        <f>VLOOKUP(H105,Planilha2!B:C,2,0)</f>
        <v>132 a 134</v>
      </c>
    </row>
    <row r="106" spans="1:10" ht="15.75" customHeight="1" x14ac:dyDescent="0.15">
      <c r="A106" s="4" t="s">
        <v>490</v>
      </c>
      <c r="B106" s="3" t="s">
        <v>517</v>
      </c>
      <c r="C106" s="1" t="s">
        <v>209</v>
      </c>
      <c r="D106" s="1" t="s">
        <v>517</v>
      </c>
      <c r="E106" s="1" t="s">
        <v>108</v>
      </c>
      <c r="F106" s="3">
        <v>175.81</v>
      </c>
      <c r="G106" s="1" t="s">
        <v>342</v>
      </c>
      <c r="H106" s="1" t="s">
        <v>665</v>
      </c>
      <c r="I106" s="1" t="s">
        <v>426</v>
      </c>
      <c r="J106" t="str">
        <f>VLOOKUP(H106,Planilha2!B:C,2,0)</f>
        <v>132 a 134</v>
      </c>
    </row>
    <row r="107" spans="1:10" ht="15.75" customHeight="1" x14ac:dyDescent="0.15">
      <c r="A107" s="4" t="s">
        <v>490</v>
      </c>
      <c r="B107" s="3" t="s">
        <v>329</v>
      </c>
      <c r="C107" s="1" t="s">
        <v>209</v>
      </c>
      <c r="D107" s="1" t="s">
        <v>329</v>
      </c>
      <c r="E107" s="1" t="s">
        <v>108</v>
      </c>
      <c r="F107" s="3">
        <v>51.11</v>
      </c>
      <c r="G107" s="1" t="s">
        <v>342</v>
      </c>
      <c r="H107" s="1" t="s">
        <v>665</v>
      </c>
      <c r="I107" s="1" t="s">
        <v>426</v>
      </c>
      <c r="J107" t="str">
        <f>VLOOKUP(H107,Planilha2!B:C,2,0)</f>
        <v>132 a 134</v>
      </c>
    </row>
    <row r="108" spans="1:10" ht="15.75" customHeight="1" x14ac:dyDescent="0.15">
      <c r="A108" s="4" t="s">
        <v>490</v>
      </c>
      <c r="B108" s="3" t="s">
        <v>140</v>
      </c>
      <c r="C108" s="1" t="s">
        <v>209</v>
      </c>
      <c r="D108" s="1" t="s">
        <v>140</v>
      </c>
      <c r="E108" s="1" t="s">
        <v>108</v>
      </c>
      <c r="F108" s="3">
        <v>179.61</v>
      </c>
      <c r="G108" s="1" t="s">
        <v>342</v>
      </c>
      <c r="H108" s="1" t="s">
        <v>665</v>
      </c>
      <c r="I108" s="1" t="s">
        <v>426</v>
      </c>
      <c r="J108" t="str">
        <f>VLOOKUP(H108,Planilha2!B:C,2,0)</f>
        <v>132 a 134</v>
      </c>
    </row>
    <row r="109" spans="1:10" ht="15.75" customHeight="1" x14ac:dyDescent="0.15">
      <c r="A109" s="4" t="s">
        <v>490</v>
      </c>
      <c r="B109" s="3" t="s">
        <v>341</v>
      </c>
      <c r="C109" s="1" t="s">
        <v>209</v>
      </c>
      <c r="D109" s="1" t="s">
        <v>341</v>
      </c>
      <c r="E109" s="1" t="s">
        <v>108</v>
      </c>
      <c r="F109" s="3">
        <v>1140.42</v>
      </c>
      <c r="G109" s="1" t="s">
        <v>342</v>
      </c>
      <c r="H109" s="1" t="s">
        <v>665</v>
      </c>
      <c r="I109" s="1" t="s">
        <v>426</v>
      </c>
      <c r="J109" t="str">
        <f>VLOOKUP(H109,Planilha2!B:C,2,0)</f>
        <v>132 a 134</v>
      </c>
    </row>
    <row r="110" spans="1:10" ht="15.75" customHeight="1" x14ac:dyDescent="0.15">
      <c r="A110" s="4" t="s">
        <v>490</v>
      </c>
      <c r="B110" s="3" t="s">
        <v>501</v>
      </c>
      <c r="C110" s="1" t="s">
        <v>209</v>
      </c>
      <c r="D110" s="1" t="s">
        <v>501</v>
      </c>
      <c r="E110" s="1" t="s">
        <v>247</v>
      </c>
      <c r="F110" s="3">
        <v>166.97</v>
      </c>
      <c r="G110" s="1" t="s">
        <v>342</v>
      </c>
      <c r="H110" s="1" t="s">
        <v>665</v>
      </c>
      <c r="I110" s="1" t="s">
        <v>426</v>
      </c>
      <c r="J110" t="str">
        <f>VLOOKUP(H110,Planilha2!B:C,2,0)</f>
        <v>132 a 134</v>
      </c>
    </row>
    <row r="111" spans="1:10" ht="15.75" customHeight="1" x14ac:dyDescent="0.15">
      <c r="A111" s="4" t="s">
        <v>490</v>
      </c>
      <c r="B111" s="3" t="s">
        <v>297</v>
      </c>
      <c r="C111" s="1" t="s">
        <v>209</v>
      </c>
      <c r="D111" s="1" t="s">
        <v>297</v>
      </c>
      <c r="E111" s="1" t="s">
        <v>638</v>
      </c>
      <c r="F111" s="3">
        <v>71.56</v>
      </c>
      <c r="G111" s="1" t="s">
        <v>342</v>
      </c>
      <c r="H111" s="1" t="s">
        <v>665</v>
      </c>
      <c r="I111" s="1" t="s">
        <v>426</v>
      </c>
      <c r="J111" t="str">
        <f>VLOOKUP(H111,Planilha2!B:C,2,0)</f>
        <v>132 a 134</v>
      </c>
    </row>
    <row r="112" spans="1:10" ht="15.75" customHeight="1" x14ac:dyDescent="0.15">
      <c r="A112" s="4" t="s">
        <v>490</v>
      </c>
      <c r="B112" s="3" t="s">
        <v>609</v>
      </c>
      <c r="C112" s="1" t="s">
        <v>209</v>
      </c>
      <c r="D112" s="1" t="s">
        <v>609</v>
      </c>
      <c r="E112" s="1" t="s">
        <v>437</v>
      </c>
      <c r="F112" s="3">
        <v>20.22</v>
      </c>
      <c r="G112" s="1" t="s">
        <v>342</v>
      </c>
      <c r="H112" s="1" t="s">
        <v>665</v>
      </c>
      <c r="I112" s="1" t="s">
        <v>426</v>
      </c>
      <c r="J112" t="str">
        <f>VLOOKUP(H112,Planilha2!B:C,2,0)</f>
        <v>132 a 134</v>
      </c>
    </row>
    <row r="113" spans="1:10" ht="15.75" customHeight="1" x14ac:dyDescent="0.15">
      <c r="A113" s="4" t="s">
        <v>490</v>
      </c>
      <c r="B113" s="3" t="s">
        <v>356</v>
      </c>
      <c r="C113" s="1" t="s">
        <v>209</v>
      </c>
      <c r="D113" s="1" t="s">
        <v>356</v>
      </c>
      <c r="E113" s="1" t="s">
        <v>739</v>
      </c>
      <c r="F113" s="3">
        <v>51.65</v>
      </c>
      <c r="G113" s="1" t="s">
        <v>342</v>
      </c>
      <c r="H113" s="1" t="s">
        <v>665</v>
      </c>
      <c r="I113" s="1" t="s">
        <v>426</v>
      </c>
      <c r="J113" t="str">
        <f>VLOOKUP(H113,Planilha2!B:C,2,0)</f>
        <v>132 a 134</v>
      </c>
    </row>
    <row r="114" spans="1:10" ht="15.75" customHeight="1" x14ac:dyDescent="0.15">
      <c r="A114" s="4" t="s">
        <v>490</v>
      </c>
      <c r="B114" s="3" t="s">
        <v>568</v>
      </c>
      <c r="C114" s="1" t="s">
        <v>209</v>
      </c>
      <c r="D114" s="1" t="s">
        <v>568</v>
      </c>
      <c r="E114" s="1" t="s">
        <v>108</v>
      </c>
      <c r="F114" s="3">
        <v>49.72</v>
      </c>
      <c r="G114" s="1" t="s">
        <v>342</v>
      </c>
      <c r="H114" s="1" t="s">
        <v>665</v>
      </c>
      <c r="I114" s="1" t="s">
        <v>426</v>
      </c>
      <c r="J114" t="str">
        <f>VLOOKUP(H114,Planilha2!B:C,2,0)</f>
        <v>132 a 134</v>
      </c>
    </row>
    <row r="115" spans="1:10" ht="15.75" customHeight="1" x14ac:dyDescent="0.15">
      <c r="A115" s="4" t="s">
        <v>490</v>
      </c>
      <c r="B115" s="3" t="s">
        <v>386</v>
      </c>
      <c r="C115" s="1" t="s">
        <v>209</v>
      </c>
      <c r="D115" s="1" t="s">
        <v>386</v>
      </c>
      <c r="E115" s="1" t="s">
        <v>108</v>
      </c>
      <c r="F115" s="3">
        <v>958.52</v>
      </c>
      <c r="G115" s="1" t="s">
        <v>342</v>
      </c>
      <c r="H115" s="1" t="s">
        <v>665</v>
      </c>
      <c r="I115" s="1" t="s">
        <v>426</v>
      </c>
      <c r="J115" t="str">
        <f>VLOOKUP(H115,Planilha2!B:C,2,0)</f>
        <v>132 a 134</v>
      </c>
    </row>
    <row r="116" spans="1:10" ht="15.75" customHeight="1" x14ac:dyDescent="0.15">
      <c r="A116" s="4" t="s">
        <v>490</v>
      </c>
      <c r="B116" s="3" t="s">
        <v>208</v>
      </c>
      <c r="C116" s="1" t="s">
        <v>209</v>
      </c>
      <c r="D116" s="1" t="s">
        <v>208</v>
      </c>
      <c r="E116" s="1" t="s">
        <v>867</v>
      </c>
      <c r="F116" s="3">
        <v>467.36</v>
      </c>
      <c r="G116" s="1" t="s">
        <v>342</v>
      </c>
      <c r="H116" s="1" t="s">
        <v>665</v>
      </c>
      <c r="I116" s="1" t="s">
        <v>426</v>
      </c>
      <c r="J116" t="str">
        <f>VLOOKUP(H116,Planilha2!B:C,2,0)</f>
        <v>132 a 134</v>
      </c>
    </row>
    <row r="117" spans="1:10" ht="15.75" customHeight="1" x14ac:dyDescent="0.15">
      <c r="A117" s="4" t="s">
        <v>490</v>
      </c>
      <c r="B117" s="3" t="s">
        <v>347</v>
      </c>
      <c r="C117" s="1" t="s">
        <v>209</v>
      </c>
      <c r="D117" s="1" t="s">
        <v>347</v>
      </c>
      <c r="E117" s="1" t="s">
        <v>381</v>
      </c>
      <c r="F117" s="3">
        <v>270.57</v>
      </c>
      <c r="G117" s="1" t="s">
        <v>342</v>
      </c>
      <c r="H117" s="1" t="s">
        <v>665</v>
      </c>
      <c r="I117" s="1" t="s">
        <v>426</v>
      </c>
      <c r="J117" t="str">
        <f>VLOOKUP(H117,Planilha2!B:C,2,0)</f>
        <v>132 a 134</v>
      </c>
    </row>
    <row r="118" spans="1:10" ht="15.75" customHeight="1" x14ac:dyDescent="0.15">
      <c r="A118" s="4" t="s">
        <v>490</v>
      </c>
      <c r="B118" s="3" t="s">
        <v>803</v>
      </c>
      <c r="C118" s="1" t="s">
        <v>209</v>
      </c>
      <c r="D118" s="1" t="s">
        <v>803</v>
      </c>
      <c r="E118" s="1" t="s">
        <v>108</v>
      </c>
      <c r="F118" s="3">
        <v>40.25</v>
      </c>
      <c r="G118" s="1" t="s">
        <v>342</v>
      </c>
      <c r="H118" s="1" t="s">
        <v>665</v>
      </c>
      <c r="I118" s="1" t="s">
        <v>426</v>
      </c>
      <c r="J118" t="str">
        <f>VLOOKUP(H118,Planilha2!B:C,2,0)</f>
        <v>132 a 134</v>
      </c>
    </row>
    <row r="119" spans="1:10" ht="15.75" customHeight="1" x14ac:dyDescent="0.15">
      <c r="A119" s="4" t="s">
        <v>490</v>
      </c>
      <c r="B119" s="3" t="s">
        <v>2</v>
      </c>
      <c r="C119" s="1" t="s">
        <v>209</v>
      </c>
      <c r="D119" s="1" t="s">
        <v>2</v>
      </c>
      <c r="E119" s="1" t="s">
        <v>108</v>
      </c>
      <c r="F119" s="3">
        <v>892.68</v>
      </c>
      <c r="G119" s="1" t="s">
        <v>342</v>
      </c>
      <c r="H119" s="1" t="s">
        <v>665</v>
      </c>
      <c r="I119" s="1" t="s">
        <v>426</v>
      </c>
      <c r="J119" t="str">
        <f>VLOOKUP(H119,Planilha2!B:C,2,0)</f>
        <v>132 a 134</v>
      </c>
    </row>
    <row r="120" spans="1:10" ht="15.75" customHeight="1" x14ac:dyDescent="0.15">
      <c r="A120" s="4" t="s">
        <v>490</v>
      </c>
      <c r="B120" s="3" t="s">
        <v>771</v>
      </c>
      <c r="C120" s="1" t="s">
        <v>209</v>
      </c>
      <c r="D120" s="1" t="s">
        <v>771</v>
      </c>
      <c r="E120" s="1" t="s">
        <v>108</v>
      </c>
      <c r="F120" s="3">
        <v>660.38</v>
      </c>
      <c r="G120" s="1" t="s">
        <v>342</v>
      </c>
      <c r="H120" s="1" t="s">
        <v>665</v>
      </c>
      <c r="I120" s="1" t="s">
        <v>426</v>
      </c>
      <c r="J120" t="str">
        <f>VLOOKUP(H120,Planilha2!B:C,2,0)</f>
        <v>132 a 134</v>
      </c>
    </row>
    <row r="121" spans="1:10" ht="15.75" customHeight="1" x14ac:dyDescent="0.15">
      <c r="A121" s="4" t="s">
        <v>490</v>
      </c>
      <c r="B121" s="3" t="s">
        <v>11</v>
      </c>
      <c r="C121" s="1" t="s">
        <v>209</v>
      </c>
      <c r="D121" s="1" t="s">
        <v>11</v>
      </c>
      <c r="E121" s="1" t="s">
        <v>108</v>
      </c>
      <c r="F121" s="3">
        <v>106.27</v>
      </c>
      <c r="G121" s="1" t="s">
        <v>342</v>
      </c>
      <c r="H121" s="1" t="s">
        <v>665</v>
      </c>
      <c r="I121" s="1" t="s">
        <v>426</v>
      </c>
      <c r="J121" t="str">
        <f>VLOOKUP(H121,Planilha2!B:C,2,0)</f>
        <v>132 a 134</v>
      </c>
    </row>
    <row r="122" spans="1:10" ht="15.75" customHeight="1" x14ac:dyDescent="0.15">
      <c r="A122" s="4" t="s">
        <v>490</v>
      </c>
      <c r="B122" s="3" t="s">
        <v>75</v>
      </c>
      <c r="C122" s="1" t="s">
        <v>209</v>
      </c>
      <c r="D122" s="1" t="s">
        <v>75</v>
      </c>
      <c r="E122" s="1" t="s">
        <v>108</v>
      </c>
      <c r="F122" s="3">
        <v>506.71</v>
      </c>
      <c r="G122" s="1" t="s">
        <v>342</v>
      </c>
      <c r="H122" s="1" t="s">
        <v>665</v>
      </c>
      <c r="I122" s="1" t="s">
        <v>426</v>
      </c>
      <c r="J122" t="str">
        <f>VLOOKUP(H122,Planilha2!B:C,2,0)</f>
        <v>132 a 134</v>
      </c>
    </row>
    <row r="123" spans="1:10" ht="15.75" customHeight="1" x14ac:dyDescent="0.15">
      <c r="A123" s="4" t="s">
        <v>490</v>
      </c>
      <c r="B123" s="3" t="s">
        <v>14</v>
      </c>
      <c r="C123" s="1" t="s">
        <v>209</v>
      </c>
      <c r="D123" s="1" t="s">
        <v>14</v>
      </c>
      <c r="E123" s="1" t="s">
        <v>108</v>
      </c>
      <c r="F123" s="3">
        <v>51.36</v>
      </c>
      <c r="G123" s="1" t="s">
        <v>342</v>
      </c>
      <c r="H123" s="1" t="s">
        <v>665</v>
      </c>
      <c r="I123" s="1" t="s">
        <v>426</v>
      </c>
      <c r="J123" t="str">
        <f>VLOOKUP(H123,Planilha2!B:C,2,0)</f>
        <v>132 a 134</v>
      </c>
    </row>
    <row r="124" spans="1:10" ht="15.75" customHeight="1" x14ac:dyDescent="0.15">
      <c r="A124" s="4" t="s">
        <v>490</v>
      </c>
      <c r="B124" s="3" t="s">
        <v>625</v>
      </c>
      <c r="C124" s="1" t="s">
        <v>209</v>
      </c>
      <c r="D124" s="1" t="s">
        <v>625</v>
      </c>
      <c r="E124" s="1" t="s">
        <v>674</v>
      </c>
      <c r="F124" s="3">
        <v>2000</v>
      </c>
      <c r="G124" s="1" t="s">
        <v>342</v>
      </c>
      <c r="H124" s="1" t="s">
        <v>665</v>
      </c>
      <c r="I124" s="1" t="s">
        <v>426</v>
      </c>
      <c r="J124" t="str">
        <f>VLOOKUP(H124,Planilha2!B:C,2,0)</f>
        <v>132 a 134</v>
      </c>
    </row>
    <row r="125" spans="1:10" ht="15.75" customHeight="1" x14ac:dyDescent="0.15">
      <c r="A125" s="4" t="s">
        <v>490</v>
      </c>
      <c r="B125" s="3" t="s">
        <v>842</v>
      </c>
      <c r="C125" s="1" t="s">
        <v>209</v>
      </c>
      <c r="D125" s="1" t="s">
        <v>842</v>
      </c>
      <c r="E125" s="1" t="s">
        <v>108</v>
      </c>
      <c r="F125" s="3">
        <v>855.25</v>
      </c>
      <c r="G125" s="1" t="s">
        <v>342</v>
      </c>
      <c r="H125" s="1" t="s">
        <v>665</v>
      </c>
      <c r="I125" s="1" t="s">
        <v>426</v>
      </c>
      <c r="J125" t="str">
        <f>VLOOKUP(H125,Planilha2!B:C,2,0)</f>
        <v>132 a 134</v>
      </c>
    </row>
    <row r="126" spans="1:10" ht="15.75" customHeight="1" x14ac:dyDescent="0.15">
      <c r="A126" s="4" t="s">
        <v>490</v>
      </c>
      <c r="B126" s="3" t="s">
        <v>221</v>
      </c>
      <c r="C126" s="1" t="s">
        <v>209</v>
      </c>
      <c r="D126" s="1" t="s">
        <v>221</v>
      </c>
      <c r="E126" s="1" t="s">
        <v>108</v>
      </c>
      <c r="F126" s="3">
        <v>51.3</v>
      </c>
      <c r="G126" s="1" t="s">
        <v>342</v>
      </c>
      <c r="H126" s="1" t="s">
        <v>665</v>
      </c>
      <c r="I126" s="1" t="s">
        <v>426</v>
      </c>
      <c r="J126" t="str">
        <f>VLOOKUP(H126,Planilha2!B:C,2,0)</f>
        <v>132 a 134</v>
      </c>
    </row>
    <row r="127" spans="1:10" ht="15.75" customHeight="1" x14ac:dyDescent="0.15">
      <c r="A127" s="4" t="s">
        <v>490</v>
      </c>
      <c r="B127" s="3" t="s">
        <v>65</v>
      </c>
      <c r="C127" s="1" t="s">
        <v>209</v>
      </c>
      <c r="D127" s="1" t="s">
        <v>65</v>
      </c>
      <c r="E127" s="1" t="s">
        <v>108</v>
      </c>
      <c r="F127" s="3">
        <v>2206.5300000000002</v>
      </c>
      <c r="G127" s="1" t="s">
        <v>342</v>
      </c>
      <c r="H127" s="1" t="s">
        <v>665</v>
      </c>
      <c r="I127" s="1" t="s">
        <v>426</v>
      </c>
      <c r="J127" t="str">
        <f>VLOOKUP(H127,Planilha2!B:C,2,0)</f>
        <v>132 a 134</v>
      </c>
    </row>
    <row r="128" spans="1:10" ht="15.75" customHeight="1" x14ac:dyDescent="0.15">
      <c r="A128" s="4" t="s">
        <v>490</v>
      </c>
      <c r="B128" s="3" t="s">
        <v>306</v>
      </c>
      <c r="C128" s="1" t="s">
        <v>209</v>
      </c>
      <c r="D128" s="1" t="s">
        <v>306</v>
      </c>
      <c r="E128" s="1" t="s">
        <v>108</v>
      </c>
      <c r="F128" s="3">
        <v>64.7</v>
      </c>
      <c r="G128" s="1" t="s">
        <v>342</v>
      </c>
      <c r="H128" s="1" t="s">
        <v>665</v>
      </c>
      <c r="I128" s="1" t="s">
        <v>426</v>
      </c>
      <c r="J128" t="str">
        <f>VLOOKUP(H128,Planilha2!B:C,2,0)</f>
        <v>132 a 134</v>
      </c>
    </row>
    <row r="129" spans="1:10" ht="15.75" customHeight="1" x14ac:dyDescent="0.15">
      <c r="A129" s="4" t="s">
        <v>490</v>
      </c>
      <c r="B129" s="3" t="s">
        <v>49</v>
      </c>
      <c r="C129" s="1" t="s">
        <v>209</v>
      </c>
      <c r="D129" s="1" t="s">
        <v>49</v>
      </c>
      <c r="E129" s="1" t="s">
        <v>561</v>
      </c>
      <c r="F129" s="3">
        <v>119.31</v>
      </c>
      <c r="G129" s="1" t="s">
        <v>342</v>
      </c>
      <c r="H129" s="1" t="s">
        <v>665</v>
      </c>
      <c r="I129" s="1" t="s">
        <v>426</v>
      </c>
      <c r="J129" t="str">
        <f>VLOOKUP(H129,Planilha2!B:C,2,0)</f>
        <v>132 a 134</v>
      </c>
    </row>
    <row r="130" spans="1:10" ht="15.75" customHeight="1" x14ac:dyDescent="0.15">
      <c r="A130" s="4" t="s">
        <v>490</v>
      </c>
      <c r="B130" s="3" t="s">
        <v>205</v>
      </c>
      <c r="C130" s="1" t="s">
        <v>209</v>
      </c>
      <c r="D130" s="1" t="s">
        <v>205</v>
      </c>
      <c r="E130" s="1" t="s">
        <v>724</v>
      </c>
      <c r="F130" s="3">
        <v>176.82</v>
      </c>
      <c r="G130" s="1" t="s">
        <v>342</v>
      </c>
      <c r="H130" s="1" t="s">
        <v>665</v>
      </c>
      <c r="I130" s="1" t="s">
        <v>426</v>
      </c>
      <c r="J130" t="str">
        <f>VLOOKUP(H130,Planilha2!B:C,2,0)</f>
        <v>132 a 134</v>
      </c>
    </row>
    <row r="131" spans="1:10" ht="15.75" customHeight="1" x14ac:dyDescent="0.15">
      <c r="A131" s="4" t="s">
        <v>490</v>
      </c>
      <c r="B131" s="3" t="s">
        <v>805</v>
      </c>
      <c r="C131" s="1" t="s">
        <v>209</v>
      </c>
      <c r="D131" s="1" t="s">
        <v>805</v>
      </c>
      <c r="E131" s="1" t="s">
        <v>290</v>
      </c>
      <c r="F131" s="3">
        <v>53.64</v>
      </c>
      <c r="G131" s="1" t="s">
        <v>342</v>
      </c>
      <c r="H131" s="1" t="s">
        <v>665</v>
      </c>
      <c r="I131" s="1" t="s">
        <v>426</v>
      </c>
      <c r="J131" t="str">
        <f>VLOOKUP(H131,Planilha2!B:C,2,0)</f>
        <v>132 a 134</v>
      </c>
    </row>
    <row r="132" spans="1:10" ht="15.75" customHeight="1" x14ac:dyDescent="0.15">
      <c r="A132" s="4" t="s">
        <v>490</v>
      </c>
      <c r="B132" s="3" t="s">
        <v>864</v>
      </c>
      <c r="C132" s="1" t="s">
        <v>209</v>
      </c>
      <c r="D132" s="1" t="s">
        <v>864</v>
      </c>
      <c r="E132" s="1" t="s">
        <v>701</v>
      </c>
      <c r="F132" s="3">
        <v>49.66</v>
      </c>
      <c r="G132" s="1" t="s">
        <v>342</v>
      </c>
      <c r="H132" s="1" t="s">
        <v>665</v>
      </c>
      <c r="I132" s="1" t="s">
        <v>426</v>
      </c>
      <c r="J132" t="str">
        <f>VLOOKUP(H132,Planilha2!B:C,2,0)</f>
        <v>132 a 134</v>
      </c>
    </row>
    <row r="133" spans="1:10" ht="15.75" customHeight="1" x14ac:dyDescent="0.15">
      <c r="A133" s="4" t="s">
        <v>490</v>
      </c>
      <c r="B133" s="3" t="s">
        <v>91</v>
      </c>
      <c r="C133" s="1" t="s">
        <v>209</v>
      </c>
      <c r="D133" s="1" t="s">
        <v>91</v>
      </c>
      <c r="E133" s="1" t="s">
        <v>435</v>
      </c>
      <c r="F133" s="3">
        <v>33.74</v>
      </c>
      <c r="G133" s="1" t="s">
        <v>342</v>
      </c>
      <c r="H133" s="1" t="s">
        <v>665</v>
      </c>
      <c r="I133" s="1" t="s">
        <v>426</v>
      </c>
      <c r="J133" t="str">
        <f>VLOOKUP(H133,Planilha2!B:C,2,0)</f>
        <v>132 a 134</v>
      </c>
    </row>
    <row r="134" spans="1:10" ht="15.75" customHeight="1" x14ac:dyDescent="0.15">
      <c r="A134" s="4" t="s">
        <v>490</v>
      </c>
      <c r="B134" s="3" t="s">
        <v>210</v>
      </c>
      <c r="C134" s="1" t="s">
        <v>209</v>
      </c>
      <c r="D134" s="1" t="s">
        <v>210</v>
      </c>
      <c r="E134" s="1" t="s">
        <v>105</v>
      </c>
      <c r="F134" s="3">
        <v>37.22</v>
      </c>
      <c r="G134" s="1" t="s">
        <v>342</v>
      </c>
      <c r="H134" s="1" t="s">
        <v>665</v>
      </c>
      <c r="I134" s="1" t="s">
        <v>426</v>
      </c>
      <c r="J134" t="str">
        <f>VLOOKUP(H134,Planilha2!B:C,2,0)</f>
        <v>132 a 134</v>
      </c>
    </row>
    <row r="135" spans="1:10" ht="15.75" customHeight="1" x14ac:dyDescent="0.15">
      <c r="A135" s="4" t="s">
        <v>490</v>
      </c>
      <c r="B135" s="3" t="s">
        <v>712</v>
      </c>
      <c r="C135" s="1" t="s">
        <v>209</v>
      </c>
      <c r="D135" s="1" t="s">
        <v>712</v>
      </c>
      <c r="E135" s="1" t="s">
        <v>108</v>
      </c>
      <c r="F135" s="3">
        <v>573.49</v>
      </c>
      <c r="G135" s="1" t="s">
        <v>342</v>
      </c>
      <c r="H135" s="1" t="s">
        <v>665</v>
      </c>
      <c r="I135" s="1" t="s">
        <v>426</v>
      </c>
      <c r="J135" t="str">
        <f>VLOOKUP(H135,Planilha2!B:C,2,0)</f>
        <v>132 a 134</v>
      </c>
    </row>
    <row r="136" spans="1:10" ht="15.75" customHeight="1" x14ac:dyDescent="0.15">
      <c r="A136" s="4" t="s">
        <v>490</v>
      </c>
      <c r="B136" s="3" t="s">
        <v>218</v>
      </c>
      <c r="C136" s="1" t="s">
        <v>209</v>
      </c>
      <c r="D136" s="1" t="s">
        <v>218</v>
      </c>
      <c r="E136" s="1" t="s">
        <v>108</v>
      </c>
      <c r="F136" s="3">
        <v>504.05</v>
      </c>
      <c r="G136" s="1" t="s">
        <v>342</v>
      </c>
      <c r="H136" s="1" t="s">
        <v>665</v>
      </c>
      <c r="I136" s="1" t="s">
        <v>426</v>
      </c>
      <c r="J136" t="str">
        <f>VLOOKUP(H136,Planilha2!B:C,2,0)</f>
        <v>132 a 134</v>
      </c>
    </row>
    <row r="137" spans="1:10" ht="15.75" customHeight="1" x14ac:dyDescent="0.15">
      <c r="A137" s="4" t="s">
        <v>490</v>
      </c>
      <c r="B137" s="3" t="s">
        <v>277</v>
      </c>
      <c r="C137" s="1" t="s">
        <v>209</v>
      </c>
      <c r="D137" s="1" t="s">
        <v>277</v>
      </c>
      <c r="E137" s="1" t="s">
        <v>108</v>
      </c>
      <c r="F137" s="3">
        <v>81.489999999999995</v>
      </c>
      <c r="G137" s="1" t="s">
        <v>342</v>
      </c>
      <c r="H137" s="1" t="s">
        <v>665</v>
      </c>
      <c r="I137" s="1" t="s">
        <v>426</v>
      </c>
      <c r="J137" t="str">
        <f>VLOOKUP(H137,Planilha2!B:C,2,0)</f>
        <v>132 a 134</v>
      </c>
    </row>
    <row r="138" spans="1:10" ht="15.75" customHeight="1" x14ac:dyDescent="0.15">
      <c r="A138" s="4" t="s">
        <v>490</v>
      </c>
      <c r="B138" s="3" t="s">
        <v>19</v>
      </c>
      <c r="C138" s="1" t="s">
        <v>209</v>
      </c>
      <c r="D138" s="1" t="s">
        <v>19</v>
      </c>
      <c r="E138" s="1" t="s">
        <v>108</v>
      </c>
      <c r="F138" s="3">
        <v>167.85</v>
      </c>
      <c r="G138" s="1" t="s">
        <v>342</v>
      </c>
      <c r="H138" s="1" t="s">
        <v>665</v>
      </c>
      <c r="I138" s="1" t="s">
        <v>426</v>
      </c>
      <c r="J138" t="str">
        <f>VLOOKUP(H138,Planilha2!B:C,2,0)</f>
        <v>132 a 134</v>
      </c>
    </row>
    <row r="139" spans="1:10" ht="15.75" customHeight="1" x14ac:dyDescent="0.15">
      <c r="A139" s="4" t="s">
        <v>490</v>
      </c>
      <c r="B139" s="3" t="s">
        <v>677</v>
      </c>
      <c r="C139" s="1" t="s">
        <v>209</v>
      </c>
      <c r="D139" s="1" t="s">
        <v>677</v>
      </c>
      <c r="E139" s="1" t="s">
        <v>108</v>
      </c>
      <c r="F139" s="3">
        <v>191.16</v>
      </c>
      <c r="G139" s="1" t="s">
        <v>342</v>
      </c>
      <c r="H139" s="1" t="s">
        <v>665</v>
      </c>
      <c r="I139" s="1" t="s">
        <v>426</v>
      </c>
      <c r="J139" t="str">
        <f>VLOOKUP(H139,Planilha2!B:C,2,0)</f>
        <v>132 a 134</v>
      </c>
    </row>
    <row r="140" spans="1:10" ht="15.75" customHeight="1" x14ac:dyDescent="0.15">
      <c r="A140" s="4" t="s">
        <v>490</v>
      </c>
      <c r="B140" s="3" t="s">
        <v>557</v>
      </c>
      <c r="C140" s="1" t="s">
        <v>209</v>
      </c>
      <c r="D140" s="1" t="s">
        <v>557</v>
      </c>
      <c r="E140" s="1" t="s">
        <v>438</v>
      </c>
      <c r="F140" s="3">
        <v>155.13</v>
      </c>
      <c r="G140" s="1" t="s">
        <v>342</v>
      </c>
      <c r="H140" s="1" t="s">
        <v>665</v>
      </c>
      <c r="I140" s="1" t="s">
        <v>426</v>
      </c>
      <c r="J140" t="str">
        <f>VLOOKUP(H140,Planilha2!B:C,2,0)</f>
        <v>132 a 134</v>
      </c>
    </row>
    <row r="141" spans="1:10" ht="15.75" customHeight="1" x14ac:dyDescent="0.15">
      <c r="A141" s="4" t="s">
        <v>490</v>
      </c>
      <c r="B141" s="3" t="s">
        <v>7</v>
      </c>
      <c r="C141" s="1" t="s">
        <v>209</v>
      </c>
      <c r="D141" s="1" t="s">
        <v>7</v>
      </c>
      <c r="E141" s="1" t="s">
        <v>345</v>
      </c>
      <c r="F141" s="3">
        <v>76.03</v>
      </c>
      <c r="G141" s="1" t="s">
        <v>342</v>
      </c>
      <c r="H141" s="1" t="s">
        <v>665</v>
      </c>
      <c r="I141" s="1" t="s">
        <v>426</v>
      </c>
      <c r="J141" t="str">
        <f>VLOOKUP(H141,Planilha2!B:C,2,0)</f>
        <v>132 a 134</v>
      </c>
    </row>
    <row r="142" spans="1:10" ht="15.75" customHeight="1" x14ac:dyDescent="0.15">
      <c r="A142" s="4" t="s">
        <v>490</v>
      </c>
      <c r="B142" s="3" t="s">
        <v>414</v>
      </c>
      <c r="C142" s="1" t="s">
        <v>209</v>
      </c>
      <c r="D142" s="1" t="s">
        <v>414</v>
      </c>
      <c r="E142" s="1" t="s">
        <v>777</v>
      </c>
      <c r="F142" s="3">
        <v>45.6</v>
      </c>
      <c r="G142" s="1" t="s">
        <v>342</v>
      </c>
      <c r="H142" s="1" t="s">
        <v>665</v>
      </c>
      <c r="I142" s="1" t="s">
        <v>426</v>
      </c>
      <c r="J142" t="str">
        <f>VLOOKUP(H142,Planilha2!B:C,2,0)</f>
        <v>132 a 134</v>
      </c>
    </row>
    <row r="143" spans="1:10" ht="15.75" customHeight="1" x14ac:dyDescent="0.15">
      <c r="A143" s="4" t="s">
        <v>490</v>
      </c>
      <c r="B143" s="3" t="s">
        <v>348</v>
      </c>
      <c r="C143" s="1" t="s">
        <v>209</v>
      </c>
      <c r="D143" s="1" t="s">
        <v>348</v>
      </c>
      <c r="E143" s="1" t="s">
        <v>459</v>
      </c>
      <c r="F143" s="3">
        <v>84.5</v>
      </c>
      <c r="G143" s="1" t="s">
        <v>342</v>
      </c>
      <c r="H143" s="1" t="s">
        <v>665</v>
      </c>
      <c r="I143" s="1" t="s">
        <v>426</v>
      </c>
      <c r="J143" t="str">
        <f>VLOOKUP(H143,Planilha2!B:C,2,0)</f>
        <v>132 a 134</v>
      </c>
    </row>
    <row r="144" spans="1:10" ht="15.75" customHeight="1" x14ac:dyDescent="0.15">
      <c r="A144" s="4" t="s">
        <v>490</v>
      </c>
      <c r="B144" s="3" t="s">
        <v>214</v>
      </c>
      <c r="C144" s="1" t="s">
        <v>209</v>
      </c>
      <c r="D144" s="1" t="s">
        <v>214</v>
      </c>
      <c r="E144" s="1" t="s">
        <v>790</v>
      </c>
      <c r="F144" s="3">
        <v>248.56</v>
      </c>
      <c r="G144" s="1" t="s">
        <v>342</v>
      </c>
      <c r="H144" s="1" t="s">
        <v>665</v>
      </c>
      <c r="I144" s="1" t="s">
        <v>426</v>
      </c>
      <c r="J144" t="str">
        <f>VLOOKUP(H144,Planilha2!B:C,2,0)</f>
        <v>132 a 134</v>
      </c>
    </row>
    <row r="145" spans="1:10" ht="15.75" customHeight="1" x14ac:dyDescent="0.15">
      <c r="A145" s="4" t="s">
        <v>490</v>
      </c>
      <c r="B145" s="3" t="s">
        <v>458</v>
      </c>
      <c r="C145" s="1" t="s">
        <v>148</v>
      </c>
      <c r="D145" s="1" t="s">
        <v>458</v>
      </c>
      <c r="E145" s="1" t="s">
        <v>108</v>
      </c>
      <c r="F145" s="3">
        <v>342.36</v>
      </c>
      <c r="G145" s="1" t="s">
        <v>342</v>
      </c>
      <c r="H145" s="1" t="s">
        <v>665</v>
      </c>
      <c r="I145" s="1" t="s">
        <v>426</v>
      </c>
      <c r="J145" t="str">
        <f>VLOOKUP(H145,Planilha2!B:C,2,0)</f>
        <v>132 a 134</v>
      </c>
    </row>
    <row r="146" spans="1:10" ht="15.75" customHeight="1" x14ac:dyDescent="0.15">
      <c r="A146" s="4" t="s">
        <v>490</v>
      </c>
      <c r="B146" s="3" t="s">
        <v>716</v>
      </c>
      <c r="C146" s="1" t="s">
        <v>148</v>
      </c>
      <c r="D146" s="1" t="s">
        <v>716</v>
      </c>
      <c r="E146" s="1" t="s">
        <v>6</v>
      </c>
      <c r="F146" s="3">
        <v>2885</v>
      </c>
      <c r="G146" s="1" t="s">
        <v>342</v>
      </c>
      <c r="H146" s="1" t="s">
        <v>665</v>
      </c>
      <c r="I146" s="1" t="s">
        <v>426</v>
      </c>
      <c r="J146" t="str">
        <f>VLOOKUP(H146,Planilha2!B:C,2,0)</f>
        <v>132 a 134</v>
      </c>
    </row>
    <row r="147" spans="1:10" ht="15.75" customHeight="1" x14ac:dyDescent="0.15">
      <c r="A147" s="4" t="s">
        <v>490</v>
      </c>
      <c r="B147" s="3" t="s">
        <v>262</v>
      </c>
      <c r="C147" s="1" t="s">
        <v>148</v>
      </c>
      <c r="D147" s="1" t="s">
        <v>262</v>
      </c>
      <c r="E147" s="1" t="s">
        <v>787</v>
      </c>
      <c r="F147" s="3">
        <v>3628.36</v>
      </c>
      <c r="G147" s="1" t="s">
        <v>342</v>
      </c>
      <c r="H147" s="1" t="s">
        <v>665</v>
      </c>
      <c r="I147" s="1" t="s">
        <v>426</v>
      </c>
      <c r="J147" t="str">
        <f>VLOOKUP(H147,Planilha2!B:C,2,0)</f>
        <v>132 a 134</v>
      </c>
    </row>
    <row r="148" spans="1:10" ht="15.75" customHeight="1" x14ac:dyDescent="0.15">
      <c r="A148" s="4" t="s">
        <v>490</v>
      </c>
      <c r="B148" s="3" t="s">
        <v>261</v>
      </c>
      <c r="C148" s="1" t="s">
        <v>148</v>
      </c>
      <c r="D148" s="1" t="s">
        <v>261</v>
      </c>
      <c r="E148" s="1" t="s">
        <v>572</v>
      </c>
      <c r="F148" s="3">
        <v>4000</v>
      </c>
      <c r="G148" s="1" t="s">
        <v>342</v>
      </c>
      <c r="H148" s="1" t="s">
        <v>665</v>
      </c>
      <c r="I148" s="1" t="s">
        <v>426</v>
      </c>
      <c r="J148" t="str">
        <f>VLOOKUP(H148,Planilha2!B:C,2,0)</f>
        <v>132 a 134</v>
      </c>
    </row>
    <row r="149" spans="1:10" ht="15.75" customHeight="1" x14ac:dyDescent="0.15">
      <c r="A149" s="4" t="s">
        <v>490</v>
      </c>
      <c r="B149" s="3" t="s">
        <v>371</v>
      </c>
      <c r="C149" s="1" t="s">
        <v>148</v>
      </c>
      <c r="D149" s="1" t="s">
        <v>371</v>
      </c>
      <c r="E149" s="1" t="s">
        <v>108</v>
      </c>
      <c r="F149" s="3">
        <v>229.82</v>
      </c>
      <c r="G149" s="1" t="s">
        <v>342</v>
      </c>
      <c r="H149" s="1" t="s">
        <v>665</v>
      </c>
      <c r="I149" s="1" t="s">
        <v>426</v>
      </c>
      <c r="J149" t="str">
        <f>VLOOKUP(H149,Planilha2!B:C,2,0)</f>
        <v>132 a 134</v>
      </c>
    </row>
    <row r="150" spans="1:10" ht="15.75" customHeight="1" x14ac:dyDescent="0.15">
      <c r="A150" s="4" t="s">
        <v>490</v>
      </c>
      <c r="B150" s="3" t="s">
        <v>846</v>
      </c>
      <c r="C150" s="1" t="s">
        <v>546</v>
      </c>
      <c r="D150" s="1" t="s">
        <v>846</v>
      </c>
      <c r="E150" s="1" t="s">
        <v>881</v>
      </c>
      <c r="F150" s="3">
        <v>3000</v>
      </c>
      <c r="G150" s="1" t="s">
        <v>342</v>
      </c>
      <c r="H150" s="1" t="s">
        <v>665</v>
      </c>
      <c r="I150" s="1" t="s">
        <v>426</v>
      </c>
      <c r="J150" t="str">
        <f>VLOOKUP(H150,Planilha2!B:C,2,0)</f>
        <v>132 a 134</v>
      </c>
    </row>
    <row r="151" spans="1:10" ht="15.75" customHeight="1" x14ac:dyDescent="0.15">
      <c r="A151" s="4" t="s">
        <v>490</v>
      </c>
      <c r="B151" s="3" t="s">
        <v>521</v>
      </c>
      <c r="C151" s="1" t="s">
        <v>546</v>
      </c>
      <c r="D151" s="1" t="s">
        <v>521</v>
      </c>
      <c r="E151" s="1" t="s">
        <v>108</v>
      </c>
      <c r="F151" s="3">
        <v>29.51</v>
      </c>
      <c r="G151" s="1" t="s">
        <v>342</v>
      </c>
      <c r="H151" s="1" t="s">
        <v>665</v>
      </c>
      <c r="I151" s="1" t="s">
        <v>426</v>
      </c>
      <c r="J151" t="str">
        <f>VLOOKUP(H151,Planilha2!B:C,2,0)</f>
        <v>132 a 134</v>
      </c>
    </row>
    <row r="152" spans="1:10" ht="15.75" customHeight="1" x14ac:dyDescent="0.15">
      <c r="A152" s="4" t="s">
        <v>490</v>
      </c>
      <c r="B152" s="3" t="s">
        <v>122</v>
      </c>
      <c r="C152" s="1" t="s">
        <v>546</v>
      </c>
      <c r="D152" s="1" t="s">
        <v>122</v>
      </c>
      <c r="E152" s="1" t="s">
        <v>721</v>
      </c>
      <c r="F152" s="3">
        <v>814</v>
      </c>
      <c r="G152" s="1" t="s">
        <v>342</v>
      </c>
      <c r="H152" s="1" t="s">
        <v>665</v>
      </c>
      <c r="I152" s="1" t="s">
        <v>426</v>
      </c>
      <c r="J152" t="str">
        <f>VLOOKUP(H152,Planilha2!B:C,2,0)</f>
        <v>132 a 134</v>
      </c>
    </row>
    <row r="153" spans="1:10" ht="15.75" customHeight="1" x14ac:dyDescent="0.15">
      <c r="A153" s="4" t="s">
        <v>490</v>
      </c>
      <c r="B153" s="3" t="s">
        <v>245</v>
      </c>
      <c r="C153" s="1" t="s">
        <v>546</v>
      </c>
      <c r="D153" s="1" t="s">
        <v>245</v>
      </c>
      <c r="E153" s="1" t="s">
        <v>721</v>
      </c>
      <c r="F153" s="3">
        <v>5508</v>
      </c>
      <c r="G153" s="1" t="s">
        <v>342</v>
      </c>
      <c r="H153" s="1" t="s">
        <v>665</v>
      </c>
      <c r="I153" s="1" t="s">
        <v>426</v>
      </c>
      <c r="J153" t="str">
        <f>VLOOKUP(H153,Planilha2!B:C,2,0)</f>
        <v>132 a 134</v>
      </c>
    </row>
    <row r="154" spans="1:10" ht="15.75" customHeight="1" x14ac:dyDescent="0.15">
      <c r="A154" s="4" t="s">
        <v>490</v>
      </c>
      <c r="B154" s="3" t="s">
        <v>87</v>
      </c>
      <c r="C154" s="1" t="s">
        <v>893</v>
      </c>
      <c r="D154" s="1" t="s">
        <v>87</v>
      </c>
      <c r="E154" s="1" t="s">
        <v>721</v>
      </c>
      <c r="F154" s="3">
        <v>68</v>
      </c>
      <c r="G154" s="1" t="s">
        <v>342</v>
      </c>
      <c r="H154" s="1" t="s">
        <v>665</v>
      </c>
      <c r="I154" s="1" t="s">
        <v>426</v>
      </c>
      <c r="J154" t="str">
        <f>VLOOKUP(H154,Planilha2!B:C,2,0)</f>
        <v>132 a 134</v>
      </c>
    </row>
    <row r="155" spans="1:10" ht="15.75" customHeight="1" x14ac:dyDescent="0.15">
      <c r="A155" s="4" t="s">
        <v>490</v>
      </c>
      <c r="B155" s="3" t="s">
        <v>74</v>
      </c>
      <c r="C155" s="1" t="s">
        <v>893</v>
      </c>
      <c r="D155" s="1" t="s">
        <v>74</v>
      </c>
      <c r="E155" s="1" t="s">
        <v>108</v>
      </c>
      <c r="F155" s="3">
        <v>79.73</v>
      </c>
      <c r="G155" s="1" t="s">
        <v>342</v>
      </c>
      <c r="H155" s="1" t="s">
        <v>665</v>
      </c>
      <c r="I155" s="1" t="s">
        <v>426</v>
      </c>
      <c r="J155" t="str">
        <f>VLOOKUP(H155,Planilha2!B:C,2,0)</f>
        <v>132 a 134</v>
      </c>
    </row>
    <row r="156" spans="1:10" ht="15.75" customHeight="1" x14ac:dyDescent="0.15">
      <c r="A156" s="4" t="s">
        <v>490</v>
      </c>
      <c r="B156" s="3" t="s">
        <v>112</v>
      </c>
      <c r="C156" s="1" t="s">
        <v>893</v>
      </c>
      <c r="D156" s="1" t="s">
        <v>112</v>
      </c>
      <c r="E156" s="1" t="s">
        <v>108</v>
      </c>
      <c r="F156" s="3">
        <v>119.3</v>
      </c>
      <c r="G156" s="1" t="s">
        <v>342</v>
      </c>
      <c r="H156" s="1" t="s">
        <v>665</v>
      </c>
      <c r="I156" s="1" t="s">
        <v>426</v>
      </c>
      <c r="J156" t="str">
        <f>VLOOKUP(H156,Planilha2!B:C,2,0)</f>
        <v>132 a 134</v>
      </c>
    </row>
    <row r="157" spans="1:10" ht="15.75" customHeight="1" x14ac:dyDescent="0.15">
      <c r="A157" s="4" t="s">
        <v>490</v>
      </c>
      <c r="B157" s="3" t="s">
        <v>698</v>
      </c>
      <c r="C157" s="1" t="s">
        <v>893</v>
      </c>
      <c r="D157" s="1" t="s">
        <v>698</v>
      </c>
      <c r="E157" s="1" t="s">
        <v>108</v>
      </c>
      <c r="F157" s="3">
        <v>192.73</v>
      </c>
      <c r="G157" s="1" t="s">
        <v>342</v>
      </c>
      <c r="H157" s="1" t="s">
        <v>665</v>
      </c>
      <c r="I157" s="1" t="s">
        <v>426</v>
      </c>
      <c r="J157" t="str">
        <f>VLOOKUP(H157,Planilha2!B:C,2,0)</f>
        <v>132 a 134</v>
      </c>
    </row>
    <row r="158" spans="1:10" ht="15.75" customHeight="1" x14ac:dyDescent="0.15">
      <c r="A158" s="4" t="s">
        <v>490</v>
      </c>
      <c r="B158" s="3" t="s">
        <v>809</v>
      </c>
      <c r="C158" s="1" t="s">
        <v>893</v>
      </c>
      <c r="D158" s="1" t="s">
        <v>809</v>
      </c>
      <c r="E158" s="1" t="s">
        <v>58</v>
      </c>
      <c r="F158" s="3">
        <v>1379.22</v>
      </c>
      <c r="G158" s="1" t="s">
        <v>342</v>
      </c>
      <c r="H158" s="1" t="s">
        <v>665</v>
      </c>
      <c r="I158" s="1" t="s">
        <v>426</v>
      </c>
      <c r="J158" t="str">
        <f>VLOOKUP(H158,Planilha2!B:C,2,0)</f>
        <v>132 a 134</v>
      </c>
    </row>
    <row r="159" spans="1:10" ht="15.75" customHeight="1" x14ac:dyDescent="0.15">
      <c r="A159" s="4" t="s">
        <v>490</v>
      </c>
      <c r="B159" s="3" t="s">
        <v>887</v>
      </c>
      <c r="C159" s="1" t="s">
        <v>893</v>
      </c>
      <c r="D159" s="1" t="s">
        <v>887</v>
      </c>
      <c r="E159" s="1" t="s">
        <v>108</v>
      </c>
      <c r="F159" s="3">
        <v>110.87</v>
      </c>
      <c r="G159" s="1" t="s">
        <v>342</v>
      </c>
      <c r="H159" s="1" t="s">
        <v>665</v>
      </c>
      <c r="I159" s="1" t="s">
        <v>426</v>
      </c>
      <c r="J159" t="str">
        <f>VLOOKUP(H159,Planilha2!B:C,2,0)</f>
        <v>132 a 134</v>
      </c>
    </row>
    <row r="160" spans="1:10" ht="15.75" customHeight="1" x14ac:dyDescent="0.15">
      <c r="A160" s="4" t="s">
        <v>490</v>
      </c>
      <c r="B160" s="3" t="s">
        <v>541</v>
      </c>
      <c r="C160" s="1" t="s">
        <v>893</v>
      </c>
      <c r="D160" s="1" t="s">
        <v>541</v>
      </c>
      <c r="E160" s="1" t="s">
        <v>721</v>
      </c>
      <c r="F160" s="3">
        <v>612</v>
      </c>
      <c r="G160" s="1" t="s">
        <v>342</v>
      </c>
      <c r="H160" s="1" t="s">
        <v>665</v>
      </c>
      <c r="I160" s="1" t="s">
        <v>426</v>
      </c>
      <c r="J160" t="str">
        <f>VLOOKUP(H160,Planilha2!B:C,2,0)</f>
        <v>132 a 134</v>
      </c>
    </row>
    <row r="161" spans="1:10" ht="15.75" customHeight="1" x14ac:dyDescent="0.15">
      <c r="A161" s="4" t="s">
        <v>490</v>
      </c>
      <c r="B161" s="3" t="s">
        <v>661</v>
      </c>
      <c r="C161" s="1" t="s">
        <v>893</v>
      </c>
      <c r="D161" s="1" t="s">
        <v>661</v>
      </c>
      <c r="E161" s="1" t="s">
        <v>881</v>
      </c>
      <c r="F161" s="3">
        <v>1985.33</v>
      </c>
      <c r="G161" s="1" t="s">
        <v>342</v>
      </c>
      <c r="H161" s="1" t="s">
        <v>665</v>
      </c>
      <c r="I161" s="1" t="s">
        <v>426</v>
      </c>
      <c r="J161" t="str">
        <f>VLOOKUP(H161,Planilha2!B:C,2,0)</f>
        <v>132 a 134</v>
      </c>
    </row>
    <row r="162" spans="1:10" ht="15.75" customHeight="1" x14ac:dyDescent="0.15">
      <c r="A162" s="4" t="s">
        <v>490</v>
      </c>
      <c r="B162" s="3" t="s">
        <v>346</v>
      </c>
      <c r="C162" s="1" t="s">
        <v>893</v>
      </c>
      <c r="D162" s="1" t="s">
        <v>346</v>
      </c>
      <c r="E162" s="1" t="s">
        <v>570</v>
      </c>
      <c r="F162" s="3">
        <v>3000</v>
      </c>
      <c r="G162" s="1" t="s">
        <v>342</v>
      </c>
      <c r="H162" s="1" t="s">
        <v>665</v>
      </c>
      <c r="I162" s="1" t="s">
        <v>426</v>
      </c>
      <c r="J162" t="str">
        <f>VLOOKUP(H162,Planilha2!B:C,2,0)</f>
        <v>132 a 134</v>
      </c>
    </row>
    <row r="163" spans="1:10" ht="15.75" customHeight="1" x14ac:dyDescent="0.15">
      <c r="A163" s="4" t="s">
        <v>281</v>
      </c>
      <c r="B163" s="3" t="s">
        <v>547</v>
      </c>
      <c r="C163" s="1" t="s">
        <v>893</v>
      </c>
      <c r="D163" s="1" t="s">
        <v>547</v>
      </c>
      <c r="E163" s="1" t="s">
        <v>187</v>
      </c>
      <c r="F163" s="3">
        <v>-500</v>
      </c>
      <c r="G163" s="1" t="s">
        <v>723</v>
      </c>
      <c r="H163" s="1" t="s">
        <v>219</v>
      </c>
      <c r="I163" s="1" t="s">
        <v>155</v>
      </c>
      <c r="J163">
        <f>VLOOKUP(H163,Planilha2!B:C,2,0)</f>
        <v>164</v>
      </c>
    </row>
    <row r="164" spans="1:10" ht="15.75" customHeight="1" x14ac:dyDescent="0.15">
      <c r="A164" s="4" t="s">
        <v>281</v>
      </c>
      <c r="B164" s="3" t="s">
        <v>268</v>
      </c>
      <c r="C164" s="1" t="s">
        <v>893</v>
      </c>
      <c r="D164" s="1" t="s">
        <v>268</v>
      </c>
      <c r="E164" s="1" t="s">
        <v>762</v>
      </c>
      <c r="F164" s="3">
        <v>-50000</v>
      </c>
      <c r="G164" s="1" t="s">
        <v>342</v>
      </c>
      <c r="H164" s="1" t="s">
        <v>21</v>
      </c>
      <c r="I164" s="1" t="s">
        <v>531</v>
      </c>
      <c r="J164">
        <f>VLOOKUP(H164,Planilha2!B:C,2,0)</f>
        <v>0</v>
      </c>
    </row>
    <row r="165" spans="1:10" ht="15.75" customHeight="1" x14ac:dyDescent="0.15">
      <c r="A165" s="4" t="s">
        <v>490</v>
      </c>
      <c r="B165" s="3" t="s">
        <v>216</v>
      </c>
      <c r="C165" s="1" t="s">
        <v>641</v>
      </c>
      <c r="D165" s="1" t="s">
        <v>216</v>
      </c>
      <c r="E165" s="1" t="s">
        <v>108</v>
      </c>
      <c r="F165" s="3">
        <v>98.85</v>
      </c>
      <c r="G165" s="1" t="s">
        <v>342</v>
      </c>
      <c r="H165" s="1" t="s">
        <v>665</v>
      </c>
      <c r="I165" s="1" t="s">
        <v>426</v>
      </c>
      <c r="J165" t="str">
        <f>VLOOKUP(H165,Planilha2!B:C,2,0)</f>
        <v>132 a 134</v>
      </c>
    </row>
    <row r="166" spans="1:10" ht="15.75" customHeight="1" x14ac:dyDescent="0.15">
      <c r="A166" s="4" t="s">
        <v>490</v>
      </c>
      <c r="B166" s="3" t="s">
        <v>198</v>
      </c>
      <c r="C166" s="1" t="s">
        <v>641</v>
      </c>
      <c r="D166" s="1" t="s">
        <v>198</v>
      </c>
      <c r="E166" s="1" t="s">
        <v>108</v>
      </c>
      <c r="F166" s="3">
        <v>86.12</v>
      </c>
      <c r="G166" s="1" t="s">
        <v>342</v>
      </c>
      <c r="H166" s="1" t="s">
        <v>665</v>
      </c>
      <c r="I166" s="1" t="s">
        <v>426</v>
      </c>
      <c r="J166" t="str">
        <f>VLOOKUP(H166,Planilha2!B:C,2,0)</f>
        <v>132 a 134</v>
      </c>
    </row>
    <row r="167" spans="1:10" ht="15.75" customHeight="1" x14ac:dyDescent="0.15">
      <c r="A167" s="4" t="s">
        <v>490</v>
      </c>
      <c r="B167" s="3" t="s">
        <v>444</v>
      </c>
      <c r="C167" s="1" t="s">
        <v>641</v>
      </c>
      <c r="D167" s="1" t="s">
        <v>444</v>
      </c>
      <c r="E167" s="1" t="s">
        <v>533</v>
      </c>
      <c r="F167" s="3">
        <v>49.9</v>
      </c>
      <c r="G167" s="1" t="s">
        <v>342</v>
      </c>
      <c r="H167" s="1" t="s">
        <v>665</v>
      </c>
      <c r="I167" s="1" t="s">
        <v>426</v>
      </c>
      <c r="J167" t="str">
        <f>VLOOKUP(H167,Planilha2!B:C,2,0)</f>
        <v>132 a 134</v>
      </c>
    </row>
    <row r="168" spans="1:10" ht="15.75" customHeight="1" x14ac:dyDescent="0.15">
      <c r="A168" s="4" t="s">
        <v>490</v>
      </c>
      <c r="B168" s="3" t="s">
        <v>604</v>
      </c>
      <c r="C168" s="1" t="s">
        <v>641</v>
      </c>
      <c r="D168" s="1" t="s">
        <v>604</v>
      </c>
      <c r="E168" s="1" t="s">
        <v>141</v>
      </c>
      <c r="F168" s="3">
        <v>1655.47</v>
      </c>
      <c r="G168" s="1" t="s">
        <v>342</v>
      </c>
      <c r="H168" s="1" t="s">
        <v>665</v>
      </c>
      <c r="I168" s="1" t="s">
        <v>426</v>
      </c>
      <c r="J168" t="str">
        <f>VLOOKUP(H168,Planilha2!B:C,2,0)</f>
        <v>132 a 134</v>
      </c>
    </row>
    <row r="169" spans="1:10" ht="15.75" customHeight="1" x14ac:dyDescent="0.15">
      <c r="A169" s="4" t="s">
        <v>490</v>
      </c>
      <c r="B169" s="3" t="s">
        <v>207</v>
      </c>
      <c r="C169" s="1" t="s">
        <v>641</v>
      </c>
      <c r="D169" s="1" t="s">
        <v>207</v>
      </c>
      <c r="E169" s="1" t="s">
        <v>108</v>
      </c>
      <c r="F169" s="3">
        <v>226.5</v>
      </c>
      <c r="G169" s="1" t="s">
        <v>342</v>
      </c>
      <c r="H169" s="1" t="s">
        <v>665</v>
      </c>
      <c r="I169" s="1" t="s">
        <v>426</v>
      </c>
      <c r="J169" t="str">
        <f>VLOOKUP(H169,Planilha2!B:C,2,0)</f>
        <v>132 a 134</v>
      </c>
    </row>
    <row r="170" spans="1:10" ht="15.75" customHeight="1" x14ac:dyDescent="0.15">
      <c r="A170" s="4" t="s">
        <v>490</v>
      </c>
      <c r="B170" s="3" t="s">
        <v>688</v>
      </c>
      <c r="C170" s="1" t="s">
        <v>641</v>
      </c>
      <c r="D170" s="1" t="s">
        <v>688</v>
      </c>
      <c r="E170" s="1" t="s">
        <v>108</v>
      </c>
      <c r="F170" s="3">
        <v>215.41</v>
      </c>
      <c r="G170" s="1" t="s">
        <v>342</v>
      </c>
      <c r="H170" s="1" t="s">
        <v>665</v>
      </c>
      <c r="I170" s="1" t="s">
        <v>426</v>
      </c>
      <c r="J170" t="str">
        <f>VLOOKUP(H170,Planilha2!B:C,2,0)</f>
        <v>132 a 134</v>
      </c>
    </row>
    <row r="171" spans="1:10" ht="15.75" customHeight="1" x14ac:dyDescent="0.15">
      <c r="A171" s="4" t="s">
        <v>490</v>
      </c>
      <c r="B171" s="3" t="s">
        <v>270</v>
      </c>
      <c r="C171" s="1" t="s">
        <v>641</v>
      </c>
      <c r="D171" s="1" t="s">
        <v>270</v>
      </c>
      <c r="E171" s="1" t="s">
        <v>119</v>
      </c>
      <c r="F171" s="3">
        <v>99.9</v>
      </c>
      <c r="G171" s="1" t="s">
        <v>342</v>
      </c>
      <c r="H171" s="1" t="s">
        <v>665</v>
      </c>
      <c r="I171" s="1" t="s">
        <v>426</v>
      </c>
      <c r="J171" t="str">
        <f>VLOOKUP(H171,Planilha2!B:C,2,0)</f>
        <v>132 a 134</v>
      </c>
    </row>
    <row r="172" spans="1:10" ht="15.75" customHeight="1" x14ac:dyDescent="0.15">
      <c r="A172" s="4" t="s">
        <v>490</v>
      </c>
      <c r="B172" s="3" t="s">
        <v>835</v>
      </c>
      <c r="C172" s="1" t="s">
        <v>641</v>
      </c>
      <c r="D172" s="1" t="s">
        <v>835</v>
      </c>
      <c r="E172" s="1" t="s">
        <v>126</v>
      </c>
      <c r="F172" s="3">
        <v>72.540000000000006</v>
      </c>
      <c r="G172" s="1" t="s">
        <v>342</v>
      </c>
      <c r="H172" s="1" t="s">
        <v>665</v>
      </c>
      <c r="I172" s="1" t="s">
        <v>426</v>
      </c>
      <c r="J172" t="str">
        <f>VLOOKUP(H172,Planilha2!B:C,2,0)</f>
        <v>132 a 134</v>
      </c>
    </row>
    <row r="173" spans="1:10" ht="15.75" customHeight="1" x14ac:dyDescent="0.15">
      <c r="A173" s="4" t="s">
        <v>490</v>
      </c>
      <c r="B173" s="3" t="s">
        <v>291</v>
      </c>
      <c r="C173" s="1" t="s">
        <v>876</v>
      </c>
      <c r="D173" s="1" t="s">
        <v>291</v>
      </c>
      <c r="E173" s="1" t="s">
        <v>108</v>
      </c>
      <c r="F173" s="3">
        <v>68.98</v>
      </c>
      <c r="G173" s="1" t="s">
        <v>342</v>
      </c>
      <c r="H173" s="1" t="s">
        <v>665</v>
      </c>
      <c r="I173" s="1" t="s">
        <v>426</v>
      </c>
      <c r="J173" t="str">
        <f>VLOOKUP(H173,Planilha2!B:C,2,0)</f>
        <v>132 a 134</v>
      </c>
    </row>
    <row r="174" spans="1:10" ht="15.75" customHeight="1" x14ac:dyDescent="0.15">
      <c r="A174" s="4" t="s">
        <v>490</v>
      </c>
      <c r="B174" s="3" t="s">
        <v>38</v>
      </c>
      <c r="C174" s="1" t="s">
        <v>876</v>
      </c>
      <c r="D174" s="1" t="s">
        <v>38</v>
      </c>
      <c r="E174" s="1" t="s">
        <v>108</v>
      </c>
      <c r="F174" s="3">
        <v>48.37</v>
      </c>
      <c r="G174" s="1" t="s">
        <v>342</v>
      </c>
      <c r="H174" s="1" t="s">
        <v>665</v>
      </c>
      <c r="I174" s="1" t="s">
        <v>426</v>
      </c>
      <c r="J174" t="str">
        <f>VLOOKUP(H174,Planilha2!B:C,2,0)</f>
        <v>132 a 134</v>
      </c>
    </row>
    <row r="175" spans="1:10" ht="15.75" customHeight="1" x14ac:dyDescent="0.15">
      <c r="A175" s="4" t="s">
        <v>490</v>
      </c>
      <c r="B175" s="3" t="s">
        <v>103</v>
      </c>
      <c r="C175" s="1" t="s">
        <v>876</v>
      </c>
      <c r="D175" s="1" t="s">
        <v>103</v>
      </c>
      <c r="E175" s="1" t="s">
        <v>576</v>
      </c>
      <c r="F175" s="3">
        <v>137.21</v>
      </c>
      <c r="G175" s="1" t="s">
        <v>342</v>
      </c>
      <c r="H175" s="1" t="s">
        <v>665</v>
      </c>
      <c r="I175" s="1" t="s">
        <v>426</v>
      </c>
      <c r="J175" t="str">
        <f>VLOOKUP(H175,Planilha2!B:C,2,0)</f>
        <v>132 a 134</v>
      </c>
    </row>
    <row r="176" spans="1:10" ht="15.75" customHeight="1" x14ac:dyDescent="0.15">
      <c r="A176" s="4" t="s">
        <v>490</v>
      </c>
      <c r="B176" s="3" t="s">
        <v>222</v>
      </c>
      <c r="C176" s="1" t="s">
        <v>876</v>
      </c>
      <c r="D176" s="1" t="s">
        <v>222</v>
      </c>
      <c r="E176" s="1" t="s">
        <v>749</v>
      </c>
      <c r="F176" s="3">
        <v>245.32</v>
      </c>
      <c r="G176" s="1" t="s">
        <v>342</v>
      </c>
      <c r="H176" s="1" t="s">
        <v>665</v>
      </c>
      <c r="I176" s="1" t="s">
        <v>426</v>
      </c>
      <c r="J176" t="str">
        <f>VLOOKUP(H176,Planilha2!B:C,2,0)</f>
        <v>132 a 134</v>
      </c>
    </row>
    <row r="177" spans="1:10" ht="15.75" customHeight="1" x14ac:dyDescent="0.15">
      <c r="A177" s="4" t="s">
        <v>490</v>
      </c>
      <c r="B177" s="3" t="s">
        <v>313</v>
      </c>
      <c r="C177" s="1" t="s">
        <v>876</v>
      </c>
      <c r="D177" s="1" t="s">
        <v>313</v>
      </c>
      <c r="E177" s="1" t="s">
        <v>108</v>
      </c>
      <c r="F177" s="3">
        <v>99.53</v>
      </c>
      <c r="G177" s="1" t="s">
        <v>342</v>
      </c>
      <c r="H177" s="1" t="s">
        <v>665</v>
      </c>
      <c r="I177" s="1" t="s">
        <v>426</v>
      </c>
      <c r="J177" t="str">
        <f>VLOOKUP(H177,Planilha2!B:C,2,0)</f>
        <v>132 a 134</v>
      </c>
    </row>
    <row r="178" spans="1:10" ht="15.75" customHeight="1" x14ac:dyDescent="0.15">
      <c r="A178" s="4" t="s">
        <v>490</v>
      </c>
      <c r="B178" s="3" t="s">
        <v>396</v>
      </c>
      <c r="C178" s="1" t="s">
        <v>695</v>
      </c>
      <c r="D178" s="1" t="s">
        <v>396</v>
      </c>
      <c r="E178" s="1" t="s">
        <v>108</v>
      </c>
      <c r="F178" s="3">
        <v>311.27999999999997</v>
      </c>
      <c r="G178" s="1" t="s">
        <v>342</v>
      </c>
      <c r="H178" s="1" t="s">
        <v>665</v>
      </c>
      <c r="I178" s="1" t="s">
        <v>426</v>
      </c>
      <c r="J178" t="str">
        <f>VLOOKUP(H178,Planilha2!B:C,2,0)</f>
        <v>132 a 134</v>
      </c>
    </row>
    <row r="179" spans="1:10" ht="15.75" customHeight="1" x14ac:dyDescent="0.15">
      <c r="A179" s="4" t="s">
        <v>490</v>
      </c>
      <c r="B179" s="3" t="s">
        <v>667</v>
      </c>
      <c r="C179" s="1" t="s">
        <v>695</v>
      </c>
      <c r="D179" s="1" t="s">
        <v>667</v>
      </c>
      <c r="E179" s="1" t="s">
        <v>108</v>
      </c>
      <c r="F179" s="3">
        <v>274.51</v>
      </c>
      <c r="G179" s="1" t="s">
        <v>342</v>
      </c>
      <c r="H179" s="1" t="s">
        <v>665</v>
      </c>
      <c r="I179" s="1" t="s">
        <v>426</v>
      </c>
      <c r="J179" t="str">
        <f>VLOOKUP(H179,Planilha2!B:C,2,0)</f>
        <v>132 a 134</v>
      </c>
    </row>
    <row r="180" spans="1:10" ht="15.75" customHeight="1" x14ac:dyDescent="0.15">
      <c r="A180" s="4" t="s">
        <v>490</v>
      </c>
      <c r="B180" s="3" t="s">
        <v>373</v>
      </c>
      <c r="C180" s="1" t="s">
        <v>695</v>
      </c>
      <c r="D180" s="1" t="s">
        <v>373</v>
      </c>
      <c r="E180" s="1" t="s">
        <v>108</v>
      </c>
      <c r="F180" s="3">
        <v>289.24</v>
      </c>
      <c r="G180" s="1" t="s">
        <v>342</v>
      </c>
      <c r="H180" s="1" t="s">
        <v>665</v>
      </c>
      <c r="I180" s="1" t="s">
        <v>426</v>
      </c>
      <c r="J180" t="str">
        <f>VLOOKUP(H180,Planilha2!B:C,2,0)</f>
        <v>132 a 134</v>
      </c>
    </row>
    <row r="181" spans="1:10" ht="15.75" customHeight="1" x14ac:dyDescent="0.15">
      <c r="A181" s="4" t="s">
        <v>490</v>
      </c>
      <c r="B181" s="3" t="s">
        <v>178</v>
      </c>
      <c r="C181" s="1" t="s">
        <v>695</v>
      </c>
      <c r="D181" s="1" t="s">
        <v>178</v>
      </c>
      <c r="E181" s="1" t="s">
        <v>108</v>
      </c>
      <c r="F181" s="3">
        <v>109.05</v>
      </c>
      <c r="G181" s="1" t="s">
        <v>342</v>
      </c>
      <c r="H181" s="1" t="s">
        <v>665</v>
      </c>
      <c r="I181" s="1" t="s">
        <v>426</v>
      </c>
      <c r="J181" t="str">
        <f>VLOOKUP(H181,Planilha2!B:C,2,0)</f>
        <v>132 a 134</v>
      </c>
    </row>
    <row r="182" spans="1:10" ht="15.75" customHeight="1" x14ac:dyDescent="0.15">
      <c r="A182" s="4" t="s">
        <v>490</v>
      </c>
      <c r="B182" s="3" t="s">
        <v>621</v>
      </c>
      <c r="C182" s="1" t="s">
        <v>695</v>
      </c>
      <c r="D182" s="1" t="s">
        <v>621</v>
      </c>
      <c r="E182" s="1" t="s">
        <v>108</v>
      </c>
      <c r="F182" s="3">
        <v>235.07</v>
      </c>
      <c r="G182" s="1" t="s">
        <v>342</v>
      </c>
      <c r="H182" s="1" t="s">
        <v>665</v>
      </c>
      <c r="I182" s="1" t="s">
        <v>426</v>
      </c>
      <c r="J182" t="str">
        <f>VLOOKUP(H182,Planilha2!B:C,2,0)</f>
        <v>132 a 134</v>
      </c>
    </row>
    <row r="183" spans="1:10" ht="15.75" customHeight="1" x14ac:dyDescent="0.15">
      <c r="A183" s="4" t="s">
        <v>490</v>
      </c>
      <c r="B183" s="3" t="s">
        <v>406</v>
      </c>
      <c r="C183" s="1" t="s">
        <v>695</v>
      </c>
      <c r="D183" s="1" t="s">
        <v>406</v>
      </c>
      <c r="E183" s="1" t="s">
        <v>108</v>
      </c>
      <c r="F183" s="3">
        <v>433.35</v>
      </c>
      <c r="G183" s="1" t="s">
        <v>342</v>
      </c>
      <c r="H183" s="1" t="s">
        <v>665</v>
      </c>
      <c r="I183" s="1" t="s">
        <v>426</v>
      </c>
      <c r="J183" t="str">
        <f>VLOOKUP(H183,Planilha2!B:C,2,0)</f>
        <v>132 a 134</v>
      </c>
    </row>
    <row r="184" spans="1:10" ht="15.75" customHeight="1" x14ac:dyDescent="0.15">
      <c r="A184" s="4" t="s">
        <v>490</v>
      </c>
      <c r="B184" s="3" t="s">
        <v>433</v>
      </c>
      <c r="C184" s="1" t="s">
        <v>695</v>
      </c>
      <c r="D184" s="1" t="s">
        <v>433</v>
      </c>
      <c r="E184" s="1" t="s">
        <v>108</v>
      </c>
      <c r="F184" s="3">
        <v>503</v>
      </c>
      <c r="G184" s="1" t="s">
        <v>342</v>
      </c>
      <c r="H184" s="1" t="s">
        <v>665</v>
      </c>
      <c r="I184" s="1" t="s">
        <v>426</v>
      </c>
      <c r="J184" t="str">
        <f>VLOOKUP(H184,Planilha2!B:C,2,0)</f>
        <v>132 a 134</v>
      </c>
    </row>
    <row r="185" spans="1:10" ht="15.75" customHeight="1" x14ac:dyDescent="0.15">
      <c r="A185" s="4" t="s">
        <v>490</v>
      </c>
      <c r="B185" s="3" t="s">
        <v>264</v>
      </c>
      <c r="C185" s="1" t="s">
        <v>695</v>
      </c>
      <c r="D185" s="1" t="s">
        <v>264</v>
      </c>
      <c r="E185" s="1" t="s">
        <v>108</v>
      </c>
      <c r="F185" s="3">
        <v>94.44</v>
      </c>
      <c r="G185" s="1" t="s">
        <v>342</v>
      </c>
      <c r="H185" s="1" t="s">
        <v>665</v>
      </c>
      <c r="I185" s="1" t="s">
        <v>426</v>
      </c>
      <c r="J185" t="str">
        <f>VLOOKUP(H185,Planilha2!B:C,2,0)</f>
        <v>132 a 134</v>
      </c>
    </row>
    <row r="186" spans="1:10" ht="15.75" customHeight="1" x14ac:dyDescent="0.15">
      <c r="A186" s="4" t="s">
        <v>490</v>
      </c>
      <c r="B186" s="3" t="s">
        <v>804</v>
      </c>
      <c r="C186" s="1" t="s">
        <v>695</v>
      </c>
      <c r="D186" s="1" t="s">
        <v>804</v>
      </c>
      <c r="E186" s="1" t="s">
        <v>108</v>
      </c>
      <c r="F186" s="3">
        <v>331.84</v>
      </c>
      <c r="G186" s="1" t="s">
        <v>342</v>
      </c>
      <c r="H186" s="1" t="s">
        <v>665</v>
      </c>
      <c r="I186" s="1" t="s">
        <v>426</v>
      </c>
      <c r="J186" t="str">
        <f>VLOOKUP(H186,Planilha2!B:C,2,0)</f>
        <v>132 a 134</v>
      </c>
    </row>
    <row r="187" spans="1:10" ht="15.75" customHeight="1" x14ac:dyDescent="0.15">
      <c r="A187" s="4" t="s">
        <v>490</v>
      </c>
      <c r="B187" s="3" t="s">
        <v>418</v>
      </c>
      <c r="C187" s="1" t="s">
        <v>695</v>
      </c>
      <c r="D187" s="1" t="s">
        <v>418</v>
      </c>
      <c r="E187" s="1" t="s">
        <v>543</v>
      </c>
      <c r="F187" s="3">
        <v>69.56</v>
      </c>
      <c r="G187" s="1" t="s">
        <v>342</v>
      </c>
      <c r="H187" s="1" t="s">
        <v>665</v>
      </c>
      <c r="I187" s="1" t="s">
        <v>426</v>
      </c>
      <c r="J187" t="str">
        <f>VLOOKUP(H187,Planilha2!B:C,2,0)</f>
        <v>132 a 134</v>
      </c>
    </row>
    <row r="188" spans="1:10" ht="15.75" customHeight="1" x14ac:dyDescent="0.15">
      <c r="A188" s="4" t="s">
        <v>490</v>
      </c>
      <c r="B188" s="3" t="s">
        <v>179</v>
      </c>
      <c r="C188" s="1" t="s">
        <v>695</v>
      </c>
      <c r="D188" s="1" t="s">
        <v>179</v>
      </c>
      <c r="E188" s="1" t="s">
        <v>86</v>
      </c>
      <c r="F188" s="3">
        <v>59.61</v>
      </c>
      <c r="G188" s="1" t="s">
        <v>342</v>
      </c>
      <c r="H188" s="1" t="s">
        <v>665</v>
      </c>
      <c r="I188" s="1" t="s">
        <v>426</v>
      </c>
      <c r="J188" t="str">
        <f>VLOOKUP(H188,Planilha2!B:C,2,0)</f>
        <v>132 a 134</v>
      </c>
    </row>
    <row r="189" spans="1:10" ht="15.75" customHeight="1" x14ac:dyDescent="0.15">
      <c r="A189" s="4" t="s">
        <v>490</v>
      </c>
      <c r="B189" s="3" t="s">
        <v>104</v>
      </c>
      <c r="C189" s="1" t="s">
        <v>695</v>
      </c>
      <c r="D189" s="1" t="s">
        <v>104</v>
      </c>
      <c r="E189" s="1" t="s">
        <v>606</v>
      </c>
      <c r="F189" s="3">
        <v>30.58</v>
      </c>
      <c r="G189" s="1" t="s">
        <v>342</v>
      </c>
      <c r="H189" s="1" t="s">
        <v>665</v>
      </c>
      <c r="I189" s="1" t="s">
        <v>426</v>
      </c>
      <c r="J189" t="str">
        <f>VLOOKUP(H189,Planilha2!B:C,2,0)</f>
        <v>132 a 134</v>
      </c>
    </row>
    <row r="190" spans="1:10" ht="15.75" customHeight="1" x14ac:dyDescent="0.15">
      <c r="A190" s="4" t="s">
        <v>490</v>
      </c>
      <c r="B190" s="3" t="s">
        <v>651</v>
      </c>
      <c r="C190" s="1" t="s">
        <v>695</v>
      </c>
      <c r="D190" s="1" t="s">
        <v>651</v>
      </c>
      <c r="E190" s="1" t="s">
        <v>108</v>
      </c>
      <c r="F190" s="3">
        <v>140.82</v>
      </c>
      <c r="G190" s="1" t="s">
        <v>342</v>
      </c>
      <c r="H190" s="1" t="s">
        <v>665</v>
      </c>
      <c r="I190" s="1" t="s">
        <v>426</v>
      </c>
      <c r="J190" t="str">
        <f>VLOOKUP(H190,Planilha2!B:C,2,0)</f>
        <v>132 a 134</v>
      </c>
    </row>
    <row r="191" spans="1:10" ht="15.75" customHeight="1" x14ac:dyDescent="0.15">
      <c r="A191" s="4" t="s">
        <v>490</v>
      </c>
      <c r="B191" s="3" t="s">
        <v>817</v>
      </c>
      <c r="C191" s="1" t="s">
        <v>695</v>
      </c>
      <c r="D191" s="1" t="s">
        <v>817</v>
      </c>
      <c r="E191" s="1" t="s">
        <v>336</v>
      </c>
      <c r="F191" s="3">
        <v>139.30000000000001</v>
      </c>
      <c r="G191" s="1" t="s">
        <v>342</v>
      </c>
      <c r="H191" s="1" t="s">
        <v>665</v>
      </c>
      <c r="I191" s="1" t="s">
        <v>426</v>
      </c>
      <c r="J191" t="str">
        <f>VLOOKUP(H191,Planilha2!B:C,2,0)</f>
        <v>132 a 134</v>
      </c>
    </row>
    <row r="192" spans="1:10" ht="15.75" customHeight="1" x14ac:dyDescent="0.15">
      <c r="A192" s="4" t="s">
        <v>490</v>
      </c>
      <c r="B192" s="3" t="s">
        <v>294</v>
      </c>
      <c r="C192" s="1" t="s">
        <v>695</v>
      </c>
      <c r="D192" s="1" t="s">
        <v>294</v>
      </c>
      <c r="E192" s="1" t="s">
        <v>843</v>
      </c>
      <c r="F192" s="3">
        <v>386.97</v>
      </c>
      <c r="G192" s="1" t="s">
        <v>342</v>
      </c>
      <c r="H192" s="1" t="s">
        <v>665</v>
      </c>
      <c r="I192" s="1" t="s">
        <v>426</v>
      </c>
      <c r="J192" t="str">
        <f>VLOOKUP(H192,Planilha2!B:C,2,0)</f>
        <v>132 a 134</v>
      </c>
    </row>
    <row r="193" spans="1:10" ht="15.75" customHeight="1" x14ac:dyDescent="0.15">
      <c r="A193" s="4" t="s">
        <v>490</v>
      </c>
      <c r="B193" s="3" t="s">
        <v>162</v>
      </c>
      <c r="C193" s="1" t="s">
        <v>695</v>
      </c>
      <c r="D193" s="1" t="s">
        <v>162</v>
      </c>
      <c r="E193" s="1" t="s">
        <v>108</v>
      </c>
      <c r="F193" s="3">
        <v>91.32</v>
      </c>
      <c r="G193" s="1" t="s">
        <v>342</v>
      </c>
      <c r="H193" s="1" t="s">
        <v>665</v>
      </c>
      <c r="I193" s="1" t="s">
        <v>426</v>
      </c>
      <c r="J193" t="str">
        <f>VLOOKUP(H193,Planilha2!B:C,2,0)</f>
        <v>132 a 134</v>
      </c>
    </row>
    <row r="194" spans="1:10" ht="15.75" customHeight="1" x14ac:dyDescent="0.15">
      <c r="A194" s="4" t="s">
        <v>490</v>
      </c>
      <c r="B194" s="3" t="s">
        <v>548</v>
      </c>
      <c r="C194" s="1" t="s">
        <v>695</v>
      </c>
      <c r="D194" s="1" t="s">
        <v>548</v>
      </c>
      <c r="E194" s="1" t="s">
        <v>108</v>
      </c>
      <c r="F194" s="3">
        <v>142.05000000000001</v>
      </c>
      <c r="G194" s="1" t="s">
        <v>342</v>
      </c>
      <c r="H194" s="1" t="s">
        <v>665</v>
      </c>
      <c r="I194" s="1" t="s">
        <v>426</v>
      </c>
      <c r="J194" t="str">
        <f>VLOOKUP(H194,Planilha2!B:C,2,0)</f>
        <v>132 a 134</v>
      </c>
    </row>
    <row r="195" spans="1:10" ht="15.75" customHeight="1" x14ac:dyDescent="0.15">
      <c r="A195" s="4" t="s">
        <v>490</v>
      </c>
      <c r="B195" s="3" t="s">
        <v>498</v>
      </c>
      <c r="C195" s="1" t="s">
        <v>695</v>
      </c>
      <c r="D195" s="1" t="s">
        <v>498</v>
      </c>
      <c r="E195" s="1" t="s">
        <v>108</v>
      </c>
      <c r="F195" s="3">
        <v>108.23</v>
      </c>
      <c r="G195" s="1" t="s">
        <v>342</v>
      </c>
      <c r="H195" s="1" t="s">
        <v>665</v>
      </c>
      <c r="I195" s="1" t="s">
        <v>426</v>
      </c>
      <c r="J195" t="str">
        <f>VLOOKUP(H195,Planilha2!B:C,2,0)</f>
        <v>132 a 134</v>
      </c>
    </row>
    <row r="196" spans="1:10" ht="15.75" customHeight="1" x14ac:dyDescent="0.15">
      <c r="A196" s="4" t="s">
        <v>490</v>
      </c>
      <c r="B196" s="3" t="s">
        <v>650</v>
      </c>
      <c r="C196" s="1" t="s">
        <v>695</v>
      </c>
      <c r="D196" s="1" t="s">
        <v>650</v>
      </c>
      <c r="E196" s="1" t="s">
        <v>108</v>
      </c>
      <c r="F196" s="3">
        <v>576.48</v>
      </c>
      <c r="G196" s="1" t="s">
        <v>342</v>
      </c>
      <c r="H196" s="1" t="s">
        <v>665</v>
      </c>
      <c r="I196" s="1" t="s">
        <v>426</v>
      </c>
      <c r="J196" t="str">
        <f>VLOOKUP(H196,Planilha2!B:C,2,0)</f>
        <v>132 a 134</v>
      </c>
    </row>
    <row r="197" spans="1:10" ht="15.75" customHeight="1" x14ac:dyDescent="0.15">
      <c r="A197" s="4" t="s">
        <v>490</v>
      </c>
      <c r="B197" s="3" t="s">
        <v>149</v>
      </c>
      <c r="C197" s="1" t="s">
        <v>695</v>
      </c>
      <c r="D197" s="1" t="s">
        <v>149</v>
      </c>
      <c r="E197" s="1" t="s">
        <v>108</v>
      </c>
      <c r="F197" s="3">
        <v>179.2</v>
      </c>
      <c r="G197" s="1" t="s">
        <v>342</v>
      </c>
      <c r="H197" s="1" t="s">
        <v>665</v>
      </c>
      <c r="I197" s="1" t="s">
        <v>426</v>
      </c>
      <c r="J197" t="str">
        <f>VLOOKUP(H197,Planilha2!B:C,2,0)</f>
        <v>132 a 134</v>
      </c>
    </row>
    <row r="198" spans="1:10" ht="15.75" customHeight="1" x14ac:dyDescent="0.15">
      <c r="A198" s="4" t="s">
        <v>490</v>
      </c>
      <c r="B198" s="3" t="s">
        <v>186</v>
      </c>
      <c r="C198" s="1" t="s">
        <v>695</v>
      </c>
      <c r="D198" s="1" t="s">
        <v>186</v>
      </c>
      <c r="E198" s="1" t="s">
        <v>108</v>
      </c>
      <c r="F198" s="3">
        <v>206.15</v>
      </c>
      <c r="G198" s="1" t="s">
        <v>342</v>
      </c>
      <c r="H198" s="1" t="s">
        <v>665</v>
      </c>
      <c r="I198" s="1" t="s">
        <v>426</v>
      </c>
      <c r="J198" t="str">
        <f>VLOOKUP(H198,Planilha2!B:C,2,0)</f>
        <v>132 a 134</v>
      </c>
    </row>
    <row r="199" spans="1:10" ht="15.75" customHeight="1" x14ac:dyDescent="0.15">
      <c r="A199" s="4" t="s">
        <v>490</v>
      </c>
      <c r="B199" s="3" t="s">
        <v>632</v>
      </c>
      <c r="C199" s="1" t="s">
        <v>695</v>
      </c>
      <c r="D199" s="1" t="s">
        <v>632</v>
      </c>
      <c r="E199" s="1" t="s">
        <v>108</v>
      </c>
      <c r="F199" s="3">
        <v>1805.47</v>
      </c>
      <c r="G199" s="1" t="s">
        <v>342</v>
      </c>
      <c r="H199" s="1" t="s">
        <v>665</v>
      </c>
      <c r="I199" s="1" t="s">
        <v>426</v>
      </c>
      <c r="J199" t="str">
        <f>VLOOKUP(H199,Planilha2!B:C,2,0)</f>
        <v>132 a 134</v>
      </c>
    </row>
    <row r="200" spans="1:10" ht="15.75" customHeight="1" x14ac:dyDescent="0.15">
      <c r="A200" s="4" t="s">
        <v>490</v>
      </c>
      <c r="B200" s="3" t="s">
        <v>296</v>
      </c>
      <c r="C200" s="1" t="s">
        <v>695</v>
      </c>
      <c r="D200" s="1" t="s">
        <v>296</v>
      </c>
      <c r="E200" s="1" t="s">
        <v>108</v>
      </c>
      <c r="F200" s="3">
        <v>380.23</v>
      </c>
      <c r="G200" s="1" t="s">
        <v>342</v>
      </c>
      <c r="H200" s="1" t="s">
        <v>665</v>
      </c>
      <c r="I200" s="1" t="s">
        <v>426</v>
      </c>
      <c r="J200" t="str">
        <f>VLOOKUP(H200,Planilha2!B:C,2,0)</f>
        <v>132 a 134</v>
      </c>
    </row>
    <row r="201" spans="1:10" ht="15.75" customHeight="1" x14ac:dyDescent="0.15">
      <c r="A201" s="4" t="s">
        <v>490</v>
      </c>
      <c r="B201" s="3" t="s">
        <v>466</v>
      </c>
      <c r="C201" s="1" t="s">
        <v>695</v>
      </c>
      <c r="D201" s="1" t="s">
        <v>466</v>
      </c>
      <c r="E201" s="1" t="s">
        <v>108</v>
      </c>
      <c r="F201" s="3">
        <v>79.599999999999994</v>
      </c>
      <c r="G201" s="1" t="s">
        <v>342</v>
      </c>
      <c r="H201" s="1" t="s">
        <v>665</v>
      </c>
      <c r="I201" s="1" t="s">
        <v>426</v>
      </c>
      <c r="J201" t="str">
        <f>VLOOKUP(H201,Planilha2!B:C,2,0)</f>
        <v>132 a 134</v>
      </c>
    </row>
    <row r="202" spans="1:10" ht="15.75" customHeight="1" x14ac:dyDescent="0.15">
      <c r="A202" s="4" t="s">
        <v>490</v>
      </c>
      <c r="B202" s="3" t="s">
        <v>130</v>
      </c>
      <c r="C202" s="1" t="s">
        <v>695</v>
      </c>
      <c r="D202" s="1" t="s">
        <v>130</v>
      </c>
      <c r="E202" s="1" t="s">
        <v>108</v>
      </c>
      <c r="F202" s="3">
        <v>28.67</v>
      </c>
      <c r="G202" s="1" t="s">
        <v>342</v>
      </c>
      <c r="H202" s="1" t="s">
        <v>665</v>
      </c>
      <c r="I202" s="1" t="s">
        <v>426</v>
      </c>
      <c r="J202" t="str">
        <f>VLOOKUP(H202,Planilha2!B:C,2,0)</f>
        <v>132 a 134</v>
      </c>
    </row>
    <row r="203" spans="1:10" ht="15.75" customHeight="1" x14ac:dyDescent="0.15">
      <c r="A203" s="4" t="s">
        <v>490</v>
      </c>
      <c r="B203" s="3" t="s">
        <v>513</v>
      </c>
      <c r="C203" s="1" t="s">
        <v>695</v>
      </c>
      <c r="D203" s="1" t="s">
        <v>513</v>
      </c>
      <c r="E203" s="1" t="s">
        <v>108</v>
      </c>
      <c r="F203" s="3">
        <v>41.92</v>
      </c>
      <c r="G203" s="1" t="s">
        <v>342</v>
      </c>
      <c r="H203" s="1" t="s">
        <v>665</v>
      </c>
      <c r="I203" s="1" t="s">
        <v>426</v>
      </c>
      <c r="J203" t="str">
        <f>VLOOKUP(H203,Planilha2!B:C,2,0)</f>
        <v>132 a 134</v>
      </c>
    </row>
    <row r="204" spans="1:10" ht="15.75" customHeight="1" x14ac:dyDescent="0.15">
      <c r="A204" s="4" t="s">
        <v>490</v>
      </c>
      <c r="B204" s="3" t="s">
        <v>545</v>
      </c>
      <c r="C204" s="1" t="s">
        <v>695</v>
      </c>
      <c r="D204" s="1" t="s">
        <v>545</v>
      </c>
      <c r="E204" s="1" t="s">
        <v>108</v>
      </c>
      <c r="F204" s="3">
        <v>332.04</v>
      </c>
      <c r="G204" s="1" t="s">
        <v>342</v>
      </c>
      <c r="H204" s="1" t="s">
        <v>665</v>
      </c>
      <c r="I204" s="1" t="s">
        <v>426</v>
      </c>
      <c r="J204" t="str">
        <f>VLOOKUP(H204,Planilha2!B:C,2,0)</f>
        <v>132 a 134</v>
      </c>
    </row>
    <row r="205" spans="1:10" ht="15.75" customHeight="1" x14ac:dyDescent="0.15">
      <c r="A205" s="4" t="s">
        <v>490</v>
      </c>
      <c r="B205" s="3" t="s">
        <v>27</v>
      </c>
      <c r="C205" s="1" t="s">
        <v>695</v>
      </c>
      <c r="D205" s="1" t="s">
        <v>27</v>
      </c>
      <c r="E205" s="1" t="s">
        <v>705</v>
      </c>
      <c r="F205" s="3">
        <v>51.65</v>
      </c>
      <c r="G205" s="1" t="s">
        <v>342</v>
      </c>
      <c r="H205" s="1" t="s">
        <v>665</v>
      </c>
      <c r="I205" s="1" t="s">
        <v>426</v>
      </c>
      <c r="J205" t="str">
        <f>VLOOKUP(H205,Planilha2!B:C,2,0)</f>
        <v>132 a 134</v>
      </c>
    </row>
    <row r="206" spans="1:10" ht="15.75" customHeight="1" x14ac:dyDescent="0.15">
      <c r="A206" s="4" t="s">
        <v>490</v>
      </c>
      <c r="B206" s="3" t="s">
        <v>699</v>
      </c>
      <c r="C206" s="1" t="s">
        <v>695</v>
      </c>
      <c r="D206" s="1" t="s">
        <v>699</v>
      </c>
      <c r="E206" s="1" t="s">
        <v>108</v>
      </c>
      <c r="F206" s="3">
        <v>363.27</v>
      </c>
      <c r="G206" s="1" t="s">
        <v>342</v>
      </c>
      <c r="H206" s="1" t="s">
        <v>665</v>
      </c>
      <c r="I206" s="1" t="s">
        <v>426</v>
      </c>
      <c r="J206" t="str">
        <f>VLOOKUP(H206,Planilha2!B:C,2,0)</f>
        <v>132 a 134</v>
      </c>
    </row>
    <row r="207" spans="1:10" ht="15.75" customHeight="1" x14ac:dyDescent="0.15">
      <c r="A207" s="4" t="s">
        <v>490</v>
      </c>
      <c r="B207" s="3" t="s">
        <v>499</v>
      </c>
      <c r="C207" s="1" t="s">
        <v>695</v>
      </c>
      <c r="D207" s="1" t="s">
        <v>499</v>
      </c>
      <c r="E207" s="1" t="s">
        <v>108</v>
      </c>
      <c r="F207" s="3">
        <v>51.3</v>
      </c>
      <c r="G207" s="1" t="s">
        <v>342</v>
      </c>
      <c r="H207" s="1" t="s">
        <v>665</v>
      </c>
      <c r="I207" s="1" t="s">
        <v>426</v>
      </c>
      <c r="J207" t="str">
        <f>VLOOKUP(H207,Planilha2!B:C,2,0)</f>
        <v>132 a 134</v>
      </c>
    </row>
    <row r="208" spans="1:10" ht="15.75" customHeight="1" x14ac:dyDescent="0.15">
      <c r="A208" s="4" t="s">
        <v>490</v>
      </c>
      <c r="B208" s="3" t="s">
        <v>378</v>
      </c>
      <c r="C208" s="1" t="s">
        <v>695</v>
      </c>
      <c r="D208" s="1" t="s">
        <v>378</v>
      </c>
      <c r="E208" s="1" t="s">
        <v>108</v>
      </c>
      <c r="F208" s="3">
        <v>626.65</v>
      </c>
      <c r="G208" s="1" t="s">
        <v>342</v>
      </c>
      <c r="H208" s="1" t="s">
        <v>665</v>
      </c>
      <c r="I208" s="1" t="s">
        <v>426</v>
      </c>
      <c r="J208" t="str">
        <f>VLOOKUP(H208,Planilha2!B:C,2,0)</f>
        <v>132 a 134</v>
      </c>
    </row>
    <row r="209" spans="1:10" ht="15.75" customHeight="1" x14ac:dyDescent="0.15">
      <c r="A209" s="4" t="s">
        <v>490</v>
      </c>
      <c r="B209" s="3" t="s">
        <v>250</v>
      </c>
      <c r="C209" s="1" t="s">
        <v>695</v>
      </c>
      <c r="D209" s="1" t="s">
        <v>250</v>
      </c>
      <c r="E209" s="1" t="s">
        <v>108</v>
      </c>
      <c r="F209" s="3">
        <v>581.45000000000005</v>
      </c>
      <c r="G209" s="1" t="s">
        <v>342</v>
      </c>
      <c r="H209" s="1" t="s">
        <v>665</v>
      </c>
      <c r="I209" s="1" t="s">
        <v>426</v>
      </c>
      <c r="J209" t="str">
        <f>VLOOKUP(H209,Planilha2!B:C,2,0)</f>
        <v>132 a 134</v>
      </c>
    </row>
    <row r="210" spans="1:10" ht="15.75" customHeight="1" x14ac:dyDescent="0.15">
      <c r="A210" s="4" t="s">
        <v>490</v>
      </c>
      <c r="B210" s="3" t="s">
        <v>166</v>
      </c>
      <c r="C210" s="1" t="s">
        <v>695</v>
      </c>
      <c r="D210" s="1" t="s">
        <v>166</v>
      </c>
      <c r="E210" s="1" t="s">
        <v>775</v>
      </c>
      <c r="F210" s="3">
        <v>37.22</v>
      </c>
      <c r="G210" s="1" t="s">
        <v>342</v>
      </c>
      <c r="H210" s="1" t="s">
        <v>665</v>
      </c>
      <c r="I210" s="1" t="s">
        <v>426</v>
      </c>
      <c r="J210" t="str">
        <f>VLOOKUP(H210,Planilha2!B:C,2,0)</f>
        <v>132 a 134</v>
      </c>
    </row>
    <row r="211" spans="1:10" ht="15.75" customHeight="1" x14ac:dyDescent="0.15">
      <c r="A211" s="4" t="s">
        <v>490</v>
      </c>
      <c r="B211" s="3" t="s">
        <v>194</v>
      </c>
      <c r="C211" s="1" t="s">
        <v>695</v>
      </c>
      <c r="D211" s="1" t="s">
        <v>194</v>
      </c>
      <c r="E211" s="1" t="s">
        <v>321</v>
      </c>
      <c r="F211" s="3">
        <v>218.71</v>
      </c>
      <c r="G211" s="1" t="s">
        <v>342</v>
      </c>
      <c r="H211" s="1" t="s">
        <v>665</v>
      </c>
      <c r="I211" s="1" t="s">
        <v>426</v>
      </c>
      <c r="J211" t="str">
        <f>VLOOKUP(H211,Planilha2!B:C,2,0)</f>
        <v>132 a 134</v>
      </c>
    </row>
    <row r="212" spans="1:10" ht="15.75" customHeight="1" x14ac:dyDescent="0.15">
      <c r="A212" s="4" t="s">
        <v>490</v>
      </c>
      <c r="B212" s="3" t="s">
        <v>279</v>
      </c>
      <c r="C212" s="1" t="s">
        <v>695</v>
      </c>
      <c r="D212" s="1" t="s">
        <v>279</v>
      </c>
      <c r="E212" s="1" t="s">
        <v>101</v>
      </c>
      <c r="F212" s="3">
        <v>67.59</v>
      </c>
      <c r="G212" s="1" t="s">
        <v>342</v>
      </c>
      <c r="H212" s="1" t="s">
        <v>665</v>
      </c>
      <c r="I212" s="1" t="s">
        <v>426</v>
      </c>
      <c r="J212" t="str">
        <f>VLOOKUP(H212,Planilha2!B:C,2,0)</f>
        <v>132 a 134</v>
      </c>
    </row>
    <row r="213" spans="1:10" ht="15.75" customHeight="1" x14ac:dyDescent="0.15">
      <c r="A213" s="4" t="s">
        <v>490</v>
      </c>
      <c r="B213" s="3" t="s">
        <v>50</v>
      </c>
      <c r="C213" s="1" t="s">
        <v>695</v>
      </c>
      <c r="D213" s="1" t="s">
        <v>50</v>
      </c>
      <c r="E213" s="1" t="s">
        <v>845</v>
      </c>
      <c r="F213" s="3">
        <v>9.86</v>
      </c>
      <c r="G213" s="1" t="s">
        <v>342</v>
      </c>
      <c r="H213" s="1" t="s">
        <v>665</v>
      </c>
      <c r="I213" s="1" t="s">
        <v>426</v>
      </c>
      <c r="J213" t="str">
        <f>VLOOKUP(H213,Planilha2!B:C,2,0)</f>
        <v>132 a 134</v>
      </c>
    </row>
    <row r="214" spans="1:10" ht="15.75" customHeight="1" x14ac:dyDescent="0.15">
      <c r="A214" s="4" t="s">
        <v>490</v>
      </c>
      <c r="B214" s="3" t="s">
        <v>738</v>
      </c>
      <c r="C214" s="1" t="s">
        <v>695</v>
      </c>
      <c r="D214" s="1" t="s">
        <v>738</v>
      </c>
      <c r="E214" s="1" t="s">
        <v>182</v>
      </c>
      <c r="F214" s="3">
        <v>59.61</v>
      </c>
      <c r="G214" s="1" t="s">
        <v>342</v>
      </c>
      <c r="H214" s="1" t="s">
        <v>665</v>
      </c>
      <c r="I214" s="1" t="s">
        <v>426</v>
      </c>
      <c r="J214" t="str">
        <f>VLOOKUP(H214,Planilha2!B:C,2,0)</f>
        <v>132 a 134</v>
      </c>
    </row>
    <row r="215" spans="1:10" ht="15.75" customHeight="1" x14ac:dyDescent="0.15">
      <c r="A215" s="4" t="s">
        <v>490</v>
      </c>
      <c r="B215" s="3" t="s">
        <v>327</v>
      </c>
      <c r="C215" s="1" t="s">
        <v>165</v>
      </c>
      <c r="D215" s="1" t="s">
        <v>327</v>
      </c>
      <c r="E215" s="1" t="s">
        <v>762</v>
      </c>
      <c r="F215" s="3">
        <v>19000</v>
      </c>
      <c r="G215" s="1" t="s">
        <v>342</v>
      </c>
      <c r="H215" s="1" t="s">
        <v>21</v>
      </c>
      <c r="I215" s="1" t="s">
        <v>531</v>
      </c>
      <c r="J215">
        <f>VLOOKUP(H215,Planilha2!B:C,2,0)</f>
        <v>0</v>
      </c>
    </row>
    <row r="216" spans="1:10" ht="15.75" customHeight="1" x14ac:dyDescent="0.15">
      <c r="A216" s="4" t="s">
        <v>490</v>
      </c>
      <c r="B216" s="3" t="s">
        <v>143</v>
      </c>
      <c r="C216" s="1" t="s">
        <v>165</v>
      </c>
      <c r="D216" s="1" t="s">
        <v>143</v>
      </c>
      <c r="E216" s="1" t="s">
        <v>762</v>
      </c>
      <c r="F216" s="3">
        <v>2112.58</v>
      </c>
      <c r="G216" s="1" t="s">
        <v>342</v>
      </c>
      <c r="H216" s="1" t="s">
        <v>21</v>
      </c>
      <c r="I216" s="1" t="s">
        <v>531</v>
      </c>
      <c r="J216">
        <f>VLOOKUP(H216,Planilha2!B:C,2,0)</f>
        <v>0</v>
      </c>
    </row>
    <row r="217" spans="1:10" ht="15.75" customHeight="1" x14ac:dyDescent="0.15">
      <c r="A217" s="4" t="s">
        <v>490</v>
      </c>
      <c r="B217" s="3" t="s">
        <v>241</v>
      </c>
      <c r="C217" s="1" t="s">
        <v>165</v>
      </c>
      <c r="D217" s="1" t="s">
        <v>241</v>
      </c>
      <c r="E217" s="1" t="s">
        <v>397</v>
      </c>
      <c r="F217" s="3">
        <v>8072.67</v>
      </c>
      <c r="G217" s="1" t="s">
        <v>342</v>
      </c>
      <c r="H217" s="1" t="s">
        <v>665</v>
      </c>
      <c r="I217" s="1" t="s">
        <v>426</v>
      </c>
      <c r="J217" t="str">
        <f>VLOOKUP(H217,Planilha2!B:C,2,0)</f>
        <v>132 a 134</v>
      </c>
    </row>
    <row r="218" spans="1:10" ht="15.75" customHeight="1" x14ac:dyDescent="0.15">
      <c r="A218" s="4" t="s">
        <v>490</v>
      </c>
      <c r="B218" s="3" t="s">
        <v>837</v>
      </c>
      <c r="C218" s="1" t="s">
        <v>165</v>
      </c>
      <c r="D218" s="1" t="s">
        <v>837</v>
      </c>
      <c r="E218" s="1" t="s">
        <v>818</v>
      </c>
      <c r="F218" s="3">
        <v>69</v>
      </c>
      <c r="G218" s="1" t="s">
        <v>342</v>
      </c>
      <c r="H218" s="1" t="s">
        <v>665</v>
      </c>
      <c r="I218" s="1" t="s">
        <v>426</v>
      </c>
      <c r="J218" t="str">
        <f>VLOOKUP(H218,Planilha2!B:C,2,0)</f>
        <v>132 a 134</v>
      </c>
    </row>
    <row r="219" spans="1:10" ht="15.75" customHeight="1" x14ac:dyDescent="0.15">
      <c r="A219" s="4" t="s">
        <v>281</v>
      </c>
      <c r="B219" s="3" t="s">
        <v>196</v>
      </c>
      <c r="C219" s="1" t="s">
        <v>165</v>
      </c>
      <c r="D219" s="1" t="s">
        <v>196</v>
      </c>
      <c r="E219" s="1" t="s">
        <v>762</v>
      </c>
      <c r="F219" s="3">
        <v>-46202.09</v>
      </c>
      <c r="G219" s="1" t="s">
        <v>342</v>
      </c>
      <c r="H219" s="1" t="s">
        <v>21</v>
      </c>
      <c r="I219" s="1" t="s">
        <v>531</v>
      </c>
      <c r="J219">
        <f>VLOOKUP(H219,Planilha2!B:C,2,0)</f>
        <v>0</v>
      </c>
    </row>
    <row r="220" spans="1:10" ht="15.75" customHeight="1" x14ac:dyDescent="0.15">
      <c r="A220" s="4" t="s">
        <v>490</v>
      </c>
      <c r="B220" s="3" t="s">
        <v>487</v>
      </c>
      <c r="C220" s="1" t="s">
        <v>679</v>
      </c>
      <c r="D220" s="1" t="s">
        <v>487</v>
      </c>
      <c r="E220" s="1" t="s">
        <v>61</v>
      </c>
      <c r="F220" s="3">
        <v>398.21</v>
      </c>
      <c r="G220" s="1" t="s">
        <v>342</v>
      </c>
      <c r="H220" s="1" t="s">
        <v>665</v>
      </c>
      <c r="I220" s="1" t="s">
        <v>426</v>
      </c>
      <c r="J220" t="str">
        <f>VLOOKUP(H220,Planilha2!B:C,2,0)</f>
        <v>132 a 134</v>
      </c>
    </row>
    <row r="221" spans="1:10" ht="15.75" customHeight="1" x14ac:dyDescent="0.15">
      <c r="A221" s="4" t="s">
        <v>490</v>
      </c>
      <c r="B221" s="3" t="s">
        <v>707</v>
      </c>
      <c r="C221" s="1" t="s">
        <v>679</v>
      </c>
      <c r="D221" s="1" t="s">
        <v>707</v>
      </c>
      <c r="E221" s="1" t="s">
        <v>171</v>
      </c>
      <c r="F221" s="3">
        <v>227.06</v>
      </c>
      <c r="G221" s="1" t="s">
        <v>342</v>
      </c>
      <c r="H221" s="1" t="s">
        <v>665</v>
      </c>
      <c r="I221" s="1" t="s">
        <v>426</v>
      </c>
      <c r="J221" t="str">
        <f>VLOOKUP(H221,Planilha2!B:C,2,0)</f>
        <v>132 a 134</v>
      </c>
    </row>
    <row r="222" spans="1:10" ht="15.75" customHeight="1" x14ac:dyDescent="0.15">
      <c r="A222" s="4" t="s">
        <v>490</v>
      </c>
      <c r="B222" s="3" t="s">
        <v>594</v>
      </c>
      <c r="C222" s="1" t="s">
        <v>679</v>
      </c>
      <c r="D222" s="1" t="s">
        <v>594</v>
      </c>
      <c r="E222" s="1" t="s">
        <v>881</v>
      </c>
      <c r="F222" s="3">
        <v>920</v>
      </c>
      <c r="G222" s="1" t="s">
        <v>342</v>
      </c>
      <c r="H222" s="1" t="s">
        <v>665</v>
      </c>
      <c r="I222" s="1" t="s">
        <v>426</v>
      </c>
      <c r="J222" t="str">
        <f>VLOOKUP(H222,Planilha2!B:C,2,0)</f>
        <v>132 a 134</v>
      </c>
    </row>
    <row r="223" spans="1:10" ht="15.75" customHeight="1" x14ac:dyDescent="0.15">
      <c r="A223" s="4" t="s">
        <v>281</v>
      </c>
      <c r="B223" s="3" t="s">
        <v>890</v>
      </c>
      <c r="C223" s="1" t="s">
        <v>407</v>
      </c>
      <c r="D223" s="1" t="s">
        <v>890</v>
      </c>
      <c r="E223" s="1" t="s">
        <v>211</v>
      </c>
      <c r="F223" s="3">
        <v>-148.08000000000001</v>
      </c>
      <c r="G223" s="1" t="s">
        <v>723</v>
      </c>
      <c r="H223" s="1" t="s">
        <v>219</v>
      </c>
      <c r="I223" s="1" t="s">
        <v>155</v>
      </c>
      <c r="J223">
        <f>VLOOKUP(H223,Planilha2!B:C,2,0)</f>
        <v>164</v>
      </c>
    </row>
    <row r="224" spans="1:10" ht="15.75" customHeight="1" x14ac:dyDescent="0.15">
      <c r="A224" s="4" t="s">
        <v>490</v>
      </c>
      <c r="B224" s="3" t="s">
        <v>878</v>
      </c>
      <c r="C224" s="1" t="s">
        <v>407</v>
      </c>
      <c r="D224" s="1" t="s">
        <v>878</v>
      </c>
      <c r="E224" s="1" t="s">
        <v>108</v>
      </c>
      <c r="F224" s="3">
        <v>228.53</v>
      </c>
      <c r="G224" s="1" t="s">
        <v>342</v>
      </c>
      <c r="H224" s="1" t="s">
        <v>665</v>
      </c>
      <c r="I224" s="1" t="s">
        <v>426</v>
      </c>
      <c r="J224" t="str">
        <f>VLOOKUP(H224,Planilha2!B:C,2,0)</f>
        <v>132 a 134</v>
      </c>
    </row>
    <row r="225" spans="1:10" ht="15.75" customHeight="1" x14ac:dyDescent="0.15">
      <c r="A225" s="4" t="s">
        <v>490</v>
      </c>
      <c r="B225" s="3" t="s">
        <v>519</v>
      </c>
      <c r="C225" s="1" t="s">
        <v>407</v>
      </c>
      <c r="D225" s="1" t="s">
        <v>519</v>
      </c>
      <c r="E225" s="1" t="s">
        <v>108</v>
      </c>
      <c r="F225" s="3">
        <v>51.93</v>
      </c>
      <c r="G225" s="1" t="s">
        <v>342</v>
      </c>
      <c r="H225" s="1" t="s">
        <v>665</v>
      </c>
      <c r="I225" s="1" t="s">
        <v>426</v>
      </c>
      <c r="J225" t="str">
        <f>VLOOKUP(H225,Planilha2!B:C,2,0)</f>
        <v>132 a 134</v>
      </c>
    </row>
    <row r="226" spans="1:10" ht="15.75" customHeight="1" x14ac:dyDescent="0.15">
      <c r="A226" s="4" t="s">
        <v>490</v>
      </c>
      <c r="B226" s="3" t="s">
        <v>832</v>
      </c>
      <c r="C226" s="1" t="s">
        <v>407</v>
      </c>
      <c r="D226" s="1" t="s">
        <v>832</v>
      </c>
      <c r="E226" s="1" t="s">
        <v>153</v>
      </c>
      <c r="F226" s="3">
        <v>134.9</v>
      </c>
      <c r="G226" s="1" t="s">
        <v>342</v>
      </c>
      <c r="H226" s="1" t="s">
        <v>665</v>
      </c>
      <c r="I226" s="1" t="s">
        <v>426</v>
      </c>
      <c r="J226" t="str">
        <f>VLOOKUP(H226,Planilha2!B:C,2,0)</f>
        <v>132 a 134</v>
      </c>
    </row>
    <row r="227" spans="1:10" ht="15.75" customHeight="1" x14ac:dyDescent="0.15">
      <c r="A227" s="4" t="s">
        <v>490</v>
      </c>
      <c r="B227" s="3" t="s">
        <v>703</v>
      </c>
      <c r="C227" s="1" t="s">
        <v>407</v>
      </c>
      <c r="D227" s="1" t="s">
        <v>703</v>
      </c>
      <c r="E227" s="1" t="s">
        <v>108</v>
      </c>
      <c r="F227" s="3">
        <v>156</v>
      </c>
      <c r="G227" s="1" t="s">
        <v>342</v>
      </c>
      <c r="H227" s="1" t="s">
        <v>665</v>
      </c>
      <c r="I227" s="1" t="s">
        <v>426</v>
      </c>
      <c r="J227" t="str">
        <f>VLOOKUP(H227,Planilha2!B:C,2,0)</f>
        <v>132 a 134</v>
      </c>
    </row>
    <row r="228" spans="1:10" ht="15.75" customHeight="1" x14ac:dyDescent="0.15">
      <c r="A228" s="4" t="s">
        <v>490</v>
      </c>
      <c r="B228" s="3" t="s">
        <v>696</v>
      </c>
      <c r="C228" s="1" t="s">
        <v>407</v>
      </c>
      <c r="D228" s="1" t="s">
        <v>696</v>
      </c>
      <c r="E228" s="1" t="s">
        <v>886</v>
      </c>
      <c r="F228" s="3">
        <v>213.2</v>
      </c>
      <c r="G228" s="1" t="s">
        <v>342</v>
      </c>
      <c r="H228" s="1" t="s">
        <v>665</v>
      </c>
      <c r="I228" s="1" t="s">
        <v>426</v>
      </c>
      <c r="J228" t="str">
        <f>VLOOKUP(H228,Planilha2!B:C,2,0)</f>
        <v>132 a 134</v>
      </c>
    </row>
    <row r="229" spans="1:10" ht="15.75" customHeight="1" x14ac:dyDescent="0.15">
      <c r="A229" s="4" t="s">
        <v>490</v>
      </c>
      <c r="B229" s="3" t="s">
        <v>873</v>
      </c>
      <c r="C229" s="1" t="s">
        <v>852</v>
      </c>
      <c r="D229" s="1" t="s">
        <v>873</v>
      </c>
      <c r="E229" s="1" t="s">
        <v>108</v>
      </c>
      <c r="F229" s="3">
        <v>363.14</v>
      </c>
      <c r="G229" s="1" t="s">
        <v>342</v>
      </c>
      <c r="H229" s="1" t="s">
        <v>665</v>
      </c>
      <c r="I229" s="1" t="s">
        <v>426</v>
      </c>
      <c r="J229" t="str">
        <f>VLOOKUP(H229,Planilha2!B:C,2,0)</f>
        <v>132 a 134</v>
      </c>
    </row>
    <row r="230" spans="1:10" ht="15.75" customHeight="1" x14ac:dyDescent="0.15">
      <c r="A230" s="4" t="s">
        <v>490</v>
      </c>
      <c r="B230" s="3" t="s">
        <v>587</v>
      </c>
      <c r="C230" s="1" t="s">
        <v>852</v>
      </c>
      <c r="D230" s="1" t="s">
        <v>587</v>
      </c>
      <c r="E230" s="1" t="s">
        <v>108</v>
      </c>
      <c r="F230" s="3">
        <v>114.26</v>
      </c>
      <c r="G230" s="1" t="s">
        <v>342</v>
      </c>
      <c r="H230" s="1" t="s">
        <v>665</v>
      </c>
      <c r="I230" s="1" t="s">
        <v>426</v>
      </c>
      <c r="J230" t="str">
        <f>VLOOKUP(H230,Planilha2!B:C,2,0)</f>
        <v>132 a 134</v>
      </c>
    </row>
    <row r="231" spans="1:10" ht="15.75" customHeight="1" x14ac:dyDescent="0.15">
      <c r="A231" s="4" t="s">
        <v>490</v>
      </c>
      <c r="B231" s="3" t="s">
        <v>357</v>
      </c>
      <c r="C231" s="1" t="s">
        <v>852</v>
      </c>
      <c r="D231" s="1" t="s">
        <v>357</v>
      </c>
      <c r="E231" s="1" t="s">
        <v>765</v>
      </c>
      <c r="F231" s="3">
        <v>5961.97</v>
      </c>
      <c r="G231" s="1" t="s">
        <v>342</v>
      </c>
      <c r="H231" s="1" t="s">
        <v>665</v>
      </c>
      <c r="I231" s="1" t="s">
        <v>426</v>
      </c>
      <c r="J231" t="str">
        <f>VLOOKUP(H231,Planilha2!B:C,2,0)</f>
        <v>132 a 134</v>
      </c>
    </row>
    <row r="232" spans="1:10" ht="15.75" customHeight="1" x14ac:dyDescent="0.15">
      <c r="A232" s="4" t="s">
        <v>490</v>
      </c>
      <c r="B232" s="3" t="s">
        <v>598</v>
      </c>
      <c r="C232" s="1" t="s">
        <v>852</v>
      </c>
      <c r="D232" s="1" t="s">
        <v>598</v>
      </c>
      <c r="E232" s="1" t="s">
        <v>692</v>
      </c>
      <c r="F232" s="3">
        <v>10.9</v>
      </c>
      <c r="G232" s="1" t="s">
        <v>342</v>
      </c>
      <c r="H232" s="1" t="s">
        <v>665</v>
      </c>
      <c r="I232" s="1" t="s">
        <v>426</v>
      </c>
      <c r="J232" t="str">
        <f>VLOOKUP(H232,Planilha2!B:C,2,0)</f>
        <v>132 a 134</v>
      </c>
    </row>
    <row r="233" spans="1:10" ht="15.75" customHeight="1" x14ac:dyDescent="0.15">
      <c r="A233" s="4" t="s">
        <v>490</v>
      </c>
      <c r="B233" s="3" t="s">
        <v>191</v>
      </c>
      <c r="C233" s="1" t="s">
        <v>224</v>
      </c>
      <c r="D233" s="1" t="s">
        <v>191</v>
      </c>
      <c r="E233" s="1" t="s">
        <v>108</v>
      </c>
      <c r="F233" s="3">
        <v>87.78</v>
      </c>
      <c r="G233" s="1" t="s">
        <v>342</v>
      </c>
      <c r="H233" s="1" t="s">
        <v>665</v>
      </c>
      <c r="I233" s="1" t="s">
        <v>426</v>
      </c>
      <c r="J233" t="str">
        <f>VLOOKUP(H233,Planilha2!B:C,2,0)</f>
        <v>132 a 134</v>
      </c>
    </row>
    <row r="234" spans="1:10" ht="15.75" customHeight="1" x14ac:dyDescent="0.15">
      <c r="A234" s="4" t="s">
        <v>490</v>
      </c>
      <c r="B234" s="3" t="s">
        <v>592</v>
      </c>
      <c r="C234" s="1" t="s">
        <v>224</v>
      </c>
      <c r="D234" s="1" t="s">
        <v>592</v>
      </c>
      <c r="E234" s="1" t="s">
        <v>233</v>
      </c>
      <c r="F234" s="3">
        <v>61.61</v>
      </c>
      <c r="G234" s="1" t="s">
        <v>342</v>
      </c>
      <c r="H234" s="1" t="s">
        <v>665</v>
      </c>
      <c r="I234" s="1" t="s">
        <v>426</v>
      </c>
      <c r="J234" t="str">
        <f>VLOOKUP(H234,Planilha2!B:C,2,0)</f>
        <v>132 a 134</v>
      </c>
    </row>
    <row r="235" spans="1:10" ht="15.75" customHeight="1" x14ac:dyDescent="0.15">
      <c r="A235" s="4" t="s">
        <v>490</v>
      </c>
      <c r="B235" s="3" t="s">
        <v>551</v>
      </c>
      <c r="C235" s="1" t="s">
        <v>224</v>
      </c>
      <c r="D235" s="1" t="s">
        <v>551</v>
      </c>
      <c r="E235" s="1" t="s">
        <v>108</v>
      </c>
      <c r="F235" s="3">
        <v>20.71</v>
      </c>
      <c r="G235" s="1" t="s">
        <v>342</v>
      </c>
      <c r="H235" s="1" t="s">
        <v>665</v>
      </c>
      <c r="I235" s="1" t="s">
        <v>426</v>
      </c>
      <c r="J235" t="str">
        <f>VLOOKUP(H235,Planilha2!B:C,2,0)</f>
        <v>132 a 134</v>
      </c>
    </row>
    <row r="236" spans="1:10" ht="15.75" customHeight="1" x14ac:dyDescent="0.15">
      <c r="A236" s="4" t="s">
        <v>490</v>
      </c>
      <c r="B236" s="3" t="s">
        <v>450</v>
      </c>
      <c r="C236" s="1" t="s">
        <v>224</v>
      </c>
      <c r="D236" s="1" t="s">
        <v>450</v>
      </c>
      <c r="E236" s="1" t="s">
        <v>168</v>
      </c>
      <c r="F236" s="3">
        <v>370</v>
      </c>
      <c r="G236" s="1" t="s">
        <v>342</v>
      </c>
      <c r="H236" s="1" t="s">
        <v>665</v>
      </c>
      <c r="I236" s="1" t="s">
        <v>426</v>
      </c>
      <c r="J236" t="str">
        <f>VLOOKUP(H236,Planilha2!B:C,2,0)</f>
        <v>132 a 134</v>
      </c>
    </row>
    <row r="237" spans="1:10" ht="15.75" customHeight="1" x14ac:dyDescent="0.15">
      <c r="A237" s="4" t="s">
        <v>281</v>
      </c>
      <c r="B237" s="3" t="s">
        <v>114</v>
      </c>
      <c r="C237" s="1" t="s">
        <v>224</v>
      </c>
      <c r="D237" s="1" t="s">
        <v>114</v>
      </c>
      <c r="E237" s="1" t="s">
        <v>17</v>
      </c>
      <c r="F237" s="3">
        <v>-19.989999999999998</v>
      </c>
      <c r="G237" s="1" t="s">
        <v>723</v>
      </c>
      <c r="H237" s="1" t="s">
        <v>581</v>
      </c>
      <c r="I237" s="1" t="s">
        <v>512</v>
      </c>
      <c r="J237">
        <f>VLOOKUP(H237,Planilha2!B:C,2,0)</f>
        <v>76</v>
      </c>
    </row>
    <row r="238" spans="1:10" ht="15.75" customHeight="1" x14ac:dyDescent="0.15">
      <c r="A238" s="4" t="s">
        <v>281</v>
      </c>
      <c r="B238" s="3" t="s">
        <v>320</v>
      </c>
      <c r="C238" s="1" t="s">
        <v>224</v>
      </c>
      <c r="D238" s="1" t="s">
        <v>320</v>
      </c>
      <c r="E238" s="1" t="s">
        <v>514</v>
      </c>
      <c r="F238" s="3">
        <v>-20</v>
      </c>
      <c r="G238" s="1" t="s">
        <v>342</v>
      </c>
      <c r="H238" s="1" t="s">
        <v>581</v>
      </c>
      <c r="I238" s="1" t="s">
        <v>512</v>
      </c>
      <c r="J238">
        <f>VLOOKUP(H238,Planilha2!B:C,2,0)</f>
        <v>76</v>
      </c>
    </row>
    <row r="239" spans="1:10" ht="15.75" customHeight="1" x14ac:dyDescent="0.15">
      <c r="A239" s="4" t="s">
        <v>490</v>
      </c>
      <c r="B239" s="3" t="s">
        <v>76</v>
      </c>
      <c r="C239" s="1" t="s">
        <v>706</v>
      </c>
      <c r="D239" s="1" t="s">
        <v>76</v>
      </c>
      <c r="E239" s="1" t="s">
        <v>108</v>
      </c>
      <c r="F239" s="3">
        <v>339.57</v>
      </c>
      <c r="G239" s="1" t="s">
        <v>342</v>
      </c>
      <c r="H239" s="1" t="s">
        <v>665</v>
      </c>
      <c r="I239" s="1" t="s">
        <v>426</v>
      </c>
      <c r="J239" t="str">
        <f>VLOOKUP(H239,Planilha2!B:C,2,0)</f>
        <v>132 a 134</v>
      </c>
    </row>
    <row r="240" spans="1:10" ht="15.75" customHeight="1" x14ac:dyDescent="0.15">
      <c r="A240" s="4" t="s">
        <v>490</v>
      </c>
      <c r="B240" s="3" t="s">
        <v>578</v>
      </c>
      <c r="C240" s="1" t="s">
        <v>706</v>
      </c>
      <c r="D240" s="1" t="s">
        <v>578</v>
      </c>
      <c r="E240" s="1" t="s">
        <v>108</v>
      </c>
      <c r="F240" s="3">
        <v>1114.77</v>
      </c>
      <c r="G240" s="1" t="s">
        <v>342</v>
      </c>
      <c r="H240" s="1" t="s">
        <v>665</v>
      </c>
      <c r="I240" s="1" t="s">
        <v>426</v>
      </c>
      <c r="J240" t="str">
        <f>VLOOKUP(H240,Planilha2!B:C,2,0)</f>
        <v>132 a 134</v>
      </c>
    </row>
    <row r="241" spans="1:10" ht="15.75" customHeight="1" x14ac:dyDescent="0.15">
      <c r="A241" s="4" t="s">
        <v>490</v>
      </c>
      <c r="B241" s="3" t="s">
        <v>784</v>
      </c>
      <c r="C241" s="1" t="s">
        <v>706</v>
      </c>
      <c r="D241" s="1" t="s">
        <v>784</v>
      </c>
      <c r="E241" s="1" t="s">
        <v>108</v>
      </c>
      <c r="F241" s="3">
        <v>305.82</v>
      </c>
      <c r="G241" s="1" t="s">
        <v>342</v>
      </c>
      <c r="H241" s="1" t="s">
        <v>665</v>
      </c>
      <c r="I241" s="1" t="s">
        <v>426</v>
      </c>
      <c r="J241" t="str">
        <f>VLOOKUP(H241,Planilha2!B:C,2,0)</f>
        <v>132 a 134</v>
      </c>
    </row>
    <row r="242" spans="1:10" ht="15.75" customHeight="1" x14ac:dyDescent="0.15">
      <c r="A242" s="4" t="s">
        <v>490</v>
      </c>
      <c r="B242" s="3" t="s">
        <v>761</v>
      </c>
      <c r="C242" s="1" t="s">
        <v>706</v>
      </c>
      <c r="D242" s="1" t="s">
        <v>761</v>
      </c>
      <c r="E242" s="1" t="s">
        <v>108</v>
      </c>
      <c r="F242" s="3">
        <v>10.73</v>
      </c>
      <c r="G242" s="1" t="s">
        <v>342</v>
      </c>
      <c r="H242" s="1" t="s">
        <v>665</v>
      </c>
      <c r="I242" s="1" t="s">
        <v>426</v>
      </c>
      <c r="J242" t="str">
        <f>VLOOKUP(H242,Planilha2!B:C,2,0)</f>
        <v>132 a 134</v>
      </c>
    </row>
    <row r="243" spans="1:10" ht="15.75" customHeight="1" x14ac:dyDescent="0.15">
      <c r="A243" s="4" t="s">
        <v>490</v>
      </c>
      <c r="B243" s="3" t="s">
        <v>582</v>
      </c>
      <c r="C243" s="1" t="s">
        <v>706</v>
      </c>
      <c r="D243" s="1" t="s">
        <v>582</v>
      </c>
      <c r="E243" s="1" t="s">
        <v>108</v>
      </c>
      <c r="F243" s="3">
        <v>816.69</v>
      </c>
      <c r="G243" s="1" t="s">
        <v>342</v>
      </c>
      <c r="H243" s="1" t="s">
        <v>665</v>
      </c>
      <c r="I243" s="1" t="s">
        <v>426</v>
      </c>
      <c r="J243" t="str">
        <f>VLOOKUP(H243,Planilha2!B:C,2,0)</f>
        <v>132 a 134</v>
      </c>
    </row>
    <row r="244" spans="1:10" ht="15.75" customHeight="1" x14ac:dyDescent="0.15">
      <c r="A244" s="4" t="s">
        <v>490</v>
      </c>
      <c r="B244" s="3" t="s">
        <v>217</v>
      </c>
      <c r="C244" s="1" t="s">
        <v>706</v>
      </c>
      <c r="D244" s="1" t="s">
        <v>217</v>
      </c>
      <c r="E244" s="1" t="s">
        <v>108</v>
      </c>
      <c r="F244" s="3">
        <v>84.91</v>
      </c>
      <c r="G244" s="1" t="s">
        <v>342</v>
      </c>
      <c r="H244" s="1" t="s">
        <v>665</v>
      </c>
      <c r="I244" s="1" t="s">
        <v>426</v>
      </c>
      <c r="J244" t="str">
        <f>VLOOKUP(H244,Planilha2!B:C,2,0)</f>
        <v>132 a 134</v>
      </c>
    </row>
    <row r="245" spans="1:10" ht="15.75" customHeight="1" x14ac:dyDescent="0.15">
      <c r="A245" s="4" t="s">
        <v>490</v>
      </c>
      <c r="B245" s="3" t="s">
        <v>278</v>
      </c>
      <c r="C245" s="1" t="s">
        <v>706</v>
      </c>
      <c r="D245" s="1" t="s">
        <v>278</v>
      </c>
      <c r="E245" s="1" t="s">
        <v>506</v>
      </c>
      <c r="F245" s="3">
        <v>139.24</v>
      </c>
      <c r="G245" s="1" t="s">
        <v>342</v>
      </c>
      <c r="H245" s="1" t="s">
        <v>665</v>
      </c>
      <c r="I245" s="1" t="s">
        <v>426</v>
      </c>
      <c r="J245" t="str">
        <f>VLOOKUP(H245,Planilha2!B:C,2,0)</f>
        <v>132 a 134</v>
      </c>
    </row>
    <row r="246" spans="1:10" ht="15.75" customHeight="1" x14ac:dyDescent="0.15">
      <c r="A246" s="4" t="s">
        <v>490</v>
      </c>
      <c r="B246" s="3" t="s">
        <v>880</v>
      </c>
      <c r="C246" s="1" t="s">
        <v>706</v>
      </c>
      <c r="D246" s="1" t="s">
        <v>880</v>
      </c>
      <c r="E246" s="1" t="s">
        <v>108</v>
      </c>
      <c r="F246" s="3">
        <v>339.56</v>
      </c>
      <c r="G246" s="1" t="s">
        <v>342</v>
      </c>
      <c r="H246" s="1" t="s">
        <v>665</v>
      </c>
      <c r="I246" s="1" t="s">
        <v>426</v>
      </c>
      <c r="J246" t="str">
        <f>VLOOKUP(H246,Planilha2!B:C,2,0)</f>
        <v>132 a 134</v>
      </c>
    </row>
    <row r="247" spans="1:10" ht="15.75" customHeight="1" x14ac:dyDescent="0.15">
      <c r="A247" s="4" t="s">
        <v>490</v>
      </c>
      <c r="B247" s="3" t="s">
        <v>623</v>
      </c>
      <c r="C247" s="1" t="s">
        <v>706</v>
      </c>
      <c r="D247" s="1" t="s">
        <v>623</v>
      </c>
      <c r="E247" s="1" t="s">
        <v>108</v>
      </c>
      <c r="F247" s="3">
        <v>186.64</v>
      </c>
      <c r="G247" s="1" t="s">
        <v>342</v>
      </c>
      <c r="H247" s="1" t="s">
        <v>665</v>
      </c>
      <c r="I247" s="1" t="s">
        <v>426</v>
      </c>
      <c r="J247" t="str">
        <f>VLOOKUP(H247,Planilha2!B:C,2,0)</f>
        <v>132 a 134</v>
      </c>
    </row>
    <row r="248" spans="1:10" ht="15.75" customHeight="1" x14ac:dyDescent="0.15">
      <c r="A248" s="4" t="s">
        <v>490</v>
      </c>
      <c r="B248" s="3" t="s">
        <v>175</v>
      </c>
      <c r="C248" s="1" t="s">
        <v>706</v>
      </c>
      <c r="D248" s="1" t="s">
        <v>175</v>
      </c>
      <c r="E248" s="1" t="s">
        <v>108</v>
      </c>
      <c r="F248" s="3">
        <v>21.46</v>
      </c>
      <c r="G248" s="1" t="s">
        <v>342</v>
      </c>
      <c r="H248" s="1" t="s">
        <v>665</v>
      </c>
      <c r="I248" s="1" t="s">
        <v>426</v>
      </c>
      <c r="J248" t="str">
        <f>VLOOKUP(H248,Planilha2!B:C,2,0)</f>
        <v>132 a 134</v>
      </c>
    </row>
    <row r="249" spans="1:10" ht="15.75" customHeight="1" x14ac:dyDescent="0.15">
      <c r="A249" s="4" t="s">
        <v>490</v>
      </c>
      <c r="B249" s="3" t="s">
        <v>398</v>
      </c>
      <c r="C249" s="1" t="s">
        <v>706</v>
      </c>
      <c r="D249" s="1" t="s">
        <v>398</v>
      </c>
      <c r="E249" s="1" t="s">
        <v>108</v>
      </c>
      <c r="F249" s="3">
        <v>281.7</v>
      </c>
      <c r="G249" s="1" t="s">
        <v>342</v>
      </c>
      <c r="H249" s="1" t="s">
        <v>665</v>
      </c>
      <c r="I249" s="1" t="s">
        <v>426</v>
      </c>
      <c r="J249" t="str">
        <f>VLOOKUP(H249,Planilha2!B:C,2,0)</f>
        <v>132 a 134</v>
      </c>
    </row>
    <row r="250" spans="1:10" ht="15.75" customHeight="1" x14ac:dyDescent="0.15">
      <c r="A250" s="4" t="s">
        <v>490</v>
      </c>
      <c r="B250" s="3" t="s">
        <v>752</v>
      </c>
      <c r="C250" s="1" t="s">
        <v>706</v>
      </c>
      <c r="D250" s="1" t="s">
        <v>752</v>
      </c>
      <c r="E250" s="1" t="s">
        <v>108</v>
      </c>
      <c r="F250" s="3">
        <v>300.07</v>
      </c>
      <c r="G250" s="1" t="s">
        <v>342</v>
      </c>
      <c r="H250" s="1" t="s">
        <v>665</v>
      </c>
      <c r="I250" s="1" t="s">
        <v>426</v>
      </c>
      <c r="J250" t="str">
        <f>VLOOKUP(H250,Planilha2!B:C,2,0)</f>
        <v>132 a 134</v>
      </c>
    </row>
    <row r="251" spans="1:10" ht="15.75" customHeight="1" x14ac:dyDescent="0.15">
      <c r="A251" s="4" t="s">
        <v>490</v>
      </c>
      <c r="B251" s="3" t="s">
        <v>645</v>
      </c>
      <c r="C251" s="1" t="s">
        <v>706</v>
      </c>
      <c r="D251" s="1" t="s">
        <v>645</v>
      </c>
      <c r="E251" s="1" t="s">
        <v>228</v>
      </c>
      <c r="F251" s="3">
        <v>39.799999999999997</v>
      </c>
      <c r="G251" s="1" t="s">
        <v>342</v>
      </c>
      <c r="H251" s="1" t="s">
        <v>665</v>
      </c>
      <c r="I251" s="1" t="s">
        <v>426</v>
      </c>
      <c r="J251" t="str">
        <f>VLOOKUP(H251,Planilha2!B:C,2,0)</f>
        <v>132 a 134</v>
      </c>
    </row>
    <row r="252" spans="1:10" ht="15.75" customHeight="1" x14ac:dyDescent="0.15">
      <c r="A252" s="4" t="s">
        <v>490</v>
      </c>
      <c r="B252" s="3" t="s">
        <v>494</v>
      </c>
      <c r="C252" s="1" t="s">
        <v>706</v>
      </c>
      <c r="D252" s="1" t="s">
        <v>494</v>
      </c>
      <c r="E252" s="1" t="s">
        <v>657</v>
      </c>
      <c r="F252" s="3">
        <v>74.63</v>
      </c>
      <c r="G252" s="1" t="s">
        <v>342</v>
      </c>
      <c r="H252" s="1" t="s">
        <v>665</v>
      </c>
      <c r="I252" s="1" t="s">
        <v>426</v>
      </c>
      <c r="J252" t="str">
        <f>VLOOKUP(H252,Planilha2!B:C,2,0)</f>
        <v>132 a 134</v>
      </c>
    </row>
    <row r="253" spans="1:10" ht="15.75" customHeight="1" x14ac:dyDescent="0.15">
      <c r="A253" s="4" t="s">
        <v>490</v>
      </c>
      <c r="B253" s="3" t="s">
        <v>235</v>
      </c>
      <c r="C253" s="1" t="s">
        <v>706</v>
      </c>
      <c r="D253" s="1" t="s">
        <v>235</v>
      </c>
      <c r="E253" s="1" t="s">
        <v>884</v>
      </c>
      <c r="F253" s="3">
        <v>43.59</v>
      </c>
      <c r="G253" s="1" t="s">
        <v>342</v>
      </c>
      <c r="H253" s="1" t="s">
        <v>665</v>
      </c>
      <c r="I253" s="1" t="s">
        <v>426</v>
      </c>
      <c r="J253" t="str">
        <f>VLOOKUP(H253,Planilha2!B:C,2,0)</f>
        <v>132 a 134</v>
      </c>
    </row>
    <row r="254" spans="1:10" ht="15.75" customHeight="1" x14ac:dyDescent="0.15">
      <c r="A254" s="4" t="s">
        <v>490</v>
      </c>
      <c r="B254" s="3" t="s">
        <v>392</v>
      </c>
      <c r="C254" s="1" t="s">
        <v>706</v>
      </c>
      <c r="D254" s="1" t="s">
        <v>392</v>
      </c>
      <c r="E254" s="1" t="s">
        <v>120</v>
      </c>
      <c r="F254" s="3">
        <v>196.8</v>
      </c>
      <c r="G254" s="1" t="s">
        <v>342</v>
      </c>
      <c r="H254" s="1" t="s">
        <v>665</v>
      </c>
      <c r="I254" s="1" t="s">
        <v>426</v>
      </c>
      <c r="J254" t="str">
        <f>VLOOKUP(H254,Planilha2!B:C,2,0)</f>
        <v>132 a 134</v>
      </c>
    </row>
    <row r="255" spans="1:10" ht="15.75" customHeight="1" x14ac:dyDescent="0.15">
      <c r="A255" s="4" t="s">
        <v>490</v>
      </c>
      <c r="B255" s="3" t="s">
        <v>88</v>
      </c>
      <c r="C255" s="1" t="s">
        <v>706</v>
      </c>
      <c r="D255" s="1" t="s">
        <v>88</v>
      </c>
      <c r="E255" s="1" t="s">
        <v>678</v>
      </c>
      <c r="F255" s="3">
        <v>89.55</v>
      </c>
      <c r="G255" s="1" t="s">
        <v>342</v>
      </c>
      <c r="H255" s="1" t="s">
        <v>665</v>
      </c>
      <c r="I255" s="1" t="s">
        <v>426</v>
      </c>
      <c r="J255" t="str">
        <f>VLOOKUP(H255,Planilha2!B:C,2,0)</f>
        <v>132 a 134</v>
      </c>
    </row>
    <row r="256" spans="1:10" ht="15.75" customHeight="1" x14ac:dyDescent="0.15">
      <c r="A256" s="4" t="s">
        <v>490</v>
      </c>
      <c r="B256" s="3" t="s">
        <v>798</v>
      </c>
      <c r="C256" s="1" t="s">
        <v>706</v>
      </c>
      <c r="D256" s="1" t="s">
        <v>798</v>
      </c>
      <c r="E256" s="1" t="s">
        <v>236</v>
      </c>
      <c r="F256" s="3">
        <v>180.8</v>
      </c>
      <c r="G256" s="1" t="s">
        <v>342</v>
      </c>
      <c r="H256" s="1" t="s">
        <v>665</v>
      </c>
      <c r="I256" s="1" t="s">
        <v>426</v>
      </c>
      <c r="J256" t="str">
        <f>VLOOKUP(H256,Planilha2!B:C,2,0)</f>
        <v>132 a 134</v>
      </c>
    </row>
    <row r="257" spans="1:10" ht="15.75" customHeight="1" x14ac:dyDescent="0.15">
      <c r="A257" s="4" t="s">
        <v>490</v>
      </c>
      <c r="B257" s="3" t="s">
        <v>80</v>
      </c>
      <c r="C257" s="1" t="s">
        <v>706</v>
      </c>
      <c r="D257" s="1" t="s">
        <v>80</v>
      </c>
      <c r="E257" s="1" t="s">
        <v>354</v>
      </c>
      <c r="F257" s="3">
        <v>238.8</v>
      </c>
      <c r="G257" s="1" t="s">
        <v>342</v>
      </c>
      <c r="H257" s="1" t="s">
        <v>665</v>
      </c>
      <c r="I257" s="1" t="s">
        <v>426</v>
      </c>
      <c r="J257" t="str">
        <f>VLOOKUP(H257,Planilha2!B:C,2,0)</f>
        <v>132 a 134</v>
      </c>
    </row>
    <row r="258" spans="1:10" ht="15.75" customHeight="1" x14ac:dyDescent="0.15">
      <c r="A258" s="4" t="s">
        <v>490</v>
      </c>
      <c r="B258" s="3" t="s">
        <v>785</v>
      </c>
      <c r="C258" s="1" t="s">
        <v>706</v>
      </c>
      <c r="D258" s="1" t="s">
        <v>785</v>
      </c>
      <c r="E258" s="1" t="s">
        <v>662</v>
      </c>
      <c r="F258" s="3">
        <v>49.75</v>
      </c>
      <c r="G258" s="1" t="s">
        <v>342</v>
      </c>
      <c r="H258" s="1" t="s">
        <v>665</v>
      </c>
      <c r="I258" s="1" t="s">
        <v>426</v>
      </c>
      <c r="J258" t="str">
        <f>VLOOKUP(H258,Planilha2!B:C,2,0)</f>
        <v>132 a 134</v>
      </c>
    </row>
    <row r="259" spans="1:10" ht="15.75" customHeight="1" x14ac:dyDescent="0.15">
      <c r="A259" s="4" t="s">
        <v>490</v>
      </c>
      <c r="B259" s="3" t="s">
        <v>93</v>
      </c>
      <c r="C259" s="1" t="s">
        <v>706</v>
      </c>
      <c r="D259" s="1" t="s">
        <v>93</v>
      </c>
      <c r="E259" s="1" t="s">
        <v>454</v>
      </c>
      <c r="F259" s="3">
        <v>21.8</v>
      </c>
      <c r="G259" s="1" t="s">
        <v>342</v>
      </c>
      <c r="H259" s="1" t="s">
        <v>665</v>
      </c>
      <c r="I259" s="1" t="s">
        <v>426</v>
      </c>
      <c r="J259" t="str">
        <f>VLOOKUP(H259,Planilha2!B:C,2,0)</f>
        <v>132 a 134</v>
      </c>
    </row>
    <row r="260" spans="1:10" ht="15.75" customHeight="1" x14ac:dyDescent="0.15">
      <c r="A260" s="4" t="s">
        <v>490</v>
      </c>
      <c r="B260" s="3" t="s">
        <v>481</v>
      </c>
      <c r="C260" s="1" t="s">
        <v>706</v>
      </c>
      <c r="D260" s="1" t="s">
        <v>481</v>
      </c>
      <c r="E260" s="1" t="s">
        <v>131</v>
      </c>
      <c r="F260" s="3">
        <v>124.38</v>
      </c>
      <c r="G260" s="1" t="s">
        <v>342</v>
      </c>
      <c r="H260" s="1" t="s">
        <v>665</v>
      </c>
      <c r="I260" s="1" t="s">
        <v>426</v>
      </c>
      <c r="J260" t="str">
        <f>VLOOKUP(H260,Planilha2!B:C,2,0)</f>
        <v>132 a 134</v>
      </c>
    </row>
    <row r="261" spans="1:10" ht="15.75" customHeight="1" x14ac:dyDescent="0.15">
      <c r="A261" s="4" t="s">
        <v>490</v>
      </c>
      <c r="B261" s="3" t="s">
        <v>730</v>
      </c>
      <c r="C261" s="1" t="s">
        <v>706</v>
      </c>
      <c r="D261" s="1" t="s">
        <v>730</v>
      </c>
      <c r="E261" s="1" t="s">
        <v>791</v>
      </c>
      <c r="F261" s="3">
        <v>47.76</v>
      </c>
      <c r="G261" s="1" t="s">
        <v>342</v>
      </c>
      <c r="H261" s="1" t="s">
        <v>665</v>
      </c>
      <c r="I261" s="1" t="s">
        <v>426</v>
      </c>
      <c r="J261" t="str">
        <f>VLOOKUP(H261,Planilha2!B:C,2,0)</f>
        <v>132 a 134</v>
      </c>
    </row>
    <row r="262" spans="1:10" ht="15.75" customHeight="1" x14ac:dyDescent="0.15">
      <c r="A262" s="4" t="s">
        <v>490</v>
      </c>
      <c r="B262" s="3" t="s">
        <v>840</v>
      </c>
      <c r="C262" s="1" t="s">
        <v>706</v>
      </c>
      <c r="D262" s="1" t="s">
        <v>840</v>
      </c>
      <c r="E262" s="1" t="s">
        <v>791</v>
      </c>
      <c r="F262" s="3">
        <v>154.13</v>
      </c>
      <c r="G262" s="1" t="s">
        <v>342</v>
      </c>
      <c r="H262" s="1" t="s">
        <v>665</v>
      </c>
      <c r="I262" s="1" t="s">
        <v>426</v>
      </c>
      <c r="J262" t="str">
        <f>VLOOKUP(H262,Planilha2!B:C,2,0)</f>
        <v>132 a 134</v>
      </c>
    </row>
    <row r="263" spans="1:10" ht="15.75" customHeight="1" x14ac:dyDescent="0.15">
      <c r="A263" s="4" t="s">
        <v>490</v>
      </c>
      <c r="B263" s="3" t="s">
        <v>479</v>
      </c>
      <c r="C263" s="1" t="s">
        <v>706</v>
      </c>
      <c r="D263" s="1" t="s">
        <v>479</v>
      </c>
      <c r="E263" s="1" t="s">
        <v>108</v>
      </c>
      <c r="F263" s="3">
        <v>403.94</v>
      </c>
      <c r="G263" s="1" t="s">
        <v>342</v>
      </c>
      <c r="H263" s="1" t="s">
        <v>665</v>
      </c>
      <c r="I263" s="1" t="s">
        <v>426</v>
      </c>
      <c r="J263" t="str">
        <f>VLOOKUP(H263,Planilha2!B:C,2,0)</f>
        <v>132 a 134</v>
      </c>
    </row>
    <row r="264" spans="1:10" ht="15.75" customHeight="1" x14ac:dyDescent="0.15">
      <c r="A264" s="4" t="s">
        <v>490</v>
      </c>
      <c r="B264" s="3" t="s">
        <v>742</v>
      </c>
      <c r="C264" s="1" t="s">
        <v>706</v>
      </c>
      <c r="D264" s="1" t="s">
        <v>742</v>
      </c>
      <c r="E264" s="1" t="s">
        <v>108</v>
      </c>
      <c r="F264" s="3">
        <v>171.35</v>
      </c>
      <c r="G264" s="1" t="s">
        <v>342</v>
      </c>
      <c r="H264" s="1" t="s">
        <v>665</v>
      </c>
      <c r="I264" s="1" t="s">
        <v>426</v>
      </c>
      <c r="J264" t="str">
        <f>VLOOKUP(H264,Planilha2!B:C,2,0)</f>
        <v>132 a 134</v>
      </c>
    </row>
    <row r="265" spans="1:10" ht="15.75" customHeight="1" x14ac:dyDescent="0.15">
      <c r="A265" s="4" t="s">
        <v>490</v>
      </c>
      <c r="B265" s="3" t="s">
        <v>399</v>
      </c>
      <c r="C265" s="1" t="s">
        <v>706</v>
      </c>
      <c r="D265" s="1" t="s">
        <v>399</v>
      </c>
      <c r="E265" s="1" t="s">
        <v>108</v>
      </c>
      <c r="F265" s="3">
        <v>276.58999999999997</v>
      </c>
      <c r="G265" s="1" t="s">
        <v>342</v>
      </c>
      <c r="H265" s="1" t="s">
        <v>665</v>
      </c>
      <c r="I265" s="1" t="s">
        <v>426</v>
      </c>
      <c r="J265" t="str">
        <f>VLOOKUP(H265,Planilha2!B:C,2,0)</f>
        <v>132 a 134</v>
      </c>
    </row>
    <row r="266" spans="1:10" ht="15.75" customHeight="1" x14ac:dyDescent="0.15">
      <c r="A266" s="4" t="s">
        <v>490</v>
      </c>
      <c r="B266" s="3" t="s">
        <v>318</v>
      </c>
      <c r="C266" s="1" t="s">
        <v>706</v>
      </c>
      <c r="D266" s="1" t="s">
        <v>318</v>
      </c>
      <c r="E266" s="1" t="s">
        <v>108</v>
      </c>
      <c r="F266" s="3">
        <v>28.24</v>
      </c>
      <c r="G266" s="1" t="s">
        <v>342</v>
      </c>
      <c r="H266" s="1" t="s">
        <v>665</v>
      </c>
      <c r="I266" s="1" t="s">
        <v>426</v>
      </c>
      <c r="J266" t="str">
        <f>VLOOKUP(H266,Planilha2!B:C,2,0)</f>
        <v>132 a 134</v>
      </c>
    </row>
    <row r="267" spans="1:10" ht="15.75" customHeight="1" x14ac:dyDescent="0.15">
      <c r="A267" s="4" t="s">
        <v>490</v>
      </c>
      <c r="B267" s="3" t="s">
        <v>550</v>
      </c>
      <c r="C267" s="1" t="s">
        <v>706</v>
      </c>
      <c r="D267" s="1" t="s">
        <v>550</v>
      </c>
      <c r="E267" s="1" t="s">
        <v>108</v>
      </c>
      <c r="F267" s="3">
        <v>248.43</v>
      </c>
      <c r="G267" s="1" t="s">
        <v>342</v>
      </c>
      <c r="H267" s="1" t="s">
        <v>665</v>
      </c>
      <c r="I267" s="1" t="s">
        <v>426</v>
      </c>
      <c r="J267" t="str">
        <f>VLOOKUP(H267,Planilha2!B:C,2,0)</f>
        <v>132 a 134</v>
      </c>
    </row>
    <row r="268" spans="1:10" ht="15.75" customHeight="1" x14ac:dyDescent="0.15">
      <c r="A268" s="4" t="s">
        <v>490</v>
      </c>
      <c r="B268" s="3" t="s">
        <v>894</v>
      </c>
      <c r="C268" s="1" t="s">
        <v>706</v>
      </c>
      <c r="D268" s="1" t="s">
        <v>894</v>
      </c>
      <c r="E268" s="1" t="s">
        <v>384</v>
      </c>
      <c r="F268" s="3">
        <v>109.36</v>
      </c>
      <c r="G268" s="1" t="s">
        <v>342</v>
      </c>
      <c r="H268" s="1" t="s">
        <v>665</v>
      </c>
      <c r="I268" s="1" t="s">
        <v>426</v>
      </c>
      <c r="J268" t="str">
        <f>VLOOKUP(H268,Planilha2!B:C,2,0)</f>
        <v>132 a 134</v>
      </c>
    </row>
    <row r="269" spans="1:10" ht="15.75" customHeight="1" x14ac:dyDescent="0.15">
      <c r="A269" s="4" t="s">
        <v>490</v>
      </c>
      <c r="B269" s="3" t="s">
        <v>31</v>
      </c>
      <c r="C269" s="1" t="s">
        <v>706</v>
      </c>
      <c r="D269" s="1" t="s">
        <v>31</v>
      </c>
      <c r="E269" s="1" t="s">
        <v>354</v>
      </c>
      <c r="F269" s="3">
        <v>87.17</v>
      </c>
      <c r="G269" s="1" t="s">
        <v>342</v>
      </c>
      <c r="H269" s="1" t="s">
        <v>665</v>
      </c>
      <c r="I269" s="1" t="s">
        <v>426</v>
      </c>
      <c r="J269" t="str">
        <f>VLOOKUP(H269,Planilha2!B:C,2,0)</f>
        <v>132 a 134</v>
      </c>
    </row>
    <row r="270" spans="1:10" ht="15.75" customHeight="1" x14ac:dyDescent="0.15">
      <c r="A270" s="4" t="s">
        <v>490</v>
      </c>
      <c r="B270" s="3" t="s">
        <v>10</v>
      </c>
      <c r="C270" s="1" t="s">
        <v>706</v>
      </c>
      <c r="D270" s="1" t="s">
        <v>10</v>
      </c>
      <c r="E270" s="1" t="s">
        <v>477</v>
      </c>
      <c r="F270" s="3">
        <v>79.599999999999994</v>
      </c>
      <c r="G270" s="1" t="s">
        <v>342</v>
      </c>
      <c r="H270" s="1" t="s">
        <v>665</v>
      </c>
      <c r="I270" s="1" t="s">
        <v>426</v>
      </c>
      <c r="J270" t="str">
        <f>VLOOKUP(H270,Planilha2!B:C,2,0)</f>
        <v>132 a 134</v>
      </c>
    </row>
    <row r="271" spans="1:10" ht="15.75" customHeight="1" x14ac:dyDescent="0.15">
      <c r="A271" s="4" t="s">
        <v>490</v>
      </c>
      <c r="B271" s="3" t="s">
        <v>77</v>
      </c>
      <c r="C271" s="1" t="s">
        <v>706</v>
      </c>
      <c r="D271" s="1" t="s">
        <v>77</v>
      </c>
      <c r="E271" s="1" t="s">
        <v>108</v>
      </c>
      <c r="F271" s="3">
        <v>2123.86</v>
      </c>
      <c r="G271" s="1" t="s">
        <v>342</v>
      </c>
      <c r="H271" s="1" t="s">
        <v>665</v>
      </c>
      <c r="I271" s="1" t="s">
        <v>426</v>
      </c>
      <c r="J271" t="str">
        <f>VLOOKUP(H271,Planilha2!B:C,2,0)</f>
        <v>132 a 134</v>
      </c>
    </row>
    <row r="272" spans="1:10" ht="15.75" customHeight="1" x14ac:dyDescent="0.15">
      <c r="A272" s="4" t="s">
        <v>490</v>
      </c>
      <c r="B272" s="3" t="s">
        <v>731</v>
      </c>
      <c r="C272" s="1" t="s">
        <v>706</v>
      </c>
      <c r="D272" s="1" t="s">
        <v>731</v>
      </c>
      <c r="E272" s="1" t="s">
        <v>108</v>
      </c>
      <c r="F272" s="3">
        <v>241.96</v>
      </c>
      <c r="G272" s="1" t="s">
        <v>342</v>
      </c>
      <c r="H272" s="1" t="s">
        <v>665</v>
      </c>
      <c r="I272" s="1" t="s">
        <v>426</v>
      </c>
      <c r="J272" t="str">
        <f>VLOOKUP(H272,Planilha2!B:C,2,0)</f>
        <v>132 a 134</v>
      </c>
    </row>
    <row r="273" spans="1:10" ht="15.75" customHeight="1" x14ac:dyDescent="0.15">
      <c r="A273" s="4" t="s">
        <v>490</v>
      </c>
      <c r="B273" s="3" t="s">
        <v>202</v>
      </c>
      <c r="C273" s="1" t="s">
        <v>706</v>
      </c>
      <c r="D273" s="1" t="s">
        <v>202</v>
      </c>
      <c r="E273" s="1" t="s">
        <v>108</v>
      </c>
      <c r="F273" s="3">
        <v>195.76</v>
      </c>
      <c r="G273" s="1" t="s">
        <v>342</v>
      </c>
      <c r="H273" s="1" t="s">
        <v>665</v>
      </c>
      <c r="I273" s="1" t="s">
        <v>426</v>
      </c>
      <c r="J273" t="str">
        <f>VLOOKUP(H273,Planilha2!B:C,2,0)</f>
        <v>132 a 134</v>
      </c>
    </row>
    <row r="274" spans="1:10" ht="15.75" customHeight="1" x14ac:dyDescent="0.15">
      <c r="A274" s="4" t="s">
        <v>490</v>
      </c>
      <c r="B274" s="3" t="s">
        <v>56</v>
      </c>
      <c r="C274" s="1" t="s">
        <v>706</v>
      </c>
      <c r="D274" s="1" t="s">
        <v>56</v>
      </c>
      <c r="E274" s="1" t="s">
        <v>108</v>
      </c>
      <c r="F274" s="3">
        <v>353.69</v>
      </c>
      <c r="G274" s="1" t="s">
        <v>342</v>
      </c>
      <c r="H274" s="1" t="s">
        <v>665</v>
      </c>
      <c r="I274" s="1" t="s">
        <v>426</v>
      </c>
      <c r="J274" t="str">
        <f>VLOOKUP(H274,Planilha2!B:C,2,0)</f>
        <v>132 a 134</v>
      </c>
    </row>
    <row r="275" spans="1:10" ht="15.75" customHeight="1" x14ac:dyDescent="0.15">
      <c r="A275" s="4" t="s">
        <v>490</v>
      </c>
      <c r="B275" s="3" t="s">
        <v>286</v>
      </c>
      <c r="C275" s="1" t="s">
        <v>706</v>
      </c>
      <c r="D275" s="1" t="s">
        <v>286</v>
      </c>
      <c r="E275" s="1" t="s">
        <v>108</v>
      </c>
      <c r="F275" s="3">
        <v>2467.92</v>
      </c>
      <c r="G275" s="1" t="s">
        <v>342</v>
      </c>
      <c r="H275" s="1" t="s">
        <v>665</v>
      </c>
      <c r="I275" s="1" t="s">
        <v>426</v>
      </c>
      <c r="J275" t="str">
        <f>VLOOKUP(H275,Planilha2!B:C,2,0)</f>
        <v>132 a 134</v>
      </c>
    </row>
    <row r="276" spans="1:10" ht="15.75" customHeight="1" x14ac:dyDescent="0.15">
      <c r="A276" s="4" t="s">
        <v>490</v>
      </c>
      <c r="B276" s="3" t="s">
        <v>46</v>
      </c>
      <c r="C276" s="1" t="s">
        <v>706</v>
      </c>
      <c r="D276" s="1" t="s">
        <v>46</v>
      </c>
      <c r="E276" s="1" t="s">
        <v>108</v>
      </c>
      <c r="F276" s="3">
        <v>401.53</v>
      </c>
      <c r="G276" s="1" t="s">
        <v>342</v>
      </c>
      <c r="H276" s="1" t="s">
        <v>665</v>
      </c>
      <c r="I276" s="1" t="s">
        <v>426</v>
      </c>
      <c r="J276" t="str">
        <f>VLOOKUP(H276,Planilha2!B:C,2,0)</f>
        <v>132 a 134</v>
      </c>
    </row>
    <row r="277" spans="1:10" ht="15.75" customHeight="1" x14ac:dyDescent="0.15">
      <c r="A277" s="4" t="s">
        <v>490</v>
      </c>
      <c r="B277" s="3" t="s">
        <v>132</v>
      </c>
      <c r="C277" s="1" t="s">
        <v>706</v>
      </c>
      <c r="D277" s="1" t="s">
        <v>132</v>
      </c>
      <c r="E277" s="1" t="s">
        <v>108</v>
      </c>
      <c r="F277" s="3">
        <v>228.05</v>
      </c>
      <c r="G277" s="1" t="s">
        <v>342</v>
      </c>
      <c r="H277" s="1" t="s">
        <v>665</v>
      </c>
      <c r="I277" s="1" t="s">
        <v>426</v>
      </c>
      <c r="J277" t="str">
        <f>VLOOKUP(H277,Planilha2!B:C,2,0)</f>
        <v>132 a 134</v>
      </c>
    </row>
    <row r="278" spans="1:10" ht="15.75" customHeight="1" x14ac:dyDescent="0.15">
      <c r="A278" s="4" t="s">
        <v>490</v>
      </c>
      <c r="B278" s="3" t="s">
        <v>748</v>
      </c>
      <c r="C278" s="1" t="s">
        <v>706</v>
      </c>
      <c r="D278" s="1" t="s">
        <v>748</v>
      </c>
      <c r="E278" s="1" t="s">
        <v>108</v>
      </c>
      <c r="F278" s="3">
        <v>943.3</v>
      </c>
      <c r="G278" s="1" t="s">
        <v>342</v>
      </c>
      <c r="H278" s="1" t="s">
        <v>665</v>
      </c>
      <c r="I278" s="1" t="s">
        <v>426</v>
      </c>
      <c r="J278" t="str">
        <f>VLOOKUP(H278,Planilha2!B:C,2,0)</f>
        <v>132 a 134</v>
      </c>
    </row>
    <row r="279" spans="1:10" ht="15.75" customHeight="1" x14ac:dyDescent="0.15">
      <c r="A279" s="4" t="s">
        <v>490</v>
      </c>
      <c r="B279" s="3" t="s">
        <v>824</v>
      </c>
      <c r="C279" s="1" t="s">
        <v>706</v>
      </c>
      <c r="D279" s="1" t="s">
        <v>824</v>
      </c>
      <c r="E279" s="1" t="s">
        <v>108</v>
      </c>
      <c r="F279" s="3">
        <v>110.57</v>
      </c>
      <c r="G279" s="1" t="s">
        <v>342</v>
      </c>
      <c r="H279" s="1" t="s">
        <v>665</v>
      </c>
      <c r="I279" s="1" t="s">
        <v>426</v>
      </c>
      <c r="J279" t="str">
        <f>VLOOKUP(H279,Planilha2!B:C,2,0)</f>
        <v>132 a 134</v>
      </c>
    </row>
    <row r="280" spans="1:10" ht="15.75" customHeight="1" x14ac:dyDescent="0.15">
      <c r="A280" s="4" t="s">
        <v>490</v>
      </c>
      <c r="B280" s="3" t="s">
        <v>173</v>
      </c>
      <c r="C280" s="1" t="s">
        <v>706</v>
      </c>
      <c r="D280" s="1" t="s">
        <v>173</v>
      </c>
      <c r="E280" s="1" t="s">
        <v>108</v>
      </c>
      <c r="F280" s="3">
        <v>156.91999999999999</v>
      </c>
      <c r="G280" s="1" t="s">
        <v>342</v>
      </c>
      <c r="H280" s="1" t="s">
        <v>665</v>
      </c>
      <c r="I280" s="1" t="s">
        <v>426</v>
      </c>
      <c r="J280" t="str">
        <f>VLOOKUP(H280,Planilha2!B:C,2,0)</f>
        <v>132 a 134</v>
      </c>
    </row>
    <row r="281" spans="1:10" ht="15.75" customHeight="1" x14ac:dyDescent="0.15">
      <c r="A281" s="4" t="s">
        <v>490</v>
      </c>
      <c r="B281" s="3" t="s">
        <v>429</v>
      </c>
      <c r="C281" s="1" t="s">
        <v>706</v>
      </c>
      <c r="D281" s="1" t="s">
        <v>429</v>
      </c>
      <c r="E281" s="1" t="s">
        <v>108</v>
      </c>
      <c r="F281" s="3">
        <v>700.7</v>
      </c>
      <c r="G281" s="1" t="s">
        <v>342</v>
      </c>
      <c r="H281" s="1" t="s">
        <v>665</v>
      </c>
      <c r="I281" s="1" t="s">
        <v>426</v>
      </c>
      <c r="J281" t="str">
        <f>VLOOKUP(H281,Planilha2!B:C,2,0)</f>
        <v>132 a 134</v>
      </c>
    </row>
    <row r="282" spans="1:10" ht="15.75" customHeight="1" x14ac:dyDescent="0.15">
      <c r="A282" s="4" t="s">
        <v>490</v>
      </c>
      <c r="B282" s="3" t="s">
        <v>579</v>
      </c>
      <c r="C282" s="1" t="s">
        <v>706</v>
      </c>
      <c r="D282" s="1" t="s">
        <v>579</v>
      </c>
      <c r="E282" s="1" t="s">
        <v>819</v>
      </c>
      <c r="F282" s="3">
        <v>139.30000000000001</v>
      </c>
      <c r="G282" s="1" t="s">
        <v>342</v>
      </c>
      <c r="H282" s="1" t="s">
        <v>665</v>
      </c>
      <c r="I282" s="1" t="s">
        <v>426</v>
      </c>
      <c r="J282" t="str">
        <f>VLOOKUP(H282,Planilha2!B:C,2,0)</f>
        <v>132 a 134</v>
      </c>
    </row>
    <row r="283" spans="1:10" ht="15.75" customHeight="1" x14ac:dyDescent="0.15">
      <c r="A283" s="4" t="s">
        <v>490</v>
      </c>
      <c r="B283" s="3" t="s">
        <v>303</v>
      </c>
      <c r="C283" s="1" t="s">
        <v>706</v>
      </c>
      <c r="D283" s="1" t="s">
        <v>303</v>
      </c>
      <c r="E283" s="1" t="s">
        <v>753</v>
      </c>
      <c r="F283" s="3">
        <v>95.38</v>
      </c>
      <c r="G283" s="1" t="s">
        <v>342</v>
      </c>
      <c r="H283" s="1" t="s">
        <v>665</v>
      </c>
      <c r="I283" s="1" t="s">
        <v>426</v>
      </c>
      <c r="J283" t="str">
        <f>VLOOKUP(H283,Planilha2!B:C,2,0)</f>
        <v>132 a 134</v>
      </c>
    </row>
    <row r="284" spans="1:10" ht="15.75" customHeight="1" x14ac:dyDescent="0.15">
      <c r="A284" s="4" t="s">
        <v>490</v>
      </c>
      <c r="B284" s="3" t="s">
        <v>865</v>
      </c>
      <c r="C284" s="1" t="s">
        <v>706</v>
      </c>
      <c r="D284" s="1" t="s">
        <v>865</v>
      </c>
      <c r="E284" s="1" t="s">
        <v>560</v>
      </c>
      <c r="F284" s="3">
        <v>89.36</v>
      </c>
      <c r="G284" s="1" t="s">
        <v>342</v>
      </c>
      <c r="H284" s="1" t="s">
        <v>665</v>
      </c>
      <c r="I284" s="1" t="s">
        <v>426</v>
      </c>
      <c r="J284" t="str">
        <f>VLOOKUP(H284,Planilha2!B:C,2,0)</f>
        <v>132 a 134</v>
      </c>
    </row>
    <row r="285" spans="1:10" ht="15.75" customHeight="1" x14ac:dyDescent="0.15">
      <c r="A285" s="4" t="s">
        <v>490</v>
      </c>
      <c r="B285" s="3" t="s">
        <v>796</v>
      </c>
      <c r="C285" s="1" t="s">
        <v>706</v>
      </c>
      <c r="D285" s="1" t="s">
        <v>796</v>
      </c>
      <c r="E285" s="1" t="s">
        <v>213</v>
      </c>
      <c r="F285" s="3">
        <v>149.25</v>
      </c>
      <c r="G285" s="1" t="s">
        <v>342</v>
      </c>
      <c r="H285" s="1" t="s">
        <v>665</v>
      </c>
      <c r="I285" s="1" t="s">
        <v>426</v>
      </c>
      <c r="J285" t="str">
        <f>VLOOKUP(H285,Planilha2!B:C,2,0)</f>
        <v>132 a 134</v>
      </c>
    </row>
    <row r="286" spans="1:10" ht="15.75" customHeight="1" x14ac:dyDescent="0.15">
      <c r="A286" s="4" t="s">
        <v>490</v>
      </c>
      <c r="B286" s="3" t="s">
        <v>353</v>
      </c>
      <c r="C286" s="1" t="s">
        <v>706</v>
      </c>
      <c r="D286" s="1" t="s">
        <v>353</v>
      </c>
      <c r="E286" s="1" t="s">
        <v>648</v>
      </c>
      <c r="F286" s="3">
        <v>226.57</v>
      </c>
      <c r="G286" s="1" t="s">
        <v>342</v>
      </c>
      <c r="H286" s="1" t="s">
        <v>665</v>
      </c>
      <c r="I286" s="1" t="s">
        <v>426</v>
      </c>
      <c r="J286" t="str">
        <f>VLOOKUP(H286,Planilha2!B:C,2,0)</f>
        <v>132 a 134</v>
      </c>
    </row>
    <row r="287" spans="1:10" ht="15.75" customHeight="1" x14ac:dyDescent="0.15">
      <c r="A287" s="4" t="s">
        <v>490</v>
      </c>
      <c r="B287" s="3" t="s">
        <v>375</v>
      </c>
      <c r="C287" s="1" t="s">
        <v>706</v>
      </c>
      <c r="D287" s="1" t="s">
        <v>375</v>
      </c>
      <c r="E287" s="1" t="s">
        <v>436</v>
      </c>
      <c r="F287" s="3">
        <v>16.87</v>
      </c>
      <c r="G287" s="1" t="s">
        <v>342</v>
      </c>
      <c r="H287" s="1" t="s">
        <v>665</v>
      </c>
      <c r="I287" s="1" t="s">
        <v>426</v>
      </c>
      <c r="J287" t="str">
        <f>VLOOKUP(H287,Planilha2!B:C,2,0)</f>
        <v>132 a 134</v>
      </c>
    </row>
    <row r="288" spans="1:10" ht="15.75" customHeight="1" x14ac:dyDescent="0.15">
      <c r="A288" s="4" t="s">
        <v>490</v>
      </c>
      <c r="B288" s="3" t="s">
        <v>729</v>
      </c>
      <c r="C288" s="1" t="s">
        <v>706</v>
      </c>
      <c r="D288" s="1" t="s">
        <v>729</v>
      </c>
      <c r="E288" s="1" t="s">
        <v>177</v>
      </c>
      <c r="F288" s="3">
        <v>119.31</v>
      </c>
      <c r="G288" s="1" t="s">
        <v>342</v>
      </c>
      <c r="H288" s="1" t="s">
        <v>665</v>
      </c>
      <c r="I288" s="1" t="s">
        <v>426</v>
      </c>
      <c r="J288" t="str">
        <f>VLOOKUP(H288,Planilha2!B:C,2,0)</f>
        <v>132 a 134</v>
      </c>
    </row>
    <row r="289" spans="1:10" ht="15.75" customHeight="1" x14ac:dyDescent="0.15">
      <c r="A289" s="4" t="s">
        <v>490</v>
      </c>
      <c r="B289" s="3" t="s">
        <v>895</v>
      </c>
      <c r="C289" s="1" t="s">
        <v>706</v>
      </c>
      <c r="D289" s="1" t="s">
        <v>895</v>
      </c>
      <c r="E289" s="1" t="s">
        <v>569</v>
      </c>
      <c r="F289" s="3">
        <v>89.55</v>
      </c>
      <c r="G289" s="1" t="s">
        <v>342</v>
      </c>
      <c r="H289" s="1" t="s">
        <v>665</v>
      </c>
      <c r="I289" s="1" t="s">
        <v>426</v>
      </c>
      <c r="J289" t="str">
        <f>VLOOKUP(H289,Planilha2!B:C,2,0)</f>
        <v>132 a 134</v>
      </c>
    </row>
    <row r="290" spans="1:10" ht="15.75" customHeight="1" x14ac:dyDescent="0.15">
      <c r="A290" s="4" t="s">
        <v>490</v>
      </c>
      <c r="B290" s="3" t="s">
        <v>24</v>
      </c>
      <c r="C290" s="1" t="s">
        <v>706</v>
      </c>
      <c r="D290" s="1" t="s">
        <v>24</v>
      </c>
      <c r="E290" s="1" t="s">
        <v>580</v>
      </c>
      <c r="F290" s="3">
        <v>49.75</v>
      </c>
      <c r="G290" s="1" t="s">
        <v>342</v>
      </c>
      <c r="H290" s="1" t="s">
        <v>665</v>
      </c>
      <c r="I290" s="1" t="s">
        <v>426</v>
      </c>
      <c r="J290" t="str">
        <f>VLOOKUP(H290,Planilha2!B:C,2,0)</f>
        <v>132 a 134</v>
      </c>
    </row>
    <row r="291" spans="1:10" ht="15.75" customHeight="1" x14ac:dyDescent="0.15">
      <c r="A291" s="4" t="s">
        <v>490</v>
      </c>
      <c r="B291" s="3" t="s">
        <v>885</v>
      </c>
      <c r="C291" s="1" t="s">
        <v>706</v>
      </c>
      <c r="D291" s="1" t="s">
        <v>885</v>
      </c>
      <c r="E291" s="1" t="s">
        <v>633</v>
      </c>
      <c r="F291" s="3">
        <v>398</v>
      </c>
      <c r="G291" s="1" t="s">
        <v>342</v>
      </c>
      <c r="H291" s="1" t="s">
        <v>665</v>
      </c>
      <c r="I291" s="1" t="s">
        <v>426</v>
      </c>
      <c r="J291" t="str">
        <f>VLOOKUP(H291,Planilha2!B:C,2,0)</f>
        <v>132 a 134</v>
      </c>
    </row>
    <row r="292" spans="1:10" ht="15.75" customHeight="1" x14ac:dyDescent="0.15">
      <c r="A292" s="4" t="s">
        <v>490</v>
      </c>
      <c r="B292" s="3" t="s">
        <v>575</v>
      </c>
      <c r="C292" s="1" t="s">
        <v>706</v>
      </c>
      <c r="D292" s="1" t="s">
        <v>575</v>
      </c>
      <c r="E292" s="1" t="s">
        <v>40</v>
      </c>
      <c r="F292" s="3">
        <v>10.9</v>
      </c>
      <c r="G292" s="1" t="s">
        <v>342</v>
      </c>
      <c r="H292" s="1" t="s">
        <v>665</v>
      </c>
      <c r="I292" s="1" t="s">
        <v>426</v>
      </c>
      <c r="J292" t="str">
        <f>VLOOKUP(H292,Planilha2!B:C,2,0)</f>
        <v>132 a 134</v>
      </c>
    </row>
    <row r="293" spans="1:10" ht="15.75" customHeight="1" x14ac:dyDescent="0.15">
      <c r="A293" s="4" t="s">
        <v>490</v>
      </c>
      <c r="B293" s="3" t="s">
        <v>185</v>
      </c>
      <c r="C293" s="1" t="s">
        <v>706</v>
      </c>
      <c r="D293" s="1" t="s">
        <v>185</v>
      </c>
      <c r="E293" s="1" t="s">
        <v>580</v>
      </c>
      <c r="F293" s="3">
        <v>95.45</v>
      </c>
      <c r="G293" s="1" t="s">
        <v>342</v>
      </c>
      <c r="H293" s="1" t="s">
        <v>665</v>
      </c>
      <c r="I293" s="1" t="s">
        <v>426</v>
      </c>
      <c r="J293" t="str">
        <f>VLOOKUP(H293,Planilha2!B:C,2,0)</f>
        <v>132 a 134</v>
      </c>
    </row>
    <row r="294" spans="1:10" ht="15.75" customHeight="1" x14ac:dyDescent="0.15">
      <c r="A294" s="4" t="s">
        <v>490</v>
      </c>
      <c r="B294" s="3" t="s">
        <v>836</v>
      </c>
      <c r="C294" s="1" t="s">
        <v>706</v>
      </c>
      <c r="D294" s="1" t="s">
        <v>836</v>
      </c>
      <c r="E294" s="1" t="s">
        <v>108</v>
      </c>
      <c r="F294" s="3">
        <v>923.69</v>
      </c>
      <c r="G294" s="1" t="s">
        <v>342</v>
      </c>
      <c r="H294" s="1" t="s">
        <v>665</v>
      </c>
      <c r="I294" s="1" t="s">
        <v>426</v>
      </c>
      <c r="J294" t="str">
        <f>VLOOKUP(H294,Planilha2!B:C,2,0)</f>
        <v>132 a 134</v>
      </c>
    </row>
    <row r="295" spans="1:10" ht="15.75" customHeight="1" x14ac:dyDescent="0.15">
      <c r="A295" s="4" t="s">
        <v>490</v>
      </c>
      <c r="B295" s="3" t="s">
        <v>448</v>
      </c>
      <c r="C295" s="1" t="s">
        <v>706</v>
      </c>
      <c r="D295" s="1" t="s">
        <v>448</v>
      </c>
      <c r="E295" s="1" t="s">
        <v>108</v>
      </c>
      <c r="F295" s="3">
        <v>83.04</v>
      </c>
      <c r="G295" s="1" t="s">
        <v>342</v>
      </c>
      <c r="H295" s="1" t="s">
        <v>665</v>
      </c>
      <c r="I295" s="1" t="s">
        <v>426</v>
      </c>
      <c r="J295" t="str">
        <f>VLOOKUP(H295,Planilha2!B:C,2,0)</f>
        <v>132 a 134</v>
      </c>
    </row>
    <row r="296" spans="1:10" ht="15.75" customHeight="1" x14ac:dyDescent="0.15">
      <c r="A296" s="4" t="s">
        <v>490</v>
      </c>
      <c r="B296" s="3" t="s">
        <v>484</v>
      </c>
      <c r="C296" s="1" t="s">
        <v>706</v>
      </c>
      <c r="D296" s="1" t="s">
        <v>484</v>
      </c>
      <c r="E296" s="1" t="s">
        <v>108</v>
      </c>
      <c r="F296" s="3">
        <v>1608.95</v>
      </c>
      <c r="G296" s="1" t="s">
        <v>342</v>
      </c>
      <c r="H296" s="1" t="s">
        <v>665</v>
      </c>
      <c r="I296" s="1" t="s">
        <v>426</v>
      </c>
      <c r="J296" t="str">
        <f>VLOOKUP(H296,Planilha2!B:C,2,0)</f>
        <v>132 a 134</v>
      </c>
    </row>
    <row r="297" spans="1:10" ht="15.75" customHeight="1" x14ac:dyDescent="0.15">
      <c r="A297" s="4" t="s">
        <v>490</v>
      </c>
      <c r="B297" s="3" t="s">
        <v>452</v>
      </c>
      <c r="C297" s="1" t="s">
        <v>706</v>
      </c>
      <c r="D297" s="1" t="s">
        <v>452</v>
      </c>
      <c r="E297" s="1" t="s">
        <v>108</v>
      </c>
      <c r="F297" s="3">
        <v>658.42</v>
      </c>
      <c r="G297" s="1" t="s">
        <v>342</v>
      </c>
      <c r="H297" s="1" t="s">
        <v>665</v>
      </c>
      <c r="I297" s="1" t="s">
        <v>426</v>
      </c>
      <c r="J297" t="str">
        <f>VLOOKUP(H297,Planilha2!B:C,2,0)</f>
        <v>132 a 134</v>
      </c>
    </row>
    <row r="298" spans="1:10" ht="15.75" customHeight="1" x14ac:dyDescent="0.15">
      <c r="A298" s="4" t="s">
        <v>490</v>
      </c>
      <c r="B298" s="3" t="s">
        <v>673</v>
      </c>
      <c r="C298" s="1" t="s">
        <v>706</v>
      </c>
      <c r="D298" s="1" t="s">
        <v>673</v>
      </c>
      <c r="E298" s="1" t="s">
        <v>108</v>
      </c>
      <c r="F298" s="3">
        <v>2423.6999999999998</v>
      </c>
      <c r="G298" s="1" t="s">
        <v>342</v>
      </c>
      <c r="H298" s="1" t="s">
        <v>665</v>
      </c>
      <c r="I298" s="1" t="s">
        <v>426</v>
      </c>
      <c r="J298" t="str">
        <f>VLOOKUP(H298,Planilha2!B:C,2,0)</f>
        <v>132 a 134</v>
      </c>
    </row>
    <row r="299" spans="1:10" ht="15.75" customHeight="1" x14ac:dyDescent="0.15">
      <c r="A299" s="4" t="s">
        <v>490</v>
      </c>
      <c r="B299" s="3" t="s">
        <v>1</v>
      </c>
      <c r="C299" s="1" t="s">
        <v>706</v>
      </c>
      <c r="D299" s="1" t="s">
        <v>1</v>
      </c>
      <c r="E299" s="1" t="s">
        <v>254</v>
      </c>
      <c r="F299" s="3">
        <v>29.76</v>
      </c>
      <c r="G299" s="1" t="s">
        <v>342</v>
      </c>
      <c r="H299" s="1" t="s">
        <v>665</v>
      </c>
      <c r="I299" s="1" t="s">
        <v>426</v>
      </c>
      <c r="J299" t="str">
        <f>VLOOKUP(H299,Planilha2!B:C,2,0)</f>
        <v>132 a 134</v>
      </c>
    </row>
    <row r="300" spans="1:10" ht="15.75" customHeight="1" x14ac:dyDescent="0.15">
      <c r="A300" s="4" t="s">
        <v>490</v>
      </c>
      <c r="B300" s="3" t="s">
        <v>195</v>
      </c>
      <c r="C300" s="1" t="s">
        <v>706</v>
      </c>
      <c r="D300" s="1" t="s">
        <v>195</v>
      </c>
      <c r="E300" s="1" t="s">
        <v>172</v>
      </c>
      <c r="F300" s="3">
        <v>175.97</v>
      </c>
      <c r="G300" s="1" t="s">
        <v>342</v>
      </c>
      <c r="H300" s="1" t="s">
        <v>665</v>
      </c>
      <c r="I300" s="1" t="s">
        <v>426</v>
      </c>
      <c r="J300" t="str">
        <f>VLOOKUP(H300,Planilha2!B:C,2,0)</f>
        <v>132 a 134</v>
      </c>
    </row>
    <row r="301" spans="1:10" ht="15.75" customHeight="1" x14ac:dyDescent="0.15">
      <c r="A301" s="4" t="s">
        <v>490</v>
      </c>
      <c r="B301" s="3" t="s">
        <v>295</v>
      </c>
      <c r="C301" s="1" t="s">
        <v>706</v>
      </c>
      <c r="D301" s="1" t="s">
        <v>295</v>
      </c>
      <c r="E301" s="1" t="s">
        <v>51</v>
      </c>
      <c r="F301" s="3">
        <v>16.87</v>
      </c>
      <c r="G301" s="1" t="s">
        <v>342</v>
      </c>
      <c r="H301" s="1" t="s">
        <v>665</v>
      </c>
      <c r="I301" s="1" t="s">
        <v>426</v>
      </c>
      <c r="J301" t="str">
        <f>VLOOKUP(H301,Planilha2!B:C,2,0)</f>
        <v>132 a 134</v>
      </c>
    </row>
    <row r="302" spans="1:10" ht="15.75" customHeight="1" x14ac:dyDescent="0.15">
      <c r="A302" s="4" t="s">
        <v>490</v>
      </c>
      <c r="B302" s="3" t="s">
        <v>839</v>
      </c>
      <c r="C302" s="1" t="s">
        <v>706</v>
      </c>
      <c r="D302" s="1" t="s">
        <v>839</v>
      </c>
      <c r="E302" s="1" t="s">
        <v>435</v>
      </c>
      <c r="F302" s="3">
        <v>177.41</v>
      </c>
      <c r="G302" s="1" t="s">
        <v>342</v>
      </c>
      <c r="H302" s="1" t="s">
        <v>665</v>
      </c>
      <c r="I302" s="1" t="s">
        <v>426</v>
      </c>
      <c r="J302" t="str">
        <f>VLOOKUP(H302,Planilha2!B:C,2,0)</f>
        <v>132 a 134</v>
      </c>
    </row>
    <row r="303" spans="1:10" ht="15.75" customHeight="1" x14ac:dyDescent="0.15">
      <c r="A303" s="4" t="s">
        <v>490</v>
      </c>
      <c r="B303" s="3" t="s">
        <v>180</v>
      </c>
      <c r="C303" s="1" t="s">
        <v>706</v>
      </c>
      <c r="D303" s="1" t="s">
        <v>180</v>
      </c>
      <c r="E303" s="1" t="s">
        <v>520</v>
      </c>
      <c r="F303" s="3">
        <v>42.21</v>
      </c>
      <c r="G303" s="1" t="s">
        <v>342</v>
      </c>
      <c r="H303" s="1" t="s">
        <v>665</v>
      </c>
      <c r="I303" s="1" t="s">
        <v>426</v>
      </c>
      <c r="J303" t="str">
        <f>VLOOKUP(H303,Planilha2!B:C,2,0)</f>
        <v>132 a 134</v>
      </c>
    </row>
    <row r="304" spans="1:10" ht="15.75" customHeight="1" x14ac:dyDescent="0.15">
      <c r="A304" s="4" t="s">
        <v>490</v>
      </c>
      <c r="B304" s="3" t="s">
        <v>532</v>
      </c>
      <c r="C304" s="1" t="s">
        <v>706</v>
      </c>
      <c r="D304" s="1" t="s">
        <v>532</v>
      </c>
      <c r="E304" s="1" t="s">
        <v>72</v>
      </c>
      <c r="F304" s="3">
        <v>348.16</v>
      </c>
      <c r="G304" s="1" t="s">
        <v>342</v>
      </c>
      <c r="H304" s="1" t="s">
        <v>665</v>
      </c>
      <c r="I304" s="1" t="s">
        <v>426</v>
      </c>
      <c r="J304" t="str">
        <f>VLOOKUP(H304,Planilha2!B:C,2,0)</f>
        <v>132 a 134</v>
      </c>
    </row>
    <row r="305" spans="1:10" ht="15.75" customHeight="1" x14ac:dyDescent="0.15">
      <c r="A305" s="4" t="s">
        <v>490</v>
      </c>
      <c r="B305" s="3" t="s">
        <v>170</v>
      </c>
      <c r="C305" s="1" t="s">
        <v>706</v>
      </c>
      <c r="D305" s="1" t="s">
        <v>170</v>
      </c>
      <c r="E305" s="1" t="s">
        <v>315</v>
      </c>
      <c r="F305" s="3">
        <v>10.9</v>
      </c>
      <c r="G305" s="1" t="s">
        <v>342</v>
      </c>
      <c r="H305" s="1" t="s">
        <v>665</v>
      </c>
      <c r="I305" s="1" t="s">
        <v>426</v>
      </c>
      <c r="J305" t="str">
        <f>VLOOKUP(H305,Planilha2!B:C,2,0)</f>
        <v>132 a 134</v>
      </c>
    </row>
    <row r="306" spans="1:10" ht="15.75" customHeight="1" x14ac:dyDescent="0.15">
      <c r="A306" s="4" t="s">
        <v>490</v>
      </c>
      <c r="B306" s="3" t="s">
        <v>85</v>
      </c>
      <c r="C306" s="1" t="s">
        <v>706</v>
      </c>
      <c r="D306" s="1" t="s">
        <v>85</v>
      </c>
      <c r="E306" s="1" t="s">
        <v>635</v>
      </c>
      <c r="F306" s="3">
        <v>10.9</v>
      </c>
      <c r="G306" s="1" t="s">
        <v>342</v>
      </c>
      <c r="H306" s="1" t="s">
        <v>665</v>
      </c>
      <c r="I306" s="1" t="s">
        <v>426</v>
      </c>
      <c r="J306" t="str">
        <f>VLOOKUP(H306,Planilha2!B:C,2,0)</f>
        <v>132 a 134</v>
      </c>
    </row>
    <row r="307" spans="1:10" ht="15.75" customHeight="1" x14ac:dyDescent="0.15">
      <c r="A307" s="4" t="s">
        <v>490</v>
      </c>
      <c r="B307" s="3" t="s">
        <v>402</v>
      </c>
      <c r="C307" s="1" t="s">
        <v>706</v>
      </c>
      <c r="D307" s="1" t="s">
        <v>402</v>
      </c>
      <c r="E307" s="1" t="s">
        <v>249</v>
      </c>
      <c r="F307" s="3">
        <v>153.77000000000001</v>
      </c>
      <c r="G307" s="1" t="s">
        <v>342</v>
      </c>
      <c r="H307" s="1" t="s">
        <v>665</v>
      </c>
      <c r="I307" s="1" t="s">
        <v>426</v>
      </c>
      <c r="J307" t="str">
        <f>VLOOKUP(H307,Planilha2!B:C,2,0)</f>
        <v>132 a 134</v>
      </c>
    </row>
    <row r="308" spans="1:10" ht="15.75" customHeight="1" x14ac:dyDescent="0.15">
      <c r="A308" s="4" t="s">
        <v>490</v>
      </c>
      <c r="B308" s="3" t="s">
        <v>624</v>
      </c>
      <c r="C308" s="1" t="s">
        <v>706</v>
      </c>
      <c r="D308" s="1" t="s">
        <v>624</v>
      </c>
      <c r="E308" s="1" t="s">
        <v>586</v>
      </c>
      <c r="F308" s="3">
        <v>108.96</v>
      </c>
      <c r="G308" s="1" t="s">
        <v>342</v>
      </c>
      <c r="H308" s="1" t="s">
        <v>665</v>
      </c>
      <c r="I308" s="1" t="s">
        <v>426</v>
      </c>
      <c r="J308" t="str">
        <f>VLOOKUP(H308,Planilha2!B:C,2,0)</f>
        <v>132 a 134</v>
      </c>
    </row>
    <row r="309" spans="1:10" ht="15.75" customHeight="1" x14ac:dyDescent="0.15">
      <c r="A309" s="4" t="s">
        <v>490</v>
      </c>
      <c r="B309" s="3" t="s">
        <v>717</v>
      </c>
      <c r="C309" s="1" t="s">
        <v>706</v>
      </c>
      <c r="D309" s="1" t="s">
        <v>717</v>
      </c>
      <c r="E309" s="1" t="s">
        <v>232</v>
      </c>
      <c r="F309" s="3">
        <v>51.65</v>
      </c>
      <c r="G309" s="1" t="s">
        <v>342</v>
      </c>
      <c r="H309" s="1" t="s">
        <v>665</v>
      </c>
      <c r="I309" s="1" t="s">
        <v>426</v>
      </c>
      <c r="J309" t="str">
        <f>VLOOKUP(H309,Planilha2!B:C,2,0)</f>
        <v>132 a 134</v>
      </c>
    </row>
    <row r="310" spans="1:10" ht="15.75" customHeight="1" x14ac:dyDescent="0.15">
      <c r="A310" s="4" t="s">
        <v>490</v>
      </c>
      <c r="B310" s="3" t="s">
        <v>622</v>
      </c>
      <c r="C310" s="1" t="s">
        <v>706</v>
      </c>
      <c r="D310" s="1" t="s">
        <v>622</v>
      </c>
      <c r="E310" s="1" t="s">
        <v>108</v>
      </c>
      <c r="F310" s="3">
        <v>57.18</v>
      </c>
      <c r="G310" s="1" t="s">
        <v>342</v>
      </c>
      <c r="H310" s="1" t="s">
        <v>665</v>
      </c>
      <c r="I310" s="1" t="s">
        <v>426</v>
      </c>
      <c r="J310" t="str">
        <f>VLOOKUP(H310,Planilha2!B:C,2,0)</f>
        <v>132 a 134</v>
      </c>
    </row>
    <row r="311" spans="1:10" ht="15.75" customHeight="1" x14ac:dyDescent="0.15">
      <c r="A311" s="4" t="s">
        <v>490</v>
      </c>
      <c r="B311" s="3" t="s">
        <v>304</v>
      </c>
      <c r="C311" s="1" t="s">
        <v>706</v>
      </c>
      <c r="D311" s="1" t="s">
        <v>304</v>
      </c>
      <c r="E311" s="1" t="s">
        <v>108</v>
      </c>
      <c r="F311" s="3">
        <v>10.44</v>
      </c>
      <c r="G311" s="1" t="s">
        <v>342</v>
      </c>
      <c r="H311" s="1" t="s">
        <v>665</v>
      </c>
      <c r="I311" s="1" t="s">
        <v>426</v>
      </c>
      <c r="J311" t="str">
        <f>VLOOKUP(H311,Planilha2!B:C,2,0)</f>
        <v>132 a 134</v>
      </c>
    </row>
    <row r="312" spans="1:10" ht="15.75" customHeight="1" x14ac:dyDescent="0.15">
      <c r="A312" s="4" t="s">
        <v>490</v>
      </c>
      <c r="B312" s="3" t="s">
        <v>431</v>
      </c>
      <c r="C312" s="1" t="s">
        <v>706</v>
      </c>
      <c r="D312" s="1" t="s">
        <v>431</v>
      </c>
      <c r="E312" s="1" t="s">
        <v>108</v>
      </c>
      <c r="F312" s="3">
        <v>216.17</v>
      </c>
      <c r="G312" s="1" t="s">
        <v>342</v>
      </c>
      <c r="H312" s="1" t="s">
        <v>665</v>
      </c>
      <c r="I312" s="1" t="s">
        <v>426</v>
      </c>
      <c r="J312" t="str">
        <f>VLOOKUP(H312,Planilha2!B:C,2,0)</f>
        <v>132 a 134</v>
      </c>
    </row>
    <row r="313" spans="1:10" ht="15.75" customHeight="1" x14ac:dyDescent="0.15">
      <c r="A313" s="4" t="s">
        <v>490</v>
      </c>
      <c r="B313" s="3" t="s">
        <v>408</v>
      </c>
      <c r="C313" s="1" t="s">
        <v>714</v>
      </c>
      <c r="D313" s="1" t="s">
        <v>408</v>
      </c>
      <c r="E313" s="1" t="s">
        <v>108</v>
      </c>
      <c r="F313" s="3">
        <v>1404.9</v>
      </c>
      <c r="G313" s="1" t="s">
        <v>342</v>
      </c>
      <c r="H313" s="1" t="s">
        <v>665</v>
      </c>
      <c r="I313" s="1" t="s">
        <v>426</v>
      </c>
      <c r="J313" t="str">
        <f>VLOOKUP(H313,Planilha2!B:C,2,0)</f>
        <v>132 a 134</v>
      </c>
    </row>
    <row r="314" spans="1:10" ht="15.75" customHeight="1" x14ac:dyDescent="0.15">
      <c r="A314" s="4" t="s">
        <v>490</v>
      </c>
      <c r="B314" s="3" t="s">
        <v>285</v>
      </c>
      <c r="C314" s="1" t="s">
        <v>714</v>
      </c>
      <c r="D314" s="1" t="s">
        <v>285</v>
      </c>
      <c r="E314" s="1" t="s">
        <v>108</v>
      </c>
      <c r="F314" s="3">
        <v>262.45</v>
      </c>
      <c r="G314" s="1" t="s">
        <v>342</v>
      </c>
      <c r="H314" s="1" t="s">
        <v>665</v>
      </c>
      <c r="I314" s="1" t="s">
        <v>426</v>
      </c>
      <c r="J314" t="str">
        <f>VLOOKUP(H314,Planilha2!B:C,2,0)</f>
        <v>132 a 134</v>
      </c>
    </row>
    <row r="315" spans="1:10" ht="15.75" customHeight="1" x14ac:dyDescent="0.15">
      <c r="A315" s="4" t="s">
        <v>490</v>
      </c>
      <c r="B315" s="3" t="s">
        <v>872</v>
      </c>
      <c r="C315" s="1" t="s">
        <v>714</v>
      </c>
      <c r="D315" s="1" t="s">
        <v>872</v>
      </c>
      <c r="E315" s="1" t="s">
        <v>108</v>
      </c>
      <c r="F315" s="3">
        <v>163.72999999999999</v>
      </c>
      <c r="G315" s="1" t="s">
        <v>342</v>
      </c>
      <c r="H315" s="1" t="s">
        <v>665</v>
      </c>
      <c r="I315" s="1" t="s">
        <v>426</v>
      </c>
      <c r="J315" t="str">
        <f>VLOOKUP(H315,Planilha2!B:C,2,0)</f>
        <v>132 a 134</v>
      </c>
    </row>
    <row r="316" spans="1:10" ht="15.75" customHeight="1" x14ac:dyDescent="0.15">
      <c r="A316" s="4" t="s">
        <v>490</v>
      </c>
      <c r="B316" s="3" t="s">
        <v>273</v>
      </c>
      <c r="C316" s="1" t="s">
        <v>714</v>
      </c>
      <c r="D316" s="1" t="s">
        <v>273</v>
      </c>
      <c r="E316" s="1" t="s">
        <v>108</v>
      </c>
      <c r="F316" s="3">
        <v>59.94</v>
      </c>
      <c r="G316" s="1" t="s">
        <v>342</v>
      </c>
      <c r="H316" s="1" t="s">
        <v>665</v>
      </c>
      <c r="I316" s="1" t="s">
        <v>426</v>
      </c>
      <c r="J316" t="str">
        <f>VLOOKUP(H316,Planilha2!B:C,2,0)</f>
        <v>132 a 134</v>
      </c>
    </row>
    <row r="317" spans="1:10" ht="15.75" customHeight="1" x14ac:dyDescent="0.15">
      <c r="A317" s="4" t="s">
        <v>490</v>
      </c>
      <c r="B317" s="3" t="s">
        <v>780</v>
      </c>
      <c r="C317" s="1" t="s">
        <v>714</v>
      </c>
      <c r="D317" s="1" t="s">
        <v>780</v>
      </c>
      <c r="E317" s="1" t="s">
        <v>470</v>
      </c>
      <c r="F317" s="3">
        <v>147.07</v>
      </c>
      <c r="G317" s="1" t="s">
        <v>342</v>
      </c>
      <c r="H317" s="1" t="s">
        <v>665</v>
      </c>
      <c r="I317" s="1" t="s">
        <v>426</v>
      </c>
      <c r="J317" t="str">
        <f>VLOOKUP(H317,Planilha2!B:C,2,0)</f>
        <v>132 a 134</v>
      </c>
    </row>
    <row r="318" spans="1:10" ht="15.75" customHeight="1" x14ac:dyDescent="0.15">
      <c r="A318" s="4" t="s">
        <v>490</v>
      </c>
      <c r="B318" s="3" t="s">
        <v>263</v>
      </c>
      <c r="C318" s="1" t="s">
        <v>714</v>
      </c>
      <c r="D318" s="1" t="s">
        <v>263</v>
      </c>
      <c r="E318" s="1" t="s">
        <v>97</v>
      </c>
      <c r="F318" s="3">
        <v>54.63</v>
      </c>
      <c r="G318" s="1" t="s">
        <v>342</v>
      </c>
      <c r="H318" s="1" t="s">
        <v>665</v>
      </c>
      <c r="I318" s="1" t="s">
        <v>426</v>
      </c>
      <c r="J318" t="str">
        <f>VLOOKUP(H318,Planilha2!B:C,2,0)</f>
        <v>132 a 134</v>
      </c>
    </row>
    <row r="319" spans="1:10" ht="15.75" customHeight="1" x14ac:dyDescent="0.15">
      <c r="A319" s="4" t="s">
        <v>490</v>
      </c>
      <c r="B319" s="3" t="s">
        <v>23</v>
      </c>
      <c r="C319" s="1" t="s">
        <v>714</v>
      </c>
      <c r="D319" s="1" t="s">
        <v>23</v>
      </c>
      <c r="E319" s="1" t="s">
        <v>879</v>
      </c>
      <c r="F319" s="3">
        <v>29.85</v>
      </c>
      <c r="G319" s="1" t="s">
        <v>342</v>
      </c>
      <c r="H319" s="1" t="s">
        <v>665</v>
      </c>
      <c r="I319" s="1" t="s">
        <v>426</v>
      </c>
      <c r="J319" t="str">
        <f>VLOOKUP(H319,Planilha2!B:C,2,0)</f>
        <v>132 a 134</v>
      </c>
    </row>
    <row r="320" spans="1:10" ht="15.75" customHeight="1" x14ac:dyDescent="0.15">
      <c r="A320" s="4" t="s">
        <v>490</v>
      </c>
      <c r="B320" s="3" t="s">
        <v>368</v>
      </c>
      <c r="C320" s="1" t="s">
        <v>714</v>
      </c>
      <c r="D320" s="1" t="s">
        <v>368</v>
      </c>
      <c r="E320" s="1" t="s">
        <v>108</v>
      </c>
      <c r="F320" s="3">
        <v>277.27</v>
      </c>
      <c r="G320" s="1" t="s">
        <v>342</v>
      </c>
      <c r="H320" s="1" t="s">
        <v>665</v>
      </c>
      <c r="I320" s="1" t="s">
        <v>426</v>
      </c>
      <c r="J320" t="str">
        <f>VLOOKUP(H320,Planilha2!B:C,2,0)</f>
        <v>132 a 134</v>
      </c>
    </row>
    <row r="321" spans="1:10" ht="15.75" customHeight="1" x14ac:dyDescent="0.15">
      <c r="A321" s="4" t="s">
        <v>490</v>
      </c>
      <c r="B321" s="3" t="s">
        <v>275</v>
      </c>
      <c r="C321" s="1" t="s">
        <v>714</v>
      </c>
      <c r="D321" s="1" t="s">
        <v>275</v>
      </c>
      <c r="E321" s="1" t="s">
        <v>108</v>
      </c>
      <c r="F321" s="3">
        <v>167.14</v>
      </c>
      <c r="G321" s="1" t="s">
        <v>342</v>
      </c>
      <c r="H321" s="1" t="s">
        <v>665</v>
      </c>
      <c r="I321" s="1" t="s">
        <v>426</v>
      </c>
      <c r="J321" t="str">
        <f>VLOOKUP(H321,Planilha2!B:C,2,0)</f>
        <v>132 a 134</v>
      </c>
    </row>
    <row r="322" spans="1:10" ht="15.75" customHeight="1" x14ac:dyDescent="0.15">
      <c r="A322" s="4" t="s">
        <v>490</v>
      </c>
      <c r="B322" s="3" t="s">
        <v>811</v>
      </c>
      <c r="C322" s="1" t="s">
        <v>714</v>
      </c>
      <c r="D322" s="1" t="s">
        <v>811</v>
      </c>
      <c r="E322" s="1" t="s">
        <v>108</v>
      </c>
      <c r="F322" s="3">
        <v>43.08</v>
      </c>
      <c r="G322" s="1" t="s">
        <v>342</v>
      </c>
      <c r="H322" s="1" t="s">
        <v>665</v>
      </c>
      <c r="I322" s="1" t="s">
        <v>426</v>
      </c>
      <c r="J322" t="str">
        <f>VLOOKUP(H322,Planilha2!B:C,2,0)</f>
        <v>132 a 134</v>
      </c>
    </row>
    <row r="323" spans="1:10" ht="15.75" customHeight="1" x14ac:dyDescent="0.15">
      <c r="A323" s="4" t="s">
        <v>490</v>
      </c>
      <c r="B323" s="3" t="s">
        <v>697</v>
      </c>
      <c r="C323" s="1" t="s">
        <v>714</v>
      </c>
      <c r="D323" s="1" t="s">
        <v>697</v>
      </c>
      <c r="E323" s="1" t="s">
        <v>108</v>
      </c>
      <c r="F323" s="3">
        <v>18.190000000000001</v>
      </c>
      <c r="G323" s="1" t="s">
        <v>342</v>
      </c>
      <c r="H323" s="1" t="s">
        <v>665</v>
      </c>
      <c r="I323" s="1" t="s">
        <v>426</v>
      </c>
      <c r="J323" t="str">
        <f>VLOOKUP(H323,Planilha2!B:C,2,0)</f>
        <v>132 a 134</v>
      </c>
    </row>
    <row r="324" spans="1:10" ht="15.75" customHeight="1" x14ac:dyDescent="0.15">
      <c r="A324" s="4" t="s">
        <v>490</v>
      </c>
      <c r="B324" s="3" t="s">
        <v>240</v>
      </c>
      <c r="C324" s="1" t="s">
        <v>714</v>
      </c>
      <c r="D324" s="1" t="s">
        <v>240</v>
      </c>
      <c r="E324" s="1" t="s">
        <v>108</v>
      </c>
      <c r="F324" s="3">
        <v>367.32</v>
      </c>
      <c r="G324" s="1" t="s">
        <v>342</v>
      </c>
      <c r="H324" s="1" t="s">
        <v>665</v>
      </c>
      <c r="I324" s="1" t="s">
        <v>426</v>
      </c>
      <c r="J324" t="str">
        <f>VLOOKUP(H324,Planilha2!B:C,2,0)</f>
        <v>132 a 134</v>
      </c>
    </row>
    <row r="325" spans="1:10" ht="15.75" customHeight="1" x14ac:dyDescent="0.15">
      <c r="A325" s="4" t="s">
        <v>490</v>
      </c>
      <c r="B325" s="3" t="s">
        <v>257</v>
      </c>
      <c r="C325" s="1" t="s">
        <v>714</v>
      </c>
      <c r="D325" s="1" t="s">
        <v>257</v>
      </c>
      <c r="E325" s="1" t="s">
        <v>108</v>
      </c>
      <c r="F325" s="3">
        <v>15.92</v>
      </c>
      <c r="G325" s="1" t="s">
        <v>342</v>
      </c>
      <c r="H325" s="1" t="s">
        <v>665</v>
      </c>
      <c r="I325" s="1" t="s">
        <v>426</v>
      </c>
      <c r="J325" t="str">
        <f>VLOOKUP(H325,Planilha2!B:C,2,0)</f>
        <v>132 a 134</v>
      </c>
    </row>
    <row r="326" spans="1:10" ht="15.75" customHeight="1" x14ac:dyDescent="0.15">
      <c r="A326" s="4" t="s">
        <v>490</v>
      </c>
      <c r="B326" s="3" t="s">
        <v>135</v>
      </c>
      <c r="C326" s="1" t="s">
        <v>714</v>
      </c>
      <c r="D326" s="1" t="s">
        <v>135</v>
      </c>
      <c r="E326" s="1" t="s">
        <v>759</v>
      </c>
      <c r="F326" s="3">
        <v>10.9</v>
      </c>
      <c r="G326" s="1" t="s">
        <v>342</v>
      </c>
      <c r="H326" s="1" t="s">
        <v>665</v>
      </c>
      <c r="I326" s="1" t="s">
        <v>426</v>
      </c>
      <c r="J326" t="str">
        <f>VLOOKUP(H326,Planilha2!B:C,2,0)</f>
        <v>132 a 134</v>
      </c>
    </row>
    <row r="327" spans="1:10" ht="15.75" customHeight="1" x14ac:dyDescent="0.15">
      <c r="A327" s="4" t="s">
        <v>490</v>
      </c>
      <c r="B327" s="3" t="s">
        <v>810</v>
      </c>
      <c r="C327" s="1" t="s">
        <v>714</v>
      </c>
      <c r="D327" s="1" t="s">
        <v>810</v>
      </c>
      <c r="E327" s="1" t="s">
        <v>384</v>
      </c>
      <c r="F327" s="3">
        <v>223.71</v>
      </c>
      <c r="G327" s="1" t="s">
        <v>342</v>
      </c>
      <c r="H327" s="1" t="s">
        <v>665</v>
      </c>
      <c r="I327" s="1" t="s">
        <v>426</v>
      </c>
      <c r="J327" t="str">
        <f>VLOOKUP(H327,Planilha2!B:C,2,0)</f>
        <v>132 a 134</v>
      </c>
    </row>
    <row r="328" spans="1:10" ht="15.75" customHeight="1" x14ac:dyDescent="0.15">
      <c r="A328" s="4" t="s">
        <v>490</v>
      </c>
      <c r="B328" s="3" t="s">
        <v>248</v>
      </c>
      <c r="C328" s="1" t="s">
        <v>714</v>
      </c>
      <c r="D328" s="1" t="s">
        <v>248</v>
      </c>
      <c r="E328" s="1" t="s">
        <v>82</v>
      </c>
      <c r="F328" s="3">
        <v>54.63</v>
      </c>
      <c r="G328" s="1" t="s">
        <v>342</v>
      </c>
      <c r="H328" s="1" t="s">
        <v>665</v>
      </c>
      <c r="I328" s="1" t="s">
        <v>426</v>
      </c>
      <c r="J328" t="str">
        <f>VLOOKUP(H328,Planilha2!B:C,2,0)</f>
        <v>132 a 134</v>
      </c>
    </row>
    <row r="329" spans="1:10" ht="15.75" customHeight="1" x14ac:dyDescent="0.15">
      <c r="A329" s="4" t="s">
        <v>490</v>
      </c>
      <c r="B329" s="3" t="s">
        <v>176</v>
      </c>
      <c r="C329" s="1" t="s">
        <v>714</v>
      </c>
      <c r="D329" s="1" t="s">
        <v>176</v>
      </c>
      <c r="E329" s="1" t="s">
        <v>540</v>
      </c>
      <c r="F329" s="3">
        <v>59.61</v>
      </c>
      <c r="G329" s="1" t="s">
        <v>342</v>
      </c>
      <c r="H329" s="1" t="s">
        <v>665</v>
      </c>
      <c r="I329" s="1" t="s">
        <v>426</v>
      </c>
      <c r="J329" t="str">
        <f>VLOOKUP(H329,Planilha2!B:C,2,0)</f>
        <v>132 a 134</v>
      </c>
    </row>
    <row r="330" spans="1:10" ht="15.75" customHeight="1" x14ac:dyDescent="0.15">
      <c r="A330" s="4" t="s">
        <v>490</v>
      </c>
      <c r="B330" s="3" t="s">
        <v>238</v>
      </c>
      <c r="C330" s="1" t="s">
        <v>714</v>
      </c>
      <c r="D330" s="1" t="s">
        <v>238</v>
      </c>
      <c r="E330" s="1" t="s">
        <v>447</v>
      </c>
      <c r="F330" s="3">
        <v>19.86</v>
      </c>
      <c r="G330" s="1" t="s">
        <v>342</v>
      </c>
      <c r="H330" s="1" t="s">
        <v>665</v>
      </c>
      <c r="I330" s="1" t="s">
        <v>426</v>
      </c>
      <c r="J330" t="str">
        <f>VLOOKUP(H330,Planilha2!B:C,2,0)</f>
        <v>132 a 134</v>
      </c>
    </row>
    <row r="331" spans="1:10" ht="15.75" customHeight="1" x14ac:dyDescent="0.15">
      <c r="A331" s="4" t="s">
        <v>281</v>
      </c>
      <c r="B331" s="3" t="s">
        <v>352</v>
      </c>
      <c r="C331" s="1" t="s">
        <v>714</v>
      </c>
      <c r="D331" s="1" t="s">
        <v>352</v>
      </c>
      <c r="E331" s="1" t="s">
        <v>211</v>
      </c>
      <c r="F331" s="3">
        <v>-1000</v>
      </c>
      <c r="G331" s="1" t="s">
        <v>723</v>
      </c>
      <c r="H331" s="1" t="s">
        <v>219</v>
      </c>
      <c r="I331" s="1" t="s">
        <v>155</v>
      </c>
      <c r="J331">
        <f>VLOOKUP(H331,Planilha2!B:C,2,0)</f>
        <v>164</v>
      </c>
    </row>
    <row r="332" spans="1:10" ht="15.75" customHeight="1" x14ac:dyDescent="0.15">
      <c r="A332" s="4" t="s">
        <v>490</v>
      </c>
      <c r="B332" s="3" t="s">
        <v>670</v>
      </c>
      <c r="C332" s="1" t="s">
        <v>272</v>
      </c>
      <c r="D332" s="1" t="s">
        <v>670</v>
      </c>
      <c r="E332" s="1" t="s">
        <v>108</v>
      </c>
      <c r="F332" s="3">
        <v>95.22</v>
      </c>
      <c r="G332" s="1" t="s">
        <v>342</v>
      </c>
      <c r="H332" s="1" t="s">
        <v>665</v>
      </c>
      <c r="I332" s="1" t="s">
        <v>426</v>
      </c>
      <c r="J332" t="str">
        <f>VLOOKUP(H332,Planilha2!B:C,2,0)</f>
        <v>132 a 134</v>
      </c>
    </row>
    <row r="333" spans="1:10" ht="15.75" customHeight="1" x14ac:dyDescent="0.15">
      <c r="A333" s="4" t="s">
        <v>490</v>
      </c>
      <c r="B333" s="3" t="s">
        <v>310</v>
      </c>
      <c r="C333" s="1" t="s">
        <v>272</v>
      </c>
      <c r="D333" s="1" t="s">
        <v>310</v>
      </c>
      <c r="E333" s="1" t="s">
        <v>108</v>
      </c>
      <c r="F333" s="3">
        <v>187.32</v>
      </c>
      <c r="G333" s="1" t="s">
        <v>342</v>
      </c>
      <c r="H333" s="1" t="s">
        <v>665</v>
      </c>
      <c r="I333" s="1" t="s">
        <v>426</v>
      </c>
      <c r="J333" t="str">
        <f>VLOOKUP(H333,Planilha2!B:C,2,0)</f>
        <v>132 a 134</v>
      </c>
    </row>
    <row r="334" spans="1:10" ht="15.75" customHeight="1" x14ac:dyDescent="0.15">
      <c r="A334" s="4" t="s">
        <v>490</v>
      </c>
      <c r="B334" s="3" t="s">
        <v>13</v>
      </c>
      <c r="C334" s="1" t="s">
        <v>272</v>
      </c>
      <c r="D334" s="1" t="s">
        <v>13</v>
      </c>
      <c r="E334" s="1" t="s">
        <v>108</v>
      </c>
      <c r="F334" s="3">
        <v>660.31</v>
      </c>
      <c r="G334" s="1" t="s">
        <v>342</v>
      </c>
      <c r="H334" s="1" t="s">
        <v>665</v>
      </c>
      <c r="I334" s="1" t="s">
        <v>426</v>
      </c>
      <c r="J334" t="str">
        <f>VLOOKUP(H334,Planilha2!B:C,2,0)</f>
        <v>132 a 134</v>
      </c>
    </row>
    <row r="335" spans="1:10" ht="15.75" customHeight="1" x14ac:dyDescent="0.15">
      <c r="A335" s="4" t="s">
        <v>490</v>
      </c>
      <c r="B335" s="3" t="s">
        <v>509</v>
      </c>
      <c r="C335" s="1" t="s">
        <v>272</v>
      </c>
      <c r="D335" s="1" t="s">
        <v>509</v>
      </c>
      <c r="E335" s="1" t="s">
        <v>108</v>
      </c>
      <c r="F335" s="3">
        <v>232.46</v>
      </c>
      <c r="G335" s="1" t="s">
        <v>342</v>
      </c>
      <c r="H335" s="1" t="s">
        <v>665</v>
      </c>
      <c r="I335" s="1" t="s">
        <v>426</v>
      </c>
      <c r="J335" t="str">
        <f>VLOOKUP(H335,Planilha2!B:C,2,0)</f>
        <v>132 a 134</v>
      </c>
    </row>
    <row r="336" spans="1:10" ht="15.75" customHeight="1" x14ac:dyDescent="0.15">
      <c r="A336" s="4" t="s">
        <v>490</v>
      </c>
      <c r="B336" s="3" t="s">
        <v>53</v>
      </c>
      <c r="C336" s="1" t="s">
        <v>272</v>
      </c>
      <c r="D336" s="1" t="s">
        <v>53</v>
      </c>
      <c r="E336" s="1" t="s">
        <v>432</v>
      </c>
      <c r="F336" s="3">
        <v>11381</v>
      </c>
      <c r="G336" s="1" t="s">
        <v>342</v>
      </c>
      <c r="H336" s="1" t="s">
        <v>665</v>
      </c>
      <c r="I336" s="1" t="s">
        <v>426</v>
      </c>
      <c r="J336" t="str">
        <f>VLOOKUP(H336,Planilha2!B:C,2,0)</f>
        <v>132 a 134</v>
      </c>
    </row>
    <row r="337" spans="1:10" ht="15.75" customHeight="1" x14ac:dyDescent="0.15">
      <c r="A337" s="4" t="s">
        <v>490</v>
      </c>
      <c r="B337" s="3" t="s">
        <v>350</v>
      </c>
      <c r="C337" s="1" t="s">
        <v>272</v>
      </c>
      <c r="D337" s="1" t="s">
        <v>350</v>
      </c>
      <c r="E337" s="1" t="s">
        <v>108</v>
      </c>
      <c r="F337" s="3">
        <v>10.77</v>
      </c>
      <c r="G337" s="1" t="s">
        <v>342</v>
      </c>
      <c r="H337" s="1" t="s">
        <v>665</v>
      </c>
      <c r="I337" s="1" t="s">
        <v>426</v>
      </c>
      <c r="J337" t="str">
        <f>VLOOKUP(H337,Planilha2!B:C,2,0)</f>
        <v>132 a 134</v>
      </c>
    </row>
    <row r="338" spans="1:10" ht="15.75" customHeight="1" x14ac:dyDescent="0.15">
      <c r="A338" s="4" t="s">
        <v>490</v>
      </c>
      <c r="B338" s="3" t="s">
        <v>322</v>
      </c>
      <c r="C338" s="1" t="s">
        <v>272</v>
      </c>
      <c r="D338" s="1" t="s">
        <v>322</v>
      </c>
      <c r="E338" s="1" t="s">
        <v>108</v>
      </c>
      <c r="F338" s="3">
        <v>345.41</v>
      </c>
      <c r="G338" s="1" t="s">
        <v>342</v>
      </c>
      <c r="H338" s="1" t="s">
        <v>665</v>
      </c>
      <c r="I338" s="1" t="s">
        <v>426</v>
      </c>
      <c r="J338" t="str">
        <f>VLOOKUP(H338,Planilha2!B:C,2,0)</f>
        <v>132 a 134</v>
      </c>
    </row>
    <row r="339" spans="1:10" ht="15.75" customHeight="1" x14ac:dyDescent="0.15">
      <c r="A339" s="4" t="s">
        <v>490</v>
      </c>
      <c r="B339" s="3" t="s">
        <v>515</v>
      </c>
      <c r="C339" s="1" t="s">
        <v>272</v>
      </c>
      <c r="D339" s="1" t="s">
        <v>515</v>
      </c>
      <c r="E339" s="1" t="s">
        <v>145</v>
      </c>
      <c r="F339" s="3">
        <v>53.98</v>
      </c>
      <c r="G339" s="1" t="s">
        <v>342</v>
      </c>
      <c r="H339" s="1" t="s">
        <v>665</v>
      </c>
      <c r="I339" s="1" t="s">
        <v>426</v>
      </c>
      <c r="J339" t="str">
        <f>VLOOKUP(H339,Planilha2!B:C,2,0)</f>
        <v>132 a 134</v>
      </c>
    </row>
    <row r="340" spans="1:10" ht="15.75" customHeight="1" x14ac:dyDescent="0.15">
      <c r="A340" s="4" t="s">
        <v>490</v>
      </c>
      <c r="B340" s="3" t="s">
        <v>246</v>
      </c>
      <c r="C340" s="1" t="s">
        <v>272</v>
      </c>
      <c r="D340" s="1" t="s">
        <v>246</v>
      </c>
      <c r="E340" s="1" t="s">
        <v>108</v>
      </c>
      <c r="F340" s="3">
        <v>151.37</v>
      </c>
      <c r="G340" s="1" t="s">
        <v>342</v>
      </c>
      <c r="H340" s="1" t="s">
        <v>665</v>
      </c>
      <c r="I340" s="1" t="s">
        <v>426</v>
      </c>
      <c r="J340" t="str">
        <f>VLOOKUP(H340,Planilha2!B:C,2,0)</f>
        <v>132 a 134</v>
      </c>
    </row>
    <row r="341" spans="1:10" ht="15.75" customHeight="1" x14ac:dyDescent="0.15">
      <c r="A341" s="4" t="s">
        <v>490</v>
      </c>
      <c r="B341" s="3" t="s">
        <v>174</v>
      </c>
      <c r="C341" s="1" t="s">
        <v>272</v>
      </c>
      <c r="D341" s="1" t="s">
        <v>174</v>
      </c>
      <c r="E341" s="1" t="s">
        <v>108</v>
      </c>
      <c r="F341" s="3">
        <v>55.81</v>
      </c>
      <c r="G341" s="1" t="s">
        <v>342</v>
      </c>
      <c r="H341" s="1" t="s">
        <v>665</v>
      </c>
      <c r="I341" s="1" t="s">
        <v>426</v>
      </c>
      <c r="J341" t="str">
        <f>VLOOKUP(H341,Planilha2!B:C,2,0)</f>
        <v>132 a 134</v>
      </c>
    </row>
    <row r="342" spans="1:10" ht="15.75" customHeight="1" x14ac:dyDescent="0.15">
      <c r="A342" s="4" t="s">
        <v>490</v>
      </c>
      <c r="B342" s="3" t="s">
        <v>769</v>
      </c>
      <c r="C342" s="1" t="s">
        <v>272</v>
      </c>
      <c r="D342" s="1" t="s">
        <v>769</v>
      </c>
      <c r="E342" s="1" t="s">
        <v>223</v>
      </c>
      <c r="F342" s="3">
        <v>99</v>
      </c>
      <c r="G342" s="1" t="s">
        <v>342</v>
      </c>
      <c r="H342" s="1" t="s">
        <v>665</v>
      </c>
      <c r="I342" s="1" t="s">
        <v>426</v>
      </c>
      <c r="J342" t="str">
        <f>VLOOKUP(H342,Planilha2!B:C,2,0)</f>
        <v>132 a 134</v>
      </c>
    </row>
    <row r="343" spans="1:10" ht="15.75" customHeight="1" x14ac:dyDescent="0.15">
      <c r="A343" s="4" t="s">
        <v>490</v>
      </c>
      <c r="B343" s="3" t="s">
        <v>301</v>
      </c>
      <c r="C343" s="1" t="s">
        <v>272</v>
      </c>
      <c r="D343" s="1" t="s">
        <v>301</v>
      </c>
      <c r="E343" s="1" t="s">
        <v>108</v>
      </c>
      <c r="F343" s="3">
        <v>174.96</v>
      </c>
      <c r="G343" s="1" t="s">
        <v>342</v>
      </c>
      <c r="H343" s="1" t="s">
        <v>665</v>
      </c>
      <c r="I343" s="1" t="s">
        <v>426</v>
      </c>
      <c r="J343" t="str">
        <f>VLOOKUP(H343,Planilha2!B:C,2,0)</f>
        <v>132 a 134</v>
      </c>
    </row>
    <row r="344" spans="1:10" ht="15.75" customHeight="1" x14ac:dyDescent="0.15">
      <c r="A344" s="4" t="s">
        <v>490</v>
      </c>
      <c r="B344" s="3" t="s">
        <v>585</v>
      </c>
      <c r="C344" s="1" t="s">
        <v>272</v>
      </c>
      <c r="D344" s="1" t="s">
        <v>585</v>
      </c>
      <c r="E344" s="1" t="s">
        <v>108</v>
      </c>
      <c r="F344" s="3">
        <v>260.16000000000003</v>
      </c>
      <c r="G344" s="1" t="s">
        <v>342</v>
      </c>
      <c r="H344" s="1" t="s">
        <v>665</v>
      </c>
      <c r="I344" s="1" t="s">
        <v>426</v>
      </c>
      <c r="J344" t="str">
        <f>VLOOKUP(H344,Planilha2!B:C,2,0)</f>
        <v>132 a 134</v>
      </c>
    </row>
    <row r="345" spans="1:10" ht="15.75" customHeight="1" x14ac:dyDescent="0.15">
      <c r="A345" s="4" t="s">
        <v>490</v>
      </c>
      <c r="B345" s="3" t="s">
        <v>190</v>
      </c>
      <c r="C345" s="1" t="s">
        <v>272</v>
      </c>
      <c r="D345" s="1" t="s">
        <v>190</v>
      </c>
      <c r="E345" s="1" t="s">
        <v>614</v>
      </c>
      <c r="F345" s="3">
        <v>6900</v>
      </c>
      <c r="G345" s="1" t="s">
        <v>342</v>
      </c>
      <c r="H345" s="1" t="s">
        <v>665</v>
      </c>
      <c r="I345" s="1" t="s">
        <v>426</v>
      </c>
      <c r="J345" t="str">
        <f>VLOOKUP(H345,Planilha2!B:C,2,0)</f>
        <v>132 a 134</v>
      </c>
    </row>
    <row r="346" spans="1:10" ht="15.75" customHeight="1" x14ac:dyDescent="0.15">
      <c r="A346" s="4" t="s">
        <v>490</v>
      </c>
      <c r="B346" s="3" t="s">
        <v>231</v>
      </c>
      <c r="C346" s="1" t="s">
        <v>656</v>
      </c>
      <c r="D346" s="1" t="s">
        <v>231</v>
      </c>
      <c r="E346" s="1" t="s">
        <v>108</v>
      </c>
      <c r="F346" s="3">
        <v>735.8</v>
      </c>
      <c r="G346" s="1" t="s">
        <v>342</v>
      </c>
      <c r="H346" s="1" t="s">
        <v>665</v>
      </c>
      <c r="I346" s="1" t="s">
        <v>426</v>
      </c>
      <c r="J346" t="str">
        <f>VLOOKUP(H346,Planilha2!B:C,2,0)</f>
        <v>132 a 134</v>
      </c>
    </row>
    <row r="347" spans="1:10" ht="15.75" customHeight="1" x14ac:dyDescent="0.15">
      <c r="A347" s="4" t="s">
        <v>490</v>
      </c>
      <c r="B347" s="3" t="s">
        <v>858</v>
      </c>
      <c r="C347" s="1" t="s">
        <v>656</v>
      </c>
      <c r="D347" s="1" t="s">
        <v>858</v>
      </c>
      <c r="E347" s="1" t="s">
        <v>108</v>
      </c>
      <c r="F347" s="3">
        <v>219.15</v>
      </c>
      <c r="G347" s="1" t="s">
        <v>342</v>
      </c>
      <c r="H347" s="1" t="s">
        <v>665</v>
      </c>
      <c r="I347" s="1" t="s">
        <v>426</v>
      </c>
      <c r="J347" t="str">
        <f>VLOOKUP(H347,Planilha2!B:C,2,0)</f>
        <v>132 a 134</v>
      </c>
    </row>
    <row r="348" spans="1:10" ht="15.75" customHeight="1" x14ac:dyDescent="0.15">
      <c r="A348" s="4" t="s">
        <v>490</v>
      </c>
      <c r="B348" s="3" t="s">
        <v>510</v>
      </c>
      <c r="C348" s="1" t="s">
        <v>656</v>
      </c>
      <c r="D348" s="1" t="s">
        <v>510</v>
      </c>
      <c r="E348" s="1" t="s">
        <v>108</v>
      </c>
      <c r="F348" s="3">
        <v>314.52</v>
      </c>
      <c r="G348" s="1" t="s">
        <v>342</v>
      </c>
      <c r="H348" s="1" t="s">
        <v>665</v>
      </c>
      <c r="I348" s="1" t="s">
        <v>426</v>
      </c>
      <c r="J348" t="str">
        <f>VLOOKUP(H348,Planilha2!B:C,2,0)</f>
        <v>132 a 134</v>
      </c>
    </row>
    <row r="349" spans="1:10" ht="15.75" customHeight="1" x14ac:dyDescent="0.15">
      <c r="A349" s="4" t="s">
        <v>490</v>
      </c>
      <c r="B349" s="3" t="s">
        <v>333</v>
      </c>
      <c r="C349" s="1" t="s">
        <v>656</v>
      </c>
      <c r="D349" s="1" t="s">
        <v>333</v>
      </c>
      <c r="E349" s="1" t="s">
        <v>108</v>
      </c>
      <c r="F349" s="3">
        <v>68.849999999999994</v>
      </c>
      <c r="G349" s="1" t="s">
        <v>342</v>
      </c>
      <c r="H349" s="1" t="s">
        <v>665</v>
      </c>
      <c r="I349" s="1" t="s">
        <v>426</v>
      </c>
      <c r="J349" t="str">
        <f>VLOOKUP(H349,Planilha2!B:C,2,0)</f>
        <v>132 a 134</v>
      </c>
    </row>
    <row r="350" spans="1:10" ht="15.75" customHeight="1" x14ac:dyDescent="0.15">
      <c r="A350" s="4" t="s">
        <v>490</v>
      </c>
      <c r="B350" s="3" t="s">
        <v>361</v>
      </c>
      <c r="C350" s="1" t="s">
        <v>656</v>
      </c>
      <c r="D350" s="1" t="s">
        <v>361</v>
      </c>
      <c r="E350" s="1" t="s">
        <v>685</v>
      </c>
      <c r="F350" s="3">
        <v>114.23</v>
      </c>
      <c r="G350" s="1" t="s">
        <v>342</v>
      </c>
      <c r="H350" s="1" t="s">
        <v>665</v>
      </c>
      <c r="I350" s="1" t="s">
        <v>426</v>
      </c>
      <c r="J350" t="str">
        <f>VLOOKUP(H350,Planilha2!B:C,2,0)</f>
        <v>132 a 134</v>
      </c>
    </row>
    <row r="351" spans="1:10" ht="15.75" customHeight="1" x14ac:dyDescent="0.15">
      <c r="A351" s="4" t="s">
        <v>490</v>
      </c>
      <c r="B351" s="3" t="s">
        <v>534</v>
      </c>
      <c r="C351" s="1" t="s">
        <v>656</v>
      </c>
      <c r="D351" s="1" t="s">
        <v>534</v>
      </c>
      <c r="E351" s="1" t="s">
        <v>108</v>
      </c>
      <c r="F351" s="3">
        <v>834.45</v>
      </c>
      <c r="G351" s="1" t="s">
        <v>342</v>
      </c>
      <c r="H351" s="1" t="s">
        <v>665</v>
      </c>
      <c r="I351" s="1" t="s">
        <v>426</v>
      </c>
      <c r="J351" t="str">
        <f>VLOOKUP(H351,Planilha2!B:C,2,0)</f>
        <v>132 a 134</v>
      </c>
    </row>
    <row r="352" spans="1:10" ht="15.75" customHeight="1" x14ac:dyDescent="0.15">
      <c r="A352" s="4" t="s">
        <v>490</v>
      </c>
      <c r="B352" s="3" t="s">
        <v>391</v>
      </c>
      <c r="C352" s="1" t="s">
        <v>656</v>
      </c>
      <c r="D352" s="1" t="s">
        <v>391</v>
      </c>
      <c r="E352" s="1" t="s">
        <v>108</v>
      </c>
      <c r="F352" s="3">
        <v>253.46</v>
      </c>
      <c r="G352" s="1" t="s">
        <v>342</v>
      </c>
      <c r="H352" s="1" t="s">
        <v>665</v>
      </c>
      <c r="I352" s="1" t="s">
        <v>426</v>
      </c>
      <c r="J352" t="str">
        <f>VLOOKUP(H352,Planilha2!B:C,2,0)</f>
        <v>132 a 134</v>
      </c>
    </row>
    <row r="353" spans="1:10" ht="15.75" customHeight="1" x14ac:dyDescent="0.15">
      <c r="A353" s="4" t="s">
        <v>490</v>
      </c>
      <c r="B353" s="3" t="s">
        <v>36</v>
      </c>
      <c r="C353" s="1" t="s">
        <v>656</v>
      </c>
      <c r="D353" s="1" t="s">
        <v>36</v>
      </c>
      <c r="E353" s="1" t="s">
        <v>108</v>
      </c>
      <c r="F353" s="3">
        <v>109.17</v>
      </c>
      <c r="G353" s="1" t="s">
        <v>342</v>
      </c>
      <c r="H353" s="1" t="s">
        <v>665</v>
      </c>
      <c r="I353" s="1" t="s">
        <v>426</v>
      </c>
      <c r="J353" t="str">
        <f>VLOOKUP(H353,Planilha2!B:C,2,0)</f>
        <v>132 a 134</v>
      </c>
    </row>
    <row r="354" spans="1:10" ht="15.75" customHeight="1" x14ac:dyDescent="0.15">
      <c r="A354" s="4" t="s">
        <v>490</v>
      </c>
      <c r="B354" s="3" t="s">
        <v>32</v>
      </c>
      <c r="C354" s="1" t="s">
        <v>656</v>
      </c>
      <c r="D354" s="1" t="s">
        <v>32</v>
      </c>
      <c r="E354" s="1" t="s">
        <v>108</v>
      </c>
      <c r="F354" s="3">
        <v>10.44</v>
      </c>
      <c r="G354" s="1" t="s">
        <v>342</v>
      </c>
      <c r="H354" s="1" t="s">
        <v>665</v>
      </c>
      <c r="I354" s="1" t="s">
        <v>426</v>
      </c>
      <c r="J354" t="str">
        <f>VLOOKUP(H354,Planilha2!B:C,2,0)</f>
        <v>132 a 134</v>
      </c>
    </row>
    <row r="355" spans="1:10" ht="15.75" customHeight="1" x14ac:dyDescent="0.15">
      <c r="A355" s="4" t="s">
        <v>490</v>
      </c>
      <c r="B355" s="3" t="s">
        <v>67</v>
      </c>
      <c r="C355" s="1" t="s">
        <v>656</v>
      </c>
      <c r="D355" s="1" t="s">
        <v>67</v>
      </c>
      <c r="E355" s="1" t="s">
        <v>108</v>
      </c>
      <c r="F355" s="3">
        <v>1223.1099999999999</v>
      </c>
      <c r="G355" s="1" t="s">
        <v>342</v>
      </c>
      <c r="H355" s="1" t="s">
        <v>665</v>
      </c>
      <c r="I355" s="1" t="s">
        <v>426</v>
      </c>
      <c r="J355" t="str">
        <f>VLOOKUP(H355,Planilha2!B:C,2,0)</f>
        <v>132 a 134</v>
      </c>
    </row>
    <row r="356" spans="1:10" ht="15.75" customHeight="1" x14ac:dyDescent="0.15">
      <c r="A356" s="4" t="s">
        <v>490</v>
      </c>
      <c r="B356" s="3" t="s">
        <v>820</v>
      </c>
      <c r="C356" s="1" t="s">
        <v>656</v>
      </c>
      <c r="D356" s="1" t="s">
        <v>820</v>
      </c>
      <c r="E356" s="1" t="s">
        <v>100</v>
      </c>
      <c r="F356" s="3">
        <v>1756.08</v>
      </c>
      <c r="G356" s="1" t="s">
        <v>342</v>
      </c>
      <c r="H356" s="1" t="s">
        <v>665</v>
      </c>
      <c r="I356" s="1" t="s">
        <v>426</v>
      </c>
      <c r="J356" t="str">
        <f>VLOOKUP(H356,Planilha2!B:C,2,0)</f>
        <v>132 a 134</v>
      </c>
    </row>
    <row r="357" spans="1:10" ht="15.75" customHeight="1" x14ac:dyDescent="0.15">
      <c r="A357" s="4" t="s">
        <v>490</v>
      </c>
      <c r="B357" s="3" t="s">
        <v>713</v>
      </c>
      <c r="C357" s="1" t="s">
        <v>656</v>
      </c>
      <c r="D357" s="1" t="s">
        <v>713</v>
      </c>
      <c r="E357" s="1" t="s">
        <v>239</v>
      </c>
      <c r="F357" s="3">
        <v>8493.7199999999993</v>
      </c>
      <c r="G357" s="1" t="s">
        <v>342</v>
      </c>
      <c r="H357" s="1" t="s">
        <v>665</v>
      </c>
      <c r="I357" s="1" t="s">
        <v>426</v>
      </c>
      <c r="J357" t="str">
        <f>VLOOKUP(H357,Planilha2!B:C,2,0)</f>
        <v>132 a 134</v>
      </c>
    </row>
    <row r="358" spans="1:10" ht="15.75" customHeight="1" x14ac:dyDescent="0.15">
      <c r="A358" s="4" t="s">
        <v>490</v>
      </c>
      <c r="B358" s="3" t="s">
        <v>562</v>
      </c>
      <c r="C358" s="1" t="s">
        <v>656</v>
      </c>
      <c r="D358" s="1" t="s">
        <v>562</v>
      </c>
      <c r="E358" s="1" t="s">
        <v>108</v>
      </c>
      <c r="F358" s="3">
        <v>69.709999999999994</v>
      </c>
      <c r="G358" s="1" t="s">
        <v>342</v>
      </c>
      <c r="H358" s="1" t="s">
        <v>665</v>
      </c>
      <c r="I358" s="1" t="s">
        <v>426</v>
      </c>
      <c r="J358" t="str">
        <f>VLOOKUP(H358,Planilha2!B:C,2,0)</f>
        <v>132 a 134</v>
      </c>
    </row>
    <row r="359" spans="1:10" ht="15.75" customHeight="1" x14ac:dyDescent="0.15">
      <c r="A359" s="4" t="s">
        <v>490</v>
      </c>
      <c r="B359" s="3" t="s">
        <v>449</v>
      </c>
      <c r="C359" s="1" t="s">
        <v>656</v>
      </c>
      <c r="D359" s="1" t="s">
        <v>449</v>
      </c>
      <c r="E359" s="1" t="s">
        <v>741</v>
      </c>
      <c r="F359" s="3">
        <v>1930.14</v>
      </c>
      <c r="G359" s="1" t="s">
        <v>342</v>
      </c>
      <c r="H359" s="1" t="s">
        <v>665</v>
      </c>
      <c r="I359" s="1" t="s">
        <v>426</v>
      </c>
      <c r="J359" t="str">
        <f>VLOOKUP(H359,Planilha2!B:C,2,0)</f>
        <v>132 a 134</v>
      </c>
    </row>
    <row r="360" spans="1:10" ht="15.75" customHeight="1" x14ac:dyDescent="0.15">
      <c r="A360" s="4" t="s">
        <v>490</v>
      </c>
      <c r="B360" s="3" t="s">
        <v>794</v>
      </c>
      <c r="C360" s="1" t="s">
        <v>656</v>
      </c>
      <c r="D360" s="1" t="s">
        <v>794</v>
      </c>
      <c r="E360" s="1" t="s">
        <v>108</v>
      </c>
      <c r="F360" s="3">
        <v>149.37</v>
      </c>
      <c r="G360" s="1" t="s">
        <v>342</v>
      </c>
      <c r="H360" s="1" t="s">
        <v>665</v>
      </c>
      <c r="I360" s="1" t="s">
        <v>426</v>
      </c>
      <c r="J360" t="str">
        <f>VLOOKUP(H360,Planilha2!B:C,2,0)</f>
        <v>132 a 134</v>
      </c>
    </row>
    <row r="361" spans="1:10" ht="15.75" customHeight="1" x14ac:dyDescent="0.15">
      <c r="A361" s="4" t="s">
        <v>490</v>
      </c>
      <c r="B361" s="3" t="s">
        <v>26</v>
      </c>
      <c r="C361" s="1" t="s">
        <v>656</v>
      </c>
      <c r="D361" s="1" t="s">
        <v>26</v>
      </c>
      <c r="E361" s="1" t="s">
        <v>108</v>
      </c>
      <c r="F361" s="3">
        <v>10.77</v>
      </c>
      <c r="G361" s="1" t="s">
        <v>342</v>
      </c>
      <c r="H361" s="1" t="s">
        <v>665</v>
      </c>
      <c r="I361" s="1" t="s">
        <v>426</v>
      </c>
      <c r="J361" t="str">
        <f>VLOOKUP(H361,Planilha2!B:C,2,0)</f>
        <v>132 a 134</v>
      </c>
    </row>
    <row r="362" spans="1:10" ht="15.75" customHeight="1" x14ac:dyDescent="0.15">
      <c r="A362" s="4" t="s">
        <v>490</v>
      </c>
      <c r="B362" s="3" t="s">
        <v>138</v>
      </c>
      <c r="C362" s="1" t="s">
        <v>656</v>
      </c>
      <c r="D362" s="1" t="s">
        <v>138</v>
      </c>
      <c r="E362" s="1" t="s">
        <v>891</v>
      </c>
      <c r="F362" s="3">
        <v>3172.62</v>
      </c>
      <c r="G362" s="1" t="s">
        <v>342</v>
      </c>
      <c r="H362" s="1" t="s">
        <v>665</v>
      </c>
      <c r="I362" s="1" t="s">
        <v>426</v>
      </c>
      <c r="J362" t="str">
        <f>VLOOKUP(H362,Planilha2!B:C,2,0)</f>
        <v>132 a 134</v>
      </c>
    </row>
    <row r="363" spans="1:10" ht="15.75" customHeight="1" x14ac:dyDescent="0.15">
      <c r="A363" s="4" t="s">
        <v>281</v>
      </c>
      <c r="B363" s="3" t="s">
        <v>883</v>
      </c>
      <c r="C363" s="1" t="s">
        <v>656</v>
      </c>
      <c r="D363" s="1" t="s">
        <v>883</v>
      </c>
      <c r="E363" s="1" t="s">
        <v>762</v>
      </c>
      <c r="F363" s="3">
        <v>-55000</v>
      </c>
      <c r="G363" s="1" t="s">
        <v>342</v>
      </c>
      <c r="H363" s="1" t="s">
        <v>21</v>
      </c>
      <c r="I363" s="1" t="s">
        <v>531</v>
      </c>
      <c r="J363">
        <f>VLOOKUP(H363,Planilha2!B:C,2,0)</f>
        <v>0</v>
      </c>
    </row>
    <row r="364" spans="1:10" ht="15.75" customHeight="1" x14ac:dyDescent="0.15">
      <c r="A364" s="4" t="s">
        <v>281</v>
      </c>
      <c r="B364" s="3" t="s">
        <v>203</v>
      </c>
      <c r="C364" s="1" t="s">
        <v>656</v>
      </c>
      <c r="D364" s="1" t="s">
        <v>203</v>
      </c>
      <c r="E364" s="1" t="s">
        <v>849</v>
      </c>
      <c r="F364" s="3">
        <v>-221.84</v>
      </c>
      <c r="G364" s="1" t="s">
        <v>342</v>
      </c>
      <c r="H364" s="1" t="s">
        <v>617</v>
      </c>
      <c r="I364" s="1" t="s">
        <v>155</v>
      </c>
      <c r="J364">
        <f>VLOOKUP(H364,Planilha2!B:C,2,0)</f>
        <v>238</v>
      </c>
    </row>
    <row r="365" spans="1:10" ht="15.75" customHeight="1" x14ac:dyDescent="0.15">
      <c r="A365" s="4" t="s">
        <v>281</v>
      </c>
      <c r="B365" s="3" t="s">
        <v>340</v>
      </c>
      <c r="C365" s="1" t="s">
        <v>656</v>
      </c>
      <c r="D365" s="1" t="s">
        <v>340</v>
      </c>
      <c r="E365" s="1" t="s">
        <v>48</v>
      </c>
      <c r="F365" s="3">
        <v>-89.5</v>
      </c>
      <c r="G365" s="1" t="s">
        <v>342</v>
      </c>
      <c r="H365" s="1" t="s">
        <v>3</v>
      </c>
      <c r="I365" s="1" t="s">
        <v>155</v>
      </c>
      <c r="J365">
        <f>VLOOKUP(H365,Planilha2!B:C,2,0)</f>
        <v>41</v>
      </c>
    </row>
    <row r="366" spans="1:10" ht="15.75" customHeight="1" x14ac:dyDescent="0.15">
      <c r="A366" s="4" t="s">
        <v>281</v>
      </c>
      <c r="B366" s="3" t="s">
        <v>337</v>
      </c>
      <c r="C366" s="1" t="s">
        <v>142</v>
      </c>
      <c r="D366" s="1" t="s">
        <v>337</v>
      </c>
      <c r="E366" s="1" t="s">
        <v>762</v>
      </c>
      <c r="F366" s="3">
        <v>-18000</v>
      </c>
      <c r="G366" s="1" t="s">
        <v>342</v>
      </c>
      <c r="H366" s="1" t="s">
        <v>21</v>
      </c>
      <c r="I366" s="1" t="s">
        <v>531</v>
      </c>
      <c r="J366">
        <f>VLOOKUP(H366,Planilha2!B:C,2,0)</f>
        <v>0</v>
      </c>
    </row>
    <row r="367" spans="1:10" ht="15.75" customHeight="1" x14ac:dyDescent="0.15">
      <c r="A367" s="4" t="s">
        <v>490</v>
      </c>
      <c r="B367" s="3" t="s">
        <v>727</v>
      </c>
      <c r="C367" s="1" t="s">
        <v>142</v>
      </c>
      <c r="D367" s="1" t="s">
        <v>727</v>
      </c>
      <c r="E367" s="1" t="s">
        <v>108</v>
      </c>
      <c r="F367" s="3">
        <v>384.21</v>
      </c>
      <c r="G367" s="1" t="s">
        <v>342</v>
      </c>
      <c r="H367" s="1" t="s">
        <v>665</v>
      </c>
      <c r="I367" s="1" t="s">
        <v>426</v>
      </c>
      <c r="J367" t="str">
        <f>VLOOKUP(H367,Planilha2!B:C,2,0)</f>
        <v>132 a 134</v>
      </c>
    </row>
    <row r="368" spans="1:10" ht="15.75" customHeight="1" x14ac:dyDescent="0.15">
      <c r="A368" s="4" t="s">
        <v>490</v>
      </c>
      <c r="B368" s="3" t="s">
        <v>412</v>
      </c>
      <c r="C368" s="1" t="s">
        <v>142</v>
      </c>
      <c r="D368" s="1" t="s">
        <v>412</v>
      </c>
      <c r="E368" s="1" t="s">
        <v>108</v>
      </c>
      <c r="F368" s="3">
        <v>383.17</v>
      </c>
      <c r="G368" s="1" t="s">
        <v>342</v>
      </c>
      <c r="H368" s="1" t="s">
        <v>665</v>
      </c>
      <c r="I368" s="1" t="s">
        <v>426</v>
      </c>
      <c r="J368" t="str">
        <f>VLOOKUP(H368,Planilha2!B:C,2,0)</f>
        <v>132 a 134</v>
      </c>
    </row>
    <row r="369" spans="1:10" ht="15.75" customHeight="1" x14ac:dyDescent="0.15">
      <c r="A369" s="4" t="s">
        <v>490</v>
      </c>
      <c r="B369" s="3" t="s">
        <v>89</v>
      </c>
      <c r="C369" s="1" t="s">
        <v>142</v>
      </c>
      <c r="D369" s="1" t="s">
        <v>89</v>
      </c>
      <c r="E369" s="1" t="s">
        <v>108</v>
      </c>
      <c r="F369" s="3">
        <v>165.58</v>
      </c>
      <c r="G369" s="1" t="s">
        <v>342</v>
      </c>
      <c r="H369" s="1" t="s">
        <v>665</v>
      </c>
      <c r="I369" s="1" t="s">
        <v>426</v>
      </c>
      <c r="J369" t="str">
        <f>VLOOKUP(H369,Planilha2!B:C,2,0)</f>
        <v>132 a 134</v>
      </c>
    </row>
    <row r="370" spans="1:10" ht="15.75" customHeight="1" x14ac:dyDescent="0.15">
      <c r="A370" s="4" t="s">
        <v>490</v>
      </c>
      <c r="B370" s="3" t="s">
        <v>43</v>
      </c>
      <c r="C370" s="1" t="s">
        <v>142</v>
      </c>
      <c r="D370" s="1" t="s">
        <v>43</v>
      </c>
      <c r="E370" s="1" t="s">
        <v>505</v>
      </c>
      <c r="F370" s="3">
        <v>149.16</v>
      </c>
      <c r="G370" s="1" t="s">
        <v>342</v>
      </c>
      <c r="H370" s="1" t="s">
        <v>665</v>
      </c>
      <c r="I370" s="1" t="s">
        <v>426</v>
      </c>
      <c r="J370" t="str">
        <f>VLOOKUP(H370,Planilha2!B:C,2,0)</f>
        <v>132 a 134</v>
      </c>
    </row>
    <row r="371" spans="1:10" ht="15.75" customHeight="1" x14ac:dyDescent="0.15">
      <c r="A371" s="4" t="s">
        <v>490</v>
      </c>
      <c r="B371" s="3" t="s">
        <v>523</v>
      </c>
      <c r="C371" s="1" t="s">
        <v>142</v>
      </c>
      <c r="D371" s="1" t="s">
        <v>523</v>
      </c>
      <c r="E371" s="1" t="s">
        <v>302</v>
      </c>
      <c r="F371" s="3">
        <v>59.61</v>
      </c>
      <c r="G371" s="1" t="s">
        <v>342</v>
      </c>
      <c r="H371" s="1" t="s">
        <v>665</v>
      </c>
      <c r="I371" s="1" t="s">
        <v>426</v>
      </c>
      <c r="J371" t="str">
        <f>VLOOKUP(H371,Planilha2!B:C,2,0)</f>
        <v>132 a 134</v>
      </c>
    </row>
    <row r="372" spans="1:10" ht="15.75" customHeight="1" x14ac:dyDescent="0.15">
      <c r="A372" s="4" t="s">
        <v>490</v>
      </c>
      <c r="B372" s="3" t="s">
        <v>129</v>
      </c>
      <c r="C372" s="1" t="s">
        <v>142</v>
      </c>
      <c r="D372" s="1" t="s">
        <v>129</v>
      </c>
      <c r="E372" s="1" t="s">
        <v>672</v>
      </c>
      <c r="F372" s="3">
        <v>29.76</v>
      </c>
      <c r="G372" s="1" t="s">
        <v>342</v>
      </c>
      <c r="H372" s="1" t="s">
        <v>665</v>
      </c>
      <c r="I372" s="1" t="s">
        <v>426</v>
      </c>
      <c r="J372" t="str">
        <f>VLOOKUP(H372,Planilha2!B:C,2,0)</f>
        <v>132 a 134</v>
      </c>
    </row>
    <row r="373" spans="1:10" ht="15.75" customHeight="1" x14ac:dyDescent="0.15">
      <c r="A373" s="4" t="s">
        <v>490</v>
      </c>
      <c r="B373" s="3" t="s">
        <v>877</v>
      </c>
      <c r="C373" s="1" t="s">
        <v>142</v>
      </c>
      <c r="D373" s="1" t="s">
        <v>877</v>
      </c>
      <c r="E373" s="1" t="s">
        <v>669</v>
      </c>
      <c r="F373" s="3">
        <v>59.61</v>
      </c>
      <c r="G373" s="1" t="s">
        <v>342</v>
      </c>
      <c r="H373" s="1" t="s">
        <v>665</v>
      </c>
      <c r="I373" s="1" t="s">
        <v>426</v>
      </c>
      <c r="J373" t="str">
        <f>VLOOKUP(H373,Planilha2!B:C,2,0)</f>
        <v>132 a 134</v>
      </c>
    </row>
    <row r="374" spans="1:10" ht="15.75" customHeight="1" x14ac:dyDescent="0.15">
      <c r="A374" s="4" t="s">
        <v>490</v>
      </c>
      <c r="B374" s="3" t="s">
        <v>192</v>
      </c>
      <c r="C374" s="1" t="s">
        <v>142</v>
      </c>
      <c r="D374" s="1" t="s">
        <v>192</v>
      </c>
      <c r="E374" s="1" t="s">
        <v>469</v>
      </c>
      <c r="F374" s="3">
        <v>51.65</v>
      </c>
      <c r="G374" s="1" t="s">
        <v>342</v>
      </c>
      <c r="H374" s="1" t="s">
        <v>665</v>
      </c>
      <c r="I374" s="1" t="s">
        <v>426</v>
      </c>
      <c r="J374" t="str">
        <f>VLOOKUP(H374,Planilha2!B:C,2,0)</f>
        <v>132 a 134</v>
      </c>
    </row>
    <row r="375" spans="1:10" ht="15.75" customHeight="1" x14ac:dyDescent="0.15">
      <c r="A375" s="4" t="s">
        <v>490</v>
      </c>
      <c r="B375" s="3" t="s">
        <v>421</v>
      </c>
      <c r="C375" s="1" t="s">
        <v>142</v>
      </c>
      <c r="D375" s="1" t="s">
        <v>421</v>
      </c>
      <c r="E375" s="1" t="s">
        <v>863</v>
      </c>
      <c r="F375" s="3">
        <v>29.76</v>
      </c>
      <c r="G375" s="1" t="s">
        <v>342</v>
      </c>
      <c r="H375" s="1" t="s">
        <v>665</v>
      </c>
      <c r="I375" s="1" t="s">
        <v>426</v>
      </c>
      <c r="J375" t="str">
        <f>VLOOKUP(H375,Planilha2!B:C,2,0)</f>
        <v>132 a 134</v>
      </c>
    </row>
    <row r="376" spans="1:10" ht="15.75" customHeight="1" x14ac:dyDescent="0.15">
      <c r="A376" s="4" t="s">
        <v>490</v>
      </c>
      <c r="B376" s="3" t="s">
        <v>415</v>
      </c>
      <c r="C376" s="1" t="s">
        <v>142</v>
      </c>
      <c r="D376" s="1" t="s">
        <v>415</v>
      </c>
      <c r="E376" s="1" t="s">
        <v>600</v>
      </c>
      <c r="F376" s="3">
        <v>81.400000000000006</v>
      </c>
      <c r="G376" s="1" t="s">
        <v>342</v>
      </c>
      <c r="H376" s="1" t="s">
        <v>665</v>
      </c>
      <c r="I376" s="1" t="s">
        <v>426</v>
      </c>
      <c r="J376" t="str">
        <f>VLOOKUP(H376,Planilha2!B:C,2,0)</f>
        <v>132 a 134</v>
      </c>
    </row>
    <row r="377" spans="1:10" ht="15.75" customHeight="1" x14ac:dyDescent="0.15">
      <c r="A377" s="4" t="s">
        <v>490</v>
      </c>
      <c r="B377" s="3" t="s">
        <v>83</v>
      </c>
      <c r="C377" s="1" t="s">
        <v>142</v>
      </c>
      <c r="D377" s="1" t="s">
        <v>83</v>
      </c>
      <c r="E377" s="1" t="s">
        <v>215</v>
      </c>
      <c r="F377" s="3">
        <v>51.65</v>
      </c>
      <c r="G377" s="1" t="s">
        <v>342</v>
      </c>
      <c r="H377" s="1" t="s">
        <v>665</v>
      </c>
      <c r="I377" s="1" t="s">
        <v>426</v>
      </c>
      <c r="J377" t="str">
        <f>VLOOKUP(H377,Planilha2!B:C,2,0)</f>
        <v>132 a 134</v>
      </c>
    </row>
    <row r="378" spans="1:10" ht="15.75" customHeight="1" x14ac:dyDescent="0.15">
      <c r="A378" s="4" t="s">
        <v>490</v>
      </c>
      <c r="B378" s="3" t="s">
        <v>862</v>
      </c>
      <c r="C378" s="1" t="s">
        <v>142</v>
      </c>
      <c r="D378" s="1" t="s">
        <v>862</v>
      </c>
      <c r="E378" s="1" t="s">
        <v>108</v>
      </c>
      <c r="F378" s="3">
        <v>10.77</v>
      </c>
      <c r="G378" s="1" t="s">
        <v>342</v>
      </c>
      <c r="H378" s="1" t="s">
        <v>665</v>
      </c>
      <c r="I378" s="1" t="s">
        <v>426</v>
      </c>
      <c r="J378" t="str">
        <f>VLOOKUP(H378,Planilha2!B:C,2,0)</f>
        <v>132 a 134</v>
      </c>
    </row>
    <row r="379" spans="1:10" ht="15.75" customHeight="1" x14ac:dyDescent="0.15">
      <c r="A379" s="4" t="s">
        <v>490</v>
      </c>
      <c r="B379" s="3" t="s">
        <v>830</v>
      </c>
      <c r="C379" s="1" t="s">
        <v>142</v>
      </c>
      <c r="D379" s="1" t="s">
        <v>830</v>
      </c>
      <c r="E379" s="1" t="s">
        <v>108</v>
      </c>
      <c r="F379" s="3">
        <v>104.35</v>
      </c>
      <c r="G379" s="1" t="s">
        <v>342</v>
      </c>
      <c r="H379" s="1" t="s">
        <v>665</v>
      </c>
      <c r="I379" s="1" t="s">
        <v>426</v>
      </c>
      <c r="J379" t="str">
        <f>VLOOKUP(H379,Planilha2!B:C,2,0)</f>
        <v>132 a 134</v>
      </c>
    </row>
    <row r="380" spans="1:10" ht="15.75" customHeight="1" x14ac:dyDescent="0.15">
      <c r="A380" s="4" t="s">
        <v>490</v>
      </c>
      <c r="B380" s="3" t="s">
        <v>15</v>
      </c>
      <c r="C380" s="1" t="s">
        <v>142</v>
      </c>
      <c r="D380" s="1" t="s">
        <v>15</v>
      </c>
      <c r="E380" s="1" t="s">
        <v>4</v>
      </c>
      <c r="F380" s="3">
        <v>268.08</v>
      </c>
      <c r="G380" s="1" t="s">
        <v>342</v>
      </c>
      <c r="H380" s="1" t="s">
        <v>665</v>
      </c>
      <c r="I380" s="1" t="s">
        <v>426</v>
      </c>
      <c r="J380" t="str">
        <f>VLOOKUP(H380,Planilha2!B:C,2,0)</f>
        <v>132 a 134</v>
      </c>
    </row>
    <row r="381" spans="1:10" ht="15.75" customHeight="1" x14ac:dyDescent="0.15">
      <c r="A381" s="4" t="s">
        <v>490</v>
      </c>
      <c r="B381" s="3" t="s">
        <v>616</v>
      </c>
      <c r="C381" s="1" t="s">
        <v>142</v>
      </c>
      <c r="D381" s="1" t="s">
        <v>616</v>
      </c>
      <c r="E381" s="1" t="s">
        <v>663</v>
      </c>
      <c r="F381" s="3">
        <v>70.02</v>
      </c>
      <c r="G381" s="1" t="s">
        <v>342</v>
      </c>
      <c r="H381" s="1" t="s">
        <v>665</v>
      </c>
      <c r="I381" s="1" t="s">
        <v>426</v>
      </c>
      <c r="J381" t="str">
        <f>VLOOKUP(H381,Planilha2!B:C,2,0)</f>
        <v>132 a 134</v>
      </c>
    </row>
    <row r="382" spans="1:10" ht="15.75" customHeight="1" x14ac:dyDescent="0.15">
      <c r="A382" s="4" t="s">
        <v>490</v>
      </c>
      <c r="B382" s="3" t="s">
        <v>691</v>
      </c>
      <c r="C382" s="1" t="s">
        <v>142</v>
      </c>
      <c r="D382" s="1" t="s">
        <v>691</v>
      </c>
      <c r="E382" s="1" t="s">
        <v>554</v>
      </c>
      <c r="F382" s="3">
        <v>10.9</v>
      </c>
      <c r="G382" s="1" t="s">
        <v>342</v>
      </c>
      <c r="H382" s="1" t="s">
        <v>665</v>
      </c>
      <c r="I382" s="1" t="s">
        <v>426</v>
      </c>
      <c r="J382" t="str">
        <f>VLOOKUP(H382,Planilha2!B:C,2,0)</f>
        <v>132 a 134</v>
      </c>
    </row>
    <row r="383" spans="1:10" ht="15.75" customHeight="1" x14ac:dyDescent="0.15">
      <c r="A383" s="4" t="s">
        <v>490</v>
      </c>
      <c r="B383" s="3" t="s">
        <v>292</v>
      </c>
      <c r="C383" s="1" t="s">
        <v>299</v>
      </c>
      <c r="D383" s="1" t="s">
        <v>292</v>
      </c>
      <c r="E383" s="1" t="s">
        <v>726</v>
      </c>
      <c r="F383" s="3">
        <v>63.78</v>
      </c>
      <c r="G383" s="1" t="s">
        <v>342</v>
      </c>
      <c r="H383" s="1" t="s">
        <v>665</v>
      </c>
      <c r="I383" s="1" t="s">
        <v>426</v>
      </c>
      <c r="J383" t="str">
        <f>VLOOKUP(H383,Planilha2!B:C,2,0)</f>
        <v>132 a 134</v>
      </c>
    </row>
    <row r="384" spans="1:10" ht="15.75" customHeight="1" x14ac:dyDescent="0.15">
      <c r="A384" s="4" t="s">
        <v>490</v>
      </c>
      <c r="B384" s="3" t="s">
        <v>464</v>
      </c>
      <c r="C384" s="1" t="s">
        <v>299</v>
      </c>
      <c r="D384" s="1" t="s">
        <v>464</v>
      </c>
      <c r="E384" s="1" t="s">
        <v>607</v>
      </c>
      <c r="F384" s="3">
        <v>58.69</v>
      </c>
      <c r="G384" s="1" t="s">
        <v>342</v>
      </c>
      <c r="H384" s="1" t="s">
        <v>665</v>
      </c>
      <c r="I384" s="1" t="s">
        <v>426</v>
      </c>
      <c r="J384" t="str">
        <f>VLOOKUP(H384,Planilha2!B:C,2,0)</f>
        <v>132 a 134</v>
      </c>
    </row>
    <row r="385" spans="1:10" ht="15.75" customHeight="1" x14ac:dyDescent="0.15">
      <c r="A385" s="4" t="s">
        <v>490</v>
      </c>
      <c r="B385" s="3" t="s">
        <v>305</v>
      </c>
      <c r="C385" s="1" t="s">
        <v>299</v>
      </c>
      <c r="D385" s="1" t="s">
        <v>305</v>
      </c>
      <c r="E385" s="1" t="s">
        <v>389</v>
      </c>
      <c r="F385" s="3">
        <v>161</v>
      </c>
      <c r="G385" s="1" t="s">
        <v>342</v>
      </c>
      <c r="H385" s="1" t="s">
        <v>665</v>
      </c>
      <c r="I385" s="1" t="s">
        <v>426</v>
      </c>
      <c r="J385" t="str">
        <f>VLOOKUP(H385,Planilha2!B:C,2,0)</f>
        <v>132 a 134</v>
      </c>
    </row>
    <row r="386" spans="1:10" ht="15.75" customHeight="1" x14ac:dyDescent="0.15">
      <c r="A386" s="4" t="s">
        <v>490</v>
      </c>
      <c r="B386" s="3" t="s">
        <v>782</v>
      </c>
      <c r="C386" s="1" t="s">
        <v>299</v>
      </c>
      <c r="D386" s="1" t="s">
        <v>782</v>
      </c>
      <c r="E386" s="1" t="s">
        <v>108</v>
      </c>
      <c r="F386" s="3">
        <v>385.64</v>
      </c>
      <c r="G386" s="1" t="s">
        <v>342</v>
      </c>
      <c r="H386" s="1" t="s">
        <v>665</v>
      </c>
      <c r="I386" s="1" t="s">
        <v>426</v>
      </c>
      <c r="J386" t="str">
        <f>VLOOKUP(H386,Planilha2!B:C,2,0)</f>
        <v>132 a 134</v>
      </c>
    </row>
    <row r="387" spans="1:10" ht="15.75" customHeight="1" x14ac:dyDescent="0.15">
      <c r="A387" s="4" t="s">
        <v>490</v>
      </c>
      <c r="B387" s="3" t="s">
        <v>59</v>
      </c>
      <c r="C387" s="1" t="s">
        <v>299</v>
      </c>
      <c r="D387" s="1" t="s">
        <v>59</v>
      </c>
      <c r="E387" s="1" t="s">
        <v>108</v>
      </c>
      <c r="F387" s="3">
        <v>163.63</v>
      </c>
      <c r="G387" s="1" t="s">
        <v>342</v>
      </c>
      <c r="H387" s="1" t="s">
        <v>665</v>
      </c>
      <c r="I387" s="1" t="s">
        <v>426</v>
      </c>
      <c r="J387" t="str">
        <f>VLOOKUP(H387,Planilha2!B:C,2,0)</f>
        <v>132 a 134</v>
      </c>
    </row>
    <row r="388" spans="1:10" ht="15.75" customHeight="1" x14ac:dyDescent="0.15">
      <c r="A388" s="4" t="s">
        <v>281</v>
      </c>
      <c r="B388" s="3" t="s">
        <v>282</v>
      </c>
      <c r="C388" s="1" t="s">
        <v>299</v>
      </c>
      <c r="D388" s="1" t="s">
        <v>282</v>
      </c>
      <c r="E388" s="1" t="s">
        <v>370</v>
      </c>
      <c r="F388" s="3">
        <v>-200.04</v>
      </c>
      <c r="G388" s="1" t="s">
        <v>342</v>
      </c>
      <c r="H388" s="1" t="s">
        <v>617</v>
      </c>
      <c r="I388" s="1" t="s">
        <v>2186</v>
      </c>
      <c r="J388">
        <f>VLOOKUP(H388,Planilha2!B:C,2,0)</f>
        <v>238</v>
      </c>
    </row>
    <row r="389" spans="1:10" ht="15.75" customHeight="1" x14ac:dyDescent="0.15">
      <c r="A389" s="4" t="s">
        <v>490</v>
      </c>
      <c r="B389" s="3" t="s">
        <v>595</v>
      </c>
      <c r="C389" s="1" t="s">
        <v>71</v>
      </c>
      <c r="D389" s="1" t="s">
        <v>595</v>
      </c>
      <c r="E389" s="1" t="s">
        <v>108</v>
      </c>
      <c r="F389" s="3">
        <v>34.94</v>
      </c>
      <c r="G389" s="1" t="s">
        <v>342</v>
      </c>
      <c r="H389" s="1" t="s">
        <v>665</v>
      </c>
      <c r="I389" s="1" t="s">
        <v>426</v>
      </c>
      <c r="J389" t="str">
        <f>VLOOKUP(H389,Planilha2!B:C,2,0)</f>
        <v>132 a 134</v>
      </c>
    </row>
    <row r="390" spans="1:10" ht="15.75" customHeight="1" x14ac:dyDescent="0.15">
      <c r="A390" s="4" t="s">
        <v>490</v>
      </c>
      <c r="B390" s="3" t="s">
        <v>833</v>
      </c>
      <c r="C390" s="1" t="s">
        <v>71</v>
      </c>
      <c r="D390" s="1" t="s">
        <v>833</v>
      </c>
      <c r="E390" s="1" t="s">
        <v>108</v>
      </c>
      <c r="F390" s="3">
        <v>91.86</v>
      </c>
      <c r="G390" s="1" t="s">
        <v>342</v>
      </c>
      <c r="H390" s="1" t="s">
        <v>665</v>
      </c>
      <c r="I390" s="1" t="s">
        <v>426</v>
      </c>
      <c r="J390" t="str">
        <f>VLOOKUP(H390,Planilha2!B:C,2,0)</f>
        <v>132 a 134</v>
      </c>
    </row>
    <row r="391" spans="1:10" ht="15.75" customHeight="1" x14ac:dyDescent="0.15">
      <c r="A391" s="4" t="s">
        <v>490</v>
      </c>
      <c r="B391" s="3" t="s">
        <v>312</v>
      </c>
      <c r="C391" s="1" t="s">
        <v>71</v>
      </c>
      <c r="D391" s="1" t="s">
        <v>312</v>
      </c>
      <c r="E391" s="1" t="s">
        <v>108</v>
      </c>
      <c r="F391" s="3">
        <v>35.68</v>
      </c>
      <c r="G391" s="1" t="s">
        <v>342</v>
      </c>
      <c r="H391" s="1" t="s">
        <v>665</v>
      </c>
      <c r="I391" s="1" t="s">
        <v>426</v>
      </c>
      <c r="J391" t="str">
        <f>VLOOKUP(H391,Planilha2!B:C,2,0)</f>
        <v>132 a 134</v>
      </c>
    </row>
    <row r="392" spans="1:10" ht="15.75" customHeight="1" x14ac:dyDescent="0.15">
      <c r="A392" s="4" t="s">
        <v>490</v>
      </c>
      <c r="B392" s="3" t="s">
        <v>359</v>
      </c>
      <c r="C392" s="1" t="s">
        <v>71</v>
      </c>
      <c r="D392" s="1" t="s">
        <v>359</v>
      </c>
      <c r="E392" s="1" t="s">
        <v>108</v>
      </c>
      <c r="F392" s="3">
        <v>10.44</v>
      </c>
      <c r="G392" s="1" t="s">
        <v>342</v>
      </c>
      <c r="H392" s="1" t="s">
        <v>665</v>
      </c>
      <c r="I392" s="1" t="s">
        <v>426</v>
      </c>
      <c r="J392" t="str">
        <f>VLOOKUP(H392,Planilha2!B:C,2,0)</f>
        <v>132 a 134</v>
      </c>
    </row>
    <row r="393" spans="1:10" ht="15.75" customHeight="1" x14ac:dyDescent="0.15">
      <c r="A393" s="4" t="s">
        <v>490</v>
      </c>
      <c r="B393" s="3" t="s">
        <v>841</v>
      </c>
      <c r="C393" s="1" t="s">
        <v>71</v>
      </c>
      <c r="D393" s="1" t="s">
        <v>841</v>
      </c>
      <c r="E393" s="1" t="s">
        <v>108</v>
      </c>
      <c r="F393" s="3">
        <v>42.04</v>
      </c>
      <c r="G393" s="1" t="s">
        <v>342</v>
      </c>
      <c r="H393" s="1" t="s">
        <v>665</v>
      </c>
      <c r="I393" s="1" t="s">
        <v>426</v>
      </c>
      <c r="J393" t="str">
        <f>VLOOKUP(H393,Planilha2!B:C,2,0)</f>
        <v>132 a 134</v>
      </c>
    </row>
    <row r="394" spans="1:10" ht="15.75" customHeight="1" x14ac:dyDescent="0.15">
      <c r="A394" s="4" t="s">
        <v>490</v>
      </c>
      <c r="B394" s="3" t="s">
        <v>188</v>
      </c>
      <c r="C394" s="1" t="s">
        <v>71</v>
      </c>
      <c r="D394" s="1" t="s">
        <v>188</v>
      </c>
      <c r="E394" s="1" t="s">
        <v>108</v>
      </c>
      <c r="F394" s="3">
        <v>106.02</v>
      </c>
      <c r="G394" s="1" t="s">
        <v>342</v>
      </c>
      <c r="H394" s="1" t="s">
        <v>665</v>
      </c>
      <c r="I394" s="1" t="s">
        <v>426</v>
      </c>
      <c r="J394" t="str">
        <f>VLOOKUP(H394,Planilha2!B:C,2,0)</f>
        <v>132 a 134</v>
      </c>
    </row>
    <row r="395" spans="1:10" ht="15.75" customHeight="1" x14ac:dyDescent="0.15">
      <c r="A395" s="4" t="s">
        <v>490</v>
      </c>
      <c r="B395" s="3" t="s">
        <v>136</v>
      </c>
      <c r="C395" s="1" t="s">
        <v>71</v>
      </c>
      <c r="D395" s="1" t="s">
        <v>136</v>
      </c>
      <c r="E395" s="1" t="s">
        <v>108</v>
      </c>
      <c r="F395" s="3">
        <v>89.96</v>
      </c>
      <c r="G395" s="1" t="s">
        <v>342</v>
      </c>
      <c r="H395" s="1" t="s">
        <v>665</v>
      </c>
      <c r="I395" s="1" t="s">
        <v>426</v>
      </c>
      <c r="J395" t="str">
        <f>VLOOKUP(H395,Planilha2!B:C,2,0)</f>
        <v>132 a 134</v>
      </c>
    </row>
    <row r="396" spans="1:10" ht="15.75" customHeight="1" x14ac:dyDescent="0.15">
      <c r="A396" s="4" t="s">
        <v>490</v>
      </c>
      <c r="B396" s="3" t="s">
        <v>627</v>
      </c>
      <c r="C396" s="1" t="s">
        <v>71</v>
      </c>
      <c r="D396" s="1" t="s">
        <v>627</v>
      </c>
      <c r="E396" s="1" t="s">
        <v>108</v>
      </c>
      <c r="F396" s="3">
        <v>235.33</v>
      </c>
      <c r="G396" s="1" t="s">
        <v>342</v>
      </c>
      <c r="H396" s="1" t="s">
        <v>665</v>
      </c>
      <c r="I396" s="1" t="s">
        <v>426</v>
      </c>
      <c r="J396" t="str">
        <f>VLOOKUP(H396,Planilha2!B:C,2,0)</f>
        <v>132 a 134</v>
      </c>
    </row>
    <row r="397" spans="1:10" ht="15.75" customHeight="1" x14ac:dyDescent="0.15">
      <c r="A397" s="4" t="s">
        <v>490</v>
      </c>
      <c r="B397" s="3" t="s">
        <v>284</v>
      </c>
      <c r="C397" s="1" t="s">
        <v>71</v>
      </c>
      <c r="D397" s="1" t="s">
        <v>284</v>
      </c>
      <c r="E397" s="1" t="s">
        <v>108</v>
      </c>
      <c r="F397" s="3">
        <v>21.46</v>
      </c>
      <c r="G397" s="1" t="s">
        <v>342</v>
      </c>
      <c r="H397" s="1" t="s">
        <v>665</v>
      </c>
      <c r="I397" s="1" t="s">
        <v>426</v>
      </c>
      <c r="J397" t="str">
        <f>VLOOKUP(H397,Planilha2!B:C,2,0)</f>
        <v>132 a 134</v>
      </c>
    </row>
    <row r="398" spans="1:10" ht="15.75" customHeight="1" x14ac:dyDescent="0.15">
      <c r="A398" s="4" t="s">
        <v>490</v>
      </c>
      <c r="B398" s="3" t="s">
        <v>497</v>
      </c>
      <c r="C398" s="1" t="s">
        <v>71</v>
      </c>
      <c r="D398" s="1" t="s">
        <v>497</v>
      </c>
      <c r="E398" s="1" t="s">
        <v>108</v>
      </c>
      <c r="F398" s="3">
        <v>10.77</v>
      </c>
      <c r="G398" s="1" t="s">
        <v>342</v>
      </c>
      <c r="H398" s="1" t="s">
        <v>665</v>
      </c>
      <c r="I398" s="1" t="s">
        <v>426</v>
      </c>
      <c r="J398" t="str">
        <f>VLOOKUP(H398,Planilha2!B:C,2,0)</f>
        <v>132 a 134</v>
      </c>
    </row>
    <row r="399" spans="1:10" ht="15.75" customHeight="1" x14ac:dyDescent="0.15">
      <c r="A399" s="4" t="s">
        <v>490</v>
      </c>
      <c r="B399" s="3" t="s">
        <v>851</v>
      </c>
      <c r="C399" s="1" t="s">
        <v>71</v>
      </c>
      <c r="D399" s="1" t="s">
        <v>851</v>
      </c>
      <c r="E399" s="1" t="s">
        <v>572</v>
      </c>
      <c r="F399" s="3">
        <v>1500</v>
      </c>
      <c r="G399" s="1" t="s">
        <v>342</v>
      </c>
      <c r="H399" s="1" t="s">
        <v>665</v>
      </c>
      <c r="I399" s="1" t="s">
        <v>426</v>
      </c>
      <c r="J399" t="str">
        <f>VLOOKUP(H399,Planilha2!B:C,2,0)</f>
        <v>132 a 134</v>
      </c>
    </row>
  </sheetData>
  <autoFilter ref="A1:J399" xr:uid="{D0003D3D-1B38-43E3-AEE6-1797B4754FDD}"/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A764-E106-45DD-8DDE-998668454814}">
  <dimension ref="A1:C112"/>
  <sheetViews>
    <sheetView topLeftCell="A15" workbookViewId="0">
      <selection activeCell="F39" sqref="F39"/>
    </sheetView>
  </sheetViews>
  <sheetFormatPr defaultRowHeight="12.75" x14ac:dyDescent="0.15"/>
  <cols>
    <col min="1" max="1" width="24" style="6" customWidth="1"/>
    <col min="2" max="2" width="68.5" style="6" customWidth="1"/>
    <col min="3" max="3" width="22.33203125" style="6" bestFit="1" customWidth="1"/>
  </cols>
  <sheetData>
    <row r="1" spans="1:3" ht="15" x14ac:dyDescent="0.25">
      <c r="A1" s="14" t="s">
        <v>2076</v>
      </c>
      <c r="B1" s="14" t="s">
        <v>549</v>
      </c>
      <c r="C1" s="14" t="s">
        <v>2077</v>
      </c>
    </row>
    <row r="2" spans="1:3" ht="25.5" x14ac:dyDescent="0.15">
      <c r="A2" s="15">
        <v>0</v>
      </c>
      <c r="B2" s="15" t="s">
        <v>2078</v>
      </c>
      <c r="C2" s="15">
        <v>62</v>
      </c>
    </row>
    <row r="3" spans="1:3" x14ac:dyDescent="0.15">
      <c r="A3" s="15">
        <v>2</v>
      </c>
      <c r="B3" s="15" t="s">
        <v>665</v>
      </c>
      <c r="C3" s="15" t="s">
        <v>2079</v>
      </c>
    </row>
    <row r="4" spans="1:3" x14ac:dyDescent="0.15">
      <c r="A4" s="15">
        <v>3</v>
      </c>
      <c r="B4" s="15" t="s">
        <v>2080</v>
      </c>
      <c r="C4" s="15">
        <v>28</v>
      </c>
    </row>
    <row r="5" spans="1:3" x14ac:dyDescent="0.15">
      <c r="A5" s="15">
        <v>4</v>
      </c>
      <c r="B5" s="15" t="s">
        <v>2081</v>
      </c>
      <c r="C5" s="15">
        <v>134</v>
      </c>
    </row>
    <row r="6" spans="1:3" x14ac:dyDescent="0.15">
      <c r="A6" s="15">
        <v>10</v>
      </c>
      <c r="B6" s="15" t="s">
        <v>2082</v>
      </c>
      <c r="C6" s="15" t="s">
        <v>2083</v>
      </c>
    </row>
    <row r="7" spans="1:3" x14ac:dyDescent="0.15">
      <c r="A7" s="15">
        <v>11</v>
      </c>
      <c r="B7" s="15" t="s">
        <v>2084</v>
      </c>
      <c r="C7" s="15">
        <v>752</v>
      </c>
    </row>
    <row r="8" spans="1:3" ht="25.5" x14ac:dyDescent="0.15">
      <c r="A8" s="15">
        <v>12</v>
      </c>
      <c r="B8" s="15" t="s">
        <v>2085</v>
      </c>
      <c r="C8" s="15">
        <v>752</v>
      </c>
    </row>
    <row r="9" spans="1:3" x14ac:dyDescent="0.15">
      <c r="A9" s="15">
        <v>13</v>
      </c>
      <c r="B9" s="15" t="s">
        <v>2086</v>
      </c>
      <c r="C9" s="15">
        <v>185</v>
      </c>
    </row>
    <row r="10" spans="1:3" x14ac:dyDescent="0.15">
      <c r="A10" s="15">
        <v>14</v>
      </c>
      <c r="B10" s="15" t="s">
        <v>2087</v>
      </c>
      <c r="C10" s="15">
        <v>185</v>
      </c>
    </row>
    <row r="11" spans="1:3" x14ac:dyDescent="0.15">
      <c r="A11" s="15">
        <v>15</v>
      </c>
      <c r="B11" s="15" t="s">
        <v>2088</v>
      </c>
      <c r="C11" s="15">
        <v>752</v>
      </c>
    </row>
    <row r="12" spans="1:3" x14ac:dyDescent="0.15">
      <c r="A12" s="15">
        <v>16</v>
      </c>
      <c r="B12" s="15" t="s">
        <v>2089</v>
      </c>
      <c r="C12" s="15">
        <v>752</v>
      </c>
    </row>
    <row r="13" spans="1:3" x14ac:dyDescent="0.15">
      <c r="A13" s="15">
        <v>17</v>
      </c>
      <c r="B13" s="15" t="s">
        <v>2090</v>
      </c>
      <c r="C13" s="15">
        <v>752</v>
      </c>
    </row>
    <row r="14" spans="1:3" x14ac:dyDescent="0.15">
      <c r="A14" s="15">
        <v>18</v>
      </c>
      <c r="B14" s="15" t="s">
        <v>2091</v>
      </c>
      <c r="C14" s="15">
        <v>752</v>
      </c>
    </row>
    <row r="15" spans="1:3" x14ac:dyDescent="0.15">
      <c r="A15" s="15">
        <v>19</v>
      </c>
      <c r="B15" s="15" t="s">
        <v>2092</v>
      </c>
      <c r="C15" s="15">
        <v>752</v>
      </c>
    </row>
    <row r="16" spans="1:3" x14ac:dyDescent="0.15">
      <c r="A16" s="15">
        <v>20</v>
      </c>
      <c r="B16" s="15" t="s">
        <v>2093</v>
      </c>
      <c r="C16" s="15">
        <v>80</v>
      </c>
    </row>
    <row r="17" spans="1:3" x14ac:dyDescent="0.15">
      <c r="A17" s="15">
        <v>21</v>
      </c>
      <c r="B17" s="15" t="s">
        <v>2094</v>
      </c>
      <c r="C17" s="15">
        <v>80</v>
      </c>
    </row>
    <row r="18" spans="1:3" x14ac:dyDescent="0.15">
      <c r="A18" s="15">
        <v>21</v>
      </c>
      <c r="B18" s="15" t="s">
        <v>2095</v>
      </c>
      <c r="C18" s="15">
        <v>80</v>
      </c>
    </row>
    <row r="19" spans="1:3" x14ac:dyDescent="0.15">
      <c r="A19" s="15">
        <v>22</v>
      </c>
      <c r="B19" s="15" t="s">
        <v>2096</v>
      </c>
      <c r="C19" s="15">
        <v>805</v>
      </c>
    </row>
    <row r="20" spans="1:3" x14ac:dyDescent="0.15">
      <c r="A20" s="15">
        <v>22</v>
      </c>
      <c r="B20" s="15" t="s">
        <v>2096</v>
      </c>
      <c r="C20" s="15">
        <v>805</v>
      </c>
    </row>
    <row r="21" spans="1:3" x14ac:dyDescent="0.15">
      <c r="A21" s="15">
        <v>23</v>
      </c>
      <c r="B21" s="15" t="s">
        <v>2097</v>
      </c>
      <c r="C21" s="15">
        <v>68</v>
      </c>
    </row>
    <row r="22" spans="1:3" x14ac:dyDescent="0.15">
      <c r="A22" s="15">
        <v>24</v>
      </c>
      <c r="B22" s="15" t="s">
        <v>2098</v>
      </c>
      <c r="C22" s="15">
        <v>203</v>
      </c>
    </row>
    <row r="23" spans="1:3" x14ac:dyDescent="0.15">
      <c r="A23" s="15">
        <v>25</v>
      </c>
      <c r="B23" s="15" t="s">
        <v>2099</v>
      </c>
      <c r="C23" s="15">
        <v>202</v>
      </c>
    </row>
    <row r="24" spans="1:3" x14ac:dyDescent="0.15">
      <c r="A24" s="15">
        <v>26</v>
      </c>
      <c r="B24" s="15" t="s">
        <v>639</v>
      </c>
      <c r="C24" s="15">
        <v>201</v>
      </c>
    </row>
    <row r="25" spans="1:3" x14ac:dyDescent="0.15">
      <c r="A25" s="15">
        <v>27</v>
      </c>
      <c r="B25" s="15" t="s">
        <v>2100</v>
      </c>
      <c r="C25" s="15">
        <v>224</v>
      </c>
    </row>
    <row r="26" spans="1:3" x14ac:dyDescent="0.15">
      <c r="A26" s="15">
        <v>28</v>
      </c>
      <c r="B26" s="15" t="s">
        <v>2101</v>
      </c>
      <c r="C26" s="15">
        <v>181</v>
      </c>
    </row>
    <row r="27" spans="1:3" x14ac:dyDescent="0.15">
      <c r="A27" s="15">
        <v>29</v>
      </c>
      <c r="B27" s="15" t="s">
        <v>720</v>
      </c>
      <c r="C27" s="15">
        <v>245</v>
      </c>
    </row>
    <row r="28" spans="1:3" x14ac:dyDescent="0.15">
      <c r="A28" s="15">
        <v>30</v>
      </c>
      <c r="B28" s="15" t="s">
        <v>219</v>
      </c>
      <c r="C28" s="15">
        <v>164</v>
      </c>
    </row>
    <row r="29" spans="1:3" x14ac:dyDescent="0.15">
      <c r="A29" s="15">
        <v>31</v>
      </c>
      <c r="B29" s="15" t="s">
        <v>2102</v>
      </c>
      <c r="C29" s="15">
        <v>222</v>
      </c>
    </row>
    <row r="30" spans="1:3" x14ac:dyDescent="0.15">
      <c r="A30" s="15">
        <v>32</v>
      </c>
      <c r="B30" s="15" t="s">
        <v>2103</v>
      </c>
      <c r="C30" s="15">
        <v>165</v>
      </c>
    </row>
    <row r="31" spans="1:3" x14ac:dyDescent="0.15">
      <c r="A31" s="15">
        <v>33</v>
      </c>
      <c r="B31" s="15" t="s">
        <v>2104</v>
      </c>
      <c r="C31" s="15">
        <v>752</v>
      </c>
    </row>
    <row r="32" spans="1:3" x14ac:dyDescent="0.15">
      <c r="A32" s="15">
        <v>34</v>
      </c>
      <c r="B32" s="15" t="s">
        <v>617</v>
      </c>
      <c r="C32" s="15">
        <v>238</v>
      </c>
    </row>
    <row r="33" spans="1:3" x14ac:dyDescent="0.15">
      <c r="A33" s="15">
        <v>35</v>
      </c>
      <c r="B33" s="15" t="s">
        <v>2105</v>
      </c>
      <c r="C33" s="15">
        <v>206</v>
      </c>
    </row>
    <row r="34" spans="1:3" x14ac:dyDescent="0.15">
      <c r="A34" s="15">
        <v>36</v>
      </c>
      <c r="B34" s="15" t="s">
        <v>2106</v>
      </c>
      <c r="C34" s="15">
        <v>220</v>
      </c>
    </row>
    <row r="35" spans="1:3" x14ac:dyDescent="0.15">
      <c r="A35" s="15">
        <v>37</v>
      </c>
      <c r="B35" s="15" t="s">
        <v>2107</v>
      </c>
      <c r="C35" s="15">
        <v>229</v>
      </c>
    </row>
    <row r="36" spans="1:3" x14ac:dyDescent="0.15">
      <c r="A36" s="15">
        <v>38</v>
      </c>
      <c r="B36" s="15" t="s">
        <v>2108</v>
      </c>
      <c r="C36" s="15">
        <v>165</v>
      </c>
    </row>
    <row r="37" spans="1:3" x14ac:dyDescent="0.15">
      <c r="A37" s="15">
        <v>39</v>
      </c>
      <c r="B37" s="15" t="s">
        <v>2109</v>
      </c>
      <c r="C37" s="15">
        <v>200</v>
      </c>
    </row>
    <row r="38" spans="1:3" x14ac:dyDescent="0.15">
      <c r="A38" s="15">
        <v>40</v>
      </c>
      <c r="B38" s="15" t="s">
        <v>2110</v>
      </c>
      <c r="C38" s="15">
        <v>40</v>
      </c>
    </row>
    <row r="39" spans="1:3" x14ac:dyDescent="0.15">
      <c r="A39" s="15">
        <v>41</v>
      </c>
      <c r="B39" s="15" t="s">
        <v>2111</v>
      </c>
      <c r="C39" s="15">
        <v>41</v>
      </c>
    </row>
    <row r="40" spans="1:3" x14ac:dyDescent="0.15">
      <c r="A40" s="15">
        <v>42</v>
      </c>
      <c r="B40" s="15" t="s">
        <v>2112</v>
      </c>
      <c r="C40" s="15">
        <v>263</v>
      </c>
    </row>
    <row r="41" spans="1:3" x14ac:dyDescent="0.15">
      <c r="A41" s="15">
        <v>43</v>
      </c>
      <c r="B41" s="15" t="s">
        <v>2113</v>
      </c>
      <c r="C41" s="15">
        <v>211</v>
      </c>
    </row>
    <row r="42" spans="1:3" x14ac:dyDescent="0.15">
      <c r="A42" s="15">
        <v>44</v>
      </c>
      <c r="B42" s="15" t="s">
        <v>2114</v>
      </c>
      <c r="C42" s="15">
        <v>207</v>
      </c>
    </row>
    <row r="43" spans="1:3" x14ac:dyDescent="0.15">
      <c r="A43" s="15">
        <v>45</v>
      </c>
      <c r="B43" s="15" t="s">
        <v>2115</v>
      </c>
      <c r="C43" s="15">
        <v>236</v>
      </c>
    </row>
    <row r="44" spans="1:3" x14ac:dyDescent="0.15">
      <c r="A44" s="15">
        <v>46</v>
      </c>
      <c r="B44" s="15" t="s">
        <v>2116</v>
      </c>
      <c r="C44" s="15">
        <v>239</v>
      </c>
    </row>
    <row r="45" spans="1:3" x14ac:dyDescent="0.15">
      <c r="A45" s="15">
        <v>47</v>
      </c>
      <c r="B45" s="15" t="s">
        <v>2117</v>
      </c>
      <c r="C45" s="15">
        <v>210</v>
      </c>
    </row>
    <row r="46" spans="1:3" x14ac:dyDescent="0.15">
      <c r="A46" s="15">
        <v>48</v>
      </c>
      <c r="B46" s="15" t="s">
        <v>2118</v>
      </c>
      <c r="C46" s="15">
        <v>64</v>
      </c>
    </row>
    <row r="47" spans="1:3" x14ac:dyDescent="0.15">
      <c r="A47" s="15">
        <v>49</v>
      </c>
      <c r="B47" s="15" t="s">
        <v>2119</v>
      </c>
      <c r="C47" s="15">
        <v>64</v>
      </c>
    </row>
    <row r="48" spans="1:3" x14ac:dyDescent="0.15">
      <c r="A48" s="15">
        <v>50</v>
      </c>
      <c r="B48" s="15" t="s">
        <v>2120</v>
      </c>
      <c r="C48" s="15">
        <v>64</v>
      </c>
    </row>
    <row r="49" spans="1:3" x14ac:dyDescent="0.15">
      <c r="A49" s="15">
        <v>51</v>
      </c>
      <c r="B49" s="15" t="s">
        <v>2121</v>
      </c>
      <c r="C49" s="15">
        <v>64</v>
      </c>
    </row>
    <row r="50" spans="1:3" x14ac:dyDescent="0.15">
      <c r="A50" s="15">
        <v>52</v>
      </c>
      <c r="B50" s="15" t="s">
        <v>2122</v>
      </c>
      <c r="C50" s="15">
        <v>64</v>
      </c>
    </row>
    <row r="51" spans="1:3" x14ac:dyDescent="0.15">
      <c r="A51" s="15">
        <v>53</v>
      </c>
      <c r="B51" s="15" t="s">
        <v>2123</v>
      </c>
      <c r="C51" s="15">
        <v>64</v>
      </c>
    </row>
    <row r="52" spans="1:3" x14ac:dyDescent="0.15">
      <c r="A52" s="15">
        <v>54</v>
      </c>
      <c r="B52" s="15" t="s">
        <v>2124</v>
      </c>
      <c r="C52" s="15">
        <v>64</v>
      </c>
    </row>
    <row r="53" spans="1:3" x14ac:dyDescent="0.15">
      <c r="A53" s="15">
        <v>55</v>
      </c>
      <c r="B53" s="15" t="s">
        <v>2125</v>
      </c>
      <c r="C53" s="15">
        <v>64</v>
      </c>
    </row>
    <row r="54" spans="1:3" x14ac:dyDescent="0.15">
      <c r="A54" s="15">
        <v>56</v>
      </c>
      <c r="B54" s="15" t="s">
        <v>2126</v>
      </c>
      <c r="C54" s="15">
        <v>67</v>
      </c>
    </row>
    <row r="55" spans="1:3" x14ac:dyDescent="0.15">
      <c r="A55" s="15">
        <v>57</v>
      </c>
      <c r="B55" s="15" t="s">
        <v>2127</v>
      </c>
      <c r="C55" s="15">
        <v>67</v>
      </c>
    </row>
    <row r="56" spans="1:3" x14ac:dyDescent="0.15">
      <c r="A56" s="15">
        <v>58</v>
      </c>
      <c r="B56" s="15" t="s">
        <v>2128</v>
      </c>
      <c r="C56" s="15">
        <v>66</v>
      </c>
    </row>
    <row r="57" spans="1:3" x14ac:dyDescent="0.15">
      <c r="A57" s="15">
        <v>59</v>
      </c>
      <c r="B57" s="15" t="s">
        <v>2129</v>
      </c>
      <c r="C57" s="15">
        <v>66</v>
      </c>
    </row>
    <row r="58" spans="1:3" x14ac:dyDescent="0.15">
      <c r="A58" s="15">
        <v>60</v>
      </c>
      <c r="B58" s="15" t="s">
        <v>2130</v>
      </c>
      <c r="C58" s="15">
        <v>73</v>
      </c>
    </row>
    <row r="59" spans="1:3" x14ac:dyDescent="0.15">
      <c r="A59" s="15">
        <v>61</v>
      </c>
      <c r="B59" s="15" t="s">
        <v>2131</v>
      </c>
      <c r="C59" s="15">
        <v>214</v>
      </c>
    </row>
    <row r="60" spans="1:3" x14ac:dyDescent="0.15">
      <c r="A60" s="15">
        <v>62</v>
      </c>
      <c r="B60" s="15" t="s">
        <v>2132</v>
      </c>
      <c r="C60" s="15">
        <v>198</v>
      </c>
    </row>
    <row r="61" spans="1:3" x14ac:dyDescent="0.15">
      <c r="A61" s="15">
        <v>63</v>
      </c>
      <c r="B61" s="15" t="s">
        <v>2133</v>
      </c>
      <c r="C61" s="15">
        <v>211</v>
      </c>
    </row>
    <row r="62" spans="1:3" x14ac:dyDescent="0.15">
      <c r="A62" s="15">
        <v>64</v>
      </c>
      <c r="B62" s="15" t="s">
        <v>2134</v>
      </c>
      <c r="C62" s="15">
        <v>73</v>
      </c>
    </row>
    <row r="63" spans="1:3" x14ac:dyDescent="0.15">
      <c r="A63" s="15">
        <v>65</v>
      </c>
      <c r="B63" s="15" t="s">
        <v>2135</v>
      </c>
      <c r="C63" s="15">
        <v>67</v>
      </c>
    </row>
    <row r="64" spans="1:3" x14ac:dyDescent="0.15">
      <c r="A64" s="15">
        <v>66</v>
      </c>
      <c r="B64" s="15" t="s">
        <v>2136</v>
      </c>
      <c r="C64" s="15">
        <v>218</v>
      </c>
    </row>
    <row r="65" spans="1:3" x14ac:dyDescent="0.15">
      <c r="A65" s="15">
        <v>67</v>
      </c>
      <c r="B65" s="15" t="s">
        <v>2137</v>
      </c>
      <c r="C65" s="15">
        <v>217</v>
      </c>
    </row>
    <row r="66" spans="1:3" x14ac:dyDescent="0.15">
      <c r="A66" s="15">
        <v>68</v>
      </c>
      <c r="B66" s="15" t="s">
        <v>2138</v>
      </c>
      <c r="C66" s="15">
        <v>234</v>
      </c>
    </row>
    <row r="67" spans="1:3" x14ac:dyDescent="0.15">
      <c r="A67" s="15">
        <v>69</v>
      </c>
      <c r="B67" s="15" t="s">
        <v>2139</v>
      </c>
      <c r="C67" s="15">
        <v>200</v>
      </c>
    </row>
    <row r="68" spans="1:3" x14ac:dyDescent="0.15">
      <c r="A68" s="15">
        <v>70</v>
      </c>
      <c r="B68" s="15" t="s">
        <v>2140</v>
      </c>
      <c r="C68" s="15">
        <v>165</v>
      </c>
    </row>
    <row r="69" spans="1:3" x14ac:dyDescent="0.15">
      <c r="A69" s="15">
        <v>71</v>
      </c>
      <c r="B69" s="15" t="s">
        <v>2141</v>
      </c>
      <c r="C69" s="15">
        <v>247</v>
      </c>
    </row>
    <row r="70" spans="1:3" x14ac:dyDescent="0.15">
      <c r="A70" s="15">
        <v>72</v>
      </c>
      <c r="B70" s="15" t="s">
        <v>2142</v>
      </c>
      <c r="C70" s="15">
        <v>224</v>
      </c>
    </row>
    <row r="71" spans="1:3" x14ac:dyDescent="0.15">
      <c r="A71" s="15">
        <v>73</v>
      </c>
      <c r="B71" s="15" t="s">
        <v>2143</v>
      </c>
      <c r="C71" s="15">
        <v>219</v>
      </c>
    </row>
    <row r="72" spans="1:3" x14ac:dyDescent="0.15">
      <c r="A72" s="15">
        <v>74</v>
      </c>
      <c r="B72" s="15" t="s">
        <v>2144</v>
      </c>
      <c r="C72" s="15">
        <v>216</v>
      </c>
    </row>
    <row r="73" spans="1:3" x14ac:dyDescent="0.15">
      <c r="A73" s="15">
        <v>75</v>
      </c>
      <c r="B73" s="15" t="s">
        <v>2145</v>
      </c>
      <c r="C73" s="15">
        <v>196</v>
      </c>
    </row>
    <row r="74" spans="1:3" x14ac:dyDescent="0.15">
      <c r="A74" s="15">
        <v>76</v>
      </c>
      <c r="B74" s="15" t="s">
        <v>2146</v>
      </c>
      <c r="C74" s="15">
        <v>501</v>
      </c>
    </row>
    <row r="75" spans="1:3" x14ac:dyDescent="0.15">
      <c r="A75" s="15">
        <v>77</v>
      </c>
      <c r="B75" s="15" t="s">
        <v>2147</v>
      </c>
      <c r="C75" s="15">
        <v>225</v>
      </c>
    </row>
    <row r="76" spans="1:3" ht="38.25" x14ac:dyDescent="0.15">
      <c r="A76" s="15">
        <v>78</v>
      </c>
      <c r="B76" s="15" t="s">
        <v>2148</v>
      </c>
      <c r="C76" s="15" t="s">
        <v>2149</v>
      </c>
    </row>
    <row r="77" spans="1:3" x14ac:dyDescent="0.15">
      <c r="A77" s="15">
        <v>79</v>
      </c>
      <c r="B77" s="15" t="s">
        <v>2150</v>
      </c>
      <c r="C77" s="15">
        <v>233</v>
      </c>
    </row>
    <row r="78" spans="1:3" x14ac:dyDescent="0.15">
      <c r="A78" s="15">
        <v>80</v>
      </c>
      <c r="B78" s="15" t="s">
        <v>2151</v>
      </c>
      <c r="C78" s="15">
        <v>67</v>
      </c>
    </row>
    <row r="79" spans="1:3" x14ac:dyDescent="0.15">
      <c r="A79" s="15">
        <v>81</v>
      </c>
      <c r="B79" s="15" t="s">
        <v>2152</v>
      </c>
      <c r="C79" s="15">
        <v>165</v>
      </c>
    </row>
    <row r="80" spans="1:3" x14ac:dyDescent="0.15">
      <c r="A80" s="15">
        <v>82</v>
      </c>
      <c r="B80" s="15" t="s">
        <v>2153</v>
      </c>
      <c r="C80" s="15">
        <v>197</v>
      </c>
    </row>
    <row r="81" spans="1:3" x14ac:dyDescent="0.15">
      <c r="A81" s="15">
        <v>83</v>
      </c>
      <c r="B81" s="15" t="s">
        <v>2154</v>
      </c>
      <c r="C81" s="15">
        <v>255</v>
      </c>
    </row>
    <row r="82" spans="1:3" x14ac:dyDescent="0.15">
      <c r="A82" s="15">
        <v>84</v>
      </c>
      <c r="B82" s="16" t="s">
        <v>2155</v>
      </c>
      <c r="C82" s="15">
        <v>244</v>
      </c>
    </row>
    <row r="83" spans="1:3" x14ac:dyDescent="0.15">
      <c r="A83" s="15">
        <v>85</v>
      </c>
      <c r="B83" s="15" t="s">
        <v>2156</v>
      </c>
      <c r="C83" s="15">
        <v>710</v>
      </c>
    </row>
    <row r="84" spans="1:3" x14ac:dyDescent="0.15">
      <c r="A84" s="15">
        <v>86</v>
      </c>
      <c r="B84" s="15" t="s">
        <v>2157</v>
      </c>
      <c r="C84" s="15">
        <v>166</v>
      </c>
    </row>
    <row r="85" spans="1:3" x14ac:dyDescent="0.15">
      <c r="A85" s="15">
        <v>87</v>
      </c>
      <c r="B85" s="15" t="s">
        <v>2158</v>
      </c>
      <c r="C85" s="15">
        <v>193</v>
      </c>
    </row>
    <row r="86" spans="1:3" x14ac:dyDescent="0.15">
      <c r="A86" s="15">
        <v>88</v>
      </c>
      <c r="B86" s="15" t="s">
        <v>2159</v>
      </c>
      <c r="C86" s="15">
        <v>251</v>
      </c>
    </row>
    <row r="87" spans="1:3" x14ac:dyDescent="0.15">
      <c r="A87" s="15">
        <v>89</v>
      </c>
      <c r="B87" s="15" t="s">
        <v>2160</v>
      </c>
      <c r="C87" s="15">
        <v>215</v>
      </c>
    </row>
    <row r="88" spans="1:3" x14ac:dyDescent="0.15">
      <c r="A88" s="15">
        <v>90</v>
      </c>
      <c r="B88" s="15" t="s">
        <v>2161</v>
      </c>
      <c r="C88" s="15">
        <v>212</v>
      </c>
    </row>
    <row r="89" spans="1:3" x14ac:dyDescent="0.15">
      <c r="A89" s="15">
        <v>91</v>
      </c>
      <c r="B89" s="15" t="s">
        <v>2162</v>
      </c>
      <c r="C89" s="15">
        <v>227</v>
      </c>
    </row>
    <row r="90" spans="1:3" x14ac:dyDescent="0.15">
      <c r="A90" s="15">
        <v>92</v>
      </c>
      <c r="B90" s="15" t="s">
        <v>2163</v>
      </c>
      <c r="C90" s="15">
        <v>711</v>
      </c>
    </row>
    <row r="91" spans="1:3" x14ac:dyDescent="0.15">
      <c r="A91" s="15">
        <v>93</v>
      </c>
      <c r="B91" s="15" t="s">
        <v>2164</v>
      </c>
      <c r="C91" s="15">
        <v>186</v>
      </c>
    </row>
    <row r="92" spans="1:3" x14ac:dyDescent="0.15">
      <c r="A92" s="15">
        <v>94</v>
      </c>
      <c r="B92" s="15" t="s">
        <v>2165</v>
      </c>
      <c r="C92" s="15">
        <v>247</v>
      </c>
    </row>
    <row r="93" spans="1:3" x14ac:dyDescent="0.15">
      <c r="A93" s="15">
        <v>95</v>
      </c>
      <c r="B93" s="15" t="s">
        <v>2166</v>
      </c>
      <c r="C93" s="15">
        <v>179</v>
      </c>
    </row>
    <row r="94" spans="1:3" x14ac:dyDescent="0.15">
      <c r="A94" s="15">
        <v>96</v>
      </c>
      <c r="B94" s="15" t="s">
        <v>2167</v>
      </c>
      <c r="C94" s="15">
        <v>180</v>
      </c>
    </row>
    <row r="95" spans="1:3" x14ac:dyDescent="0.15">
      <c r="A95" s="15">
        <v>97</v>
      </c>
      <c r="B95" s="15" t="s">
        <v>2168</v>
      </c>
      <c r="C95" s="15">
        <v>238</v>
      </c>
    </row>
    <row r="96" spans="1:3" x14ac:dyDescent="0.15">
      <c r="A96" s="15">
        <v>98</v>
      </c>
      <c r="B96" s="15" t="s">
        <v>2169</v>
      </c>
      <c r="C96" s="15">
        <v>184</v>
      </c>
    </row>
    <row r="97" spans="1:3" x14ac:dyDescent="0.15">
      <c r="A97" s="15">
        <v>99</v>
      </c>
      <c r="B97" s="15" t="s">
        <v>2170</v>
      </c>
      <c r="C97" s="15">
        <v>187</v>
      </c>
    </row>
    <row r="98" spans="1:3" x14ac:dyDescent="0.15">
      <c r="A98" s="15">
        <v>100</v>
      </c>
      <c r="B98" s="15" t="s">
        <v>2171</v>
      </c>
      <c r="C98" s="15">
        <v>226</v>
      </c>
    </row>
    <row r="99" spans="1:3" x14ac:dyDescent="0.15">
      <c r="A99" s="15">
        <v>101</v>
      </c>
      <c r="B99" s="15" t="s">
        <v>2172</v>
      </c>
      <c r="C99" s="15">
        <v>237</v>
      </c>
    </row>
    <row r="100" spans="1:3" x14ac:dyDescent="0.15">
      <c r="A100" s="15">
        <v>102</v>
      </c>
      <c r="B100" s="15" t="s">
        <v>2173</v>
      </c>
      <c r="C100" s="15" t="s">
        <v>2174</v>
      </c>
    </row>
    <row r="101" spans="1:3" x14ac:dyDescent="0.15">
      <c r="A101" s="15">
        <v>103</v>
      </c>
      <c r="B101" s="15" t="s">
        <v>2175</v>
      </c>
      <c r="C101" s="15" t="s">
        <v>2176</v>
      </c>
    </row>
    <row r="102" spans="1:3" x14ac:dyDescent="0.15">
      <c r="A102" s="15">
        <v>104</v>
      </c>
      <c r="B102" s="15" t="s">
        <v>2177</v>
      </c>
      <c r="C102" s="15">
        <v>224</v>
      </c>
    </row>
    <row r="103" spans="1:3" x14ac:dyDescent="0.15">
      <c r="A103" s="15">
        <v>105</v>
      </c>
      <c r="B103" s="15" t="s">
        <v>2178</v>
      </c>
      <c r="C103" s="15">
        <v>67</v>
      </c>
    </row>
    <row r="104" spans="1:3" x14ac:dyDescent="0.15">
      <c r="A104" s="15">
        <v>106</v>
      </c>
      <c r="B104" s="15" t="s">
        <v>21</v>
      </c>
      <c r="C104" s="15">
        <v>0</v>
      </c>
    </row>
    <row r="105" spans="1:3" x14ac:dyDescent="0.15">
      <c r="A105" s="15">
        <v>107</v>
      </c>
      <c r="B105" s="15" t="s">
        <v>2179</v>
      </c>
      <c r="C105" s="15">
        <v>252</v>
      </c>
    </row>
    <row r="106" spans="1:3" x14ac:dyDescent="0.15">
      <c r="A106" s="15">
        <v>108</v>
      </c>
      <c r="B106" s="15" t="s">
        <v>2180</v>
      </c>
      <c r="C106" s="15" t="s">
        <v>2181</v>
      </c>
    </row>
    <row r="107" spans="1:3" x14ac:dyDescent="0.15">
      <c r="A107" s="15">
        <v>109</v>
      </c>
      <c r="B107" s="15" t="s">
        <v>2182</v>
      </c>
      <c r="C107" s="15">
        <v>73</v>
      </c>
    </row>
    <row r="108" spans="1:3" x14ac:dyDescent="0.15">
      <c r="A108" s="15">
        <v>110</v>
      </c>
      <c r="B108" s="15" t="s">
        <v>3</v>
      </c>
      <c r="C108" s="15">
        <v>41</v>
      </c>
    </row>
    <row r="109" spans="1:3" x14ac:dyDescent="0.15">
      <c r="A109" s="15">
        <v>111</v>
      </c>
      <c r="B109" s="15" t="s">
        <v>581</v>
      </c>
      <c r="C109" s="15">
        <v>76</v>
      </c>
    </row>
    <row r="110" spans="1:3" x14ac:dyDescent="0.15">
      <c r="A110" s="15">
        <v>112</v>
      </c>
      <c r="B110" s="15" t="s">
        <v>2183</v>
      </c>
      <c r="C110" s="15">
        <v>135</v>
      </c>
    </row>
    <row r="111" spans="1:3" x14ac:dyDescent="0.15">
      <c r="A111" s="15">
        <v>113</v>
      </c>
      <c r="B111" s="15" t="s">
        <v>2184</v>
      </c>
      <c r="C111" s="15">
        <v>237</v>
      </c>
    </row>
    <row r="112" spans="1:3" x14ac:dyDescent="0.15">
      <c r="A112" s="15">
        <v>114</v>
      </c>
      <c r="B112" s="15" t="s">
        <v>2185</v>
      </c>
      <c r="C112" s="15">
        <v>62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F0F28-DD64-4D7C-B419-D494BEDE2B9A}">
  <dimension ref="A1:U399"/>
  <sheetViews>
    <sheetView zoomScale="120" zoomScaleNormal="120" workbookViewId="0">
      <selection activeCell="I1" sqref="I1:I1048576"/>
    </sheetView>
  </sheetViews>
  <sheetFormatPr defaultRowHeight="10.5" x14ac:dyDescent="0.15"/>
  <cols>
    <col min="1" max="20" width="21" style="6" customWidth="1"/>
    <col min="21" max="16384" width="9.33203125" style="6"/>
  </cols>
  <sheetData>
    <row r="1" spans="1:21" ht="15" x14ac:dyDescent="0.25">
      <c r="A1" s="5" t="s">
        <v>897</v>
      </c>
      <c r="B1" s="5" t="s">
        <v>528</v>
      </c>
      <c r="C1" s="5" t="s">
        <v>425</v>
      </c>
      <c r="D1" s="5" t="s">
        <v>900</v>
      </c>
      <c r="E1" s="5"/>
      <c r="F1" s="5" t="s">
        <v>898</v>
      </c>
      <c r="G1" s="5" t="s">
        <v>899</v>
      </c>
      <c r="H1" s="5" t="s">
        <v>542</v>
      </c>
      <c r="I1" s="5"/>
      <c r="J1" s="5" t="s">
        <v>901</v>
      </c>
      <c r="K1" s="5" t="s">
        <v>902</v>
      </c>
      <c r="L1" s="5" t="s">
        <v>903</v>
      </c>
      <c r="M1" s="5" t="s">
        <v>904</v>
      </c>
      <c r="N1" s="5" t="s">
        <v>905</v>
      </c>
      <c r="O1" s="5" t="s">
        <v>906</v>
      </c>
      <c r="P1" s="5" t="s">
        <v>907</v>
      </c>
      <c r="Q1" s="5" t="s">
        <v>16</v>
      </c>
      <c r="R1" s="5" t="s">
        <v>908</v>
      </c>
      <c r="S1" s="5" t="s">
        <v>909</v>
      </c>
      <c r="T1" s="5" t="s">
        <v>910</v>
      </c>
      <c r="U1" s="5" t="s">
        <v>911</v>
      </c>
    </row>
    <row r="2" spans="1:21" x14ac:dyDescent="0.15">
      <c r="A2" s="7" t="s">
        <v>912</v>
      </c>
      <c r="B2" s="7" t="s">
        <v>913</v>
      </c>
      <c r="C2" s="7" t="s">
        <v>527</v>
      </c>
      <c r="D2" s="7" t="s">
        <v>916</v>
      </c>
      <c r="E2" s="7">
        <f>C2-D2</f>
        <v>77</v>
      </c>
      <c r="F2" s="7" t="s">
        <v>2069</v>
      </c>
      <c r="G2" s="7" t="s">
        <v>2067</v>
      </c>
      <c r="H2" s="7" t="s">
        <v>2070</v>
      </c>
      <c r="I2" s="9">
        <v>46023</v>
      </c>
      <c r="K2" s="7" t="s">
        <v>918</v>
      </c>
      <c r="L2" s="7" t="s">
        <v>919</v>
      </c>
      <c r="M2" s="7" t="s">
        <v>920</v>
      </c>
      <c r="N2" s="7" t="s">
        <v>921</v>
      </c>
      <c r="O2" s="7" t="s">
        <v>922</v>
      </c>
      <c r="P2" s="7" t="s">
        <v>923</v>
      </c>
      <c r="Q2" s="7" t="s">
        <v>924</v>
      </c>
      <c r="R2" s="7" t="s">
        <v>925</v>
      </c>
      <c r="S2" s="7" t="s">
        <v>926</v>
      </c>
      <c r="T2" s="7" t="s">
        <v>922</v>
      </c>
      <c r="U2" s="7" t="s">
        <v>927</v>
      </c>
    </row>
    <row r="3" spans="1:21" x14ac:dyDescent="0.15">
      <c r="A3" s="7" t="s">
        <v>912</v>
      </c>
      <c r="B3" s="7" t="s">
        <v>913</v>
      </c>
      <c r="C3" s="7" t="s">
        <v>462</v>
      </c>
      <c r="D3" s="7" t="s">
        <v>916</v>
      </c>
      <c r="E3" s="7">
        <f t="shared" ref="E3:E65" si="0">C3-D3</f>
        <v>32.380000000000003</v>
      </c>
      <c r="F3" s="7" t="s">
        <v>2071</v>
      </c>
      <c r="G3" s="7" t="s">
        <v>2069</v>
      </c>
      <c r="H3" s="7" t="s">
        <v>2070</v>
      </c>
      <c r="I3" s="10">
        <v>46023</v>
      </c>
      <c r="K3" s="7" t="s">
        <v>918</v>
      </c>
      <c r="L3" s="7" t="s">
        <v>919</v>
      </c>
      <c r="M3" s="7" t="s">
        <v>920</v>
      </c>
      <c r="N3" s="7" t="s">
        <v>921</v>
      </c>
      <c r="O3" s="7" t="s">
        <v>922</v>
      </c>
      <c r="P3" s="7" t="s">
        <v>923</v>
      </c>
      <c r="Q3" s="7" t="s">
        <v>924</v>
      </c>
      <c r="R3" s="7" t="s">
        <v>925</v>
      </c>
      <c r="S3" s="7" t="s">
        <v>926</v>
      </c>
      <c r="T3" s="7" t="s">
        <v>922</v>
      </c>
      <c r="U3" s="7" t="s">
        <v>927</v>
      </c>
    </row>
    <row r="4" spans="1:21" x14ac:dyDescent="0.15">
      <c r="A4" s="7" t="s">
        <v>912</v>
      </c>
      <c r="B4" s="7" t="s">
        <v>913</v>
      </c>
      <c r="C4" s="7" t="s">
        <v>767</v>
      </c>
      <c r="D4" s="7" t="s">
        <v>916</v>
      </c>
      <c r="E4" s="7">
        <f t="shared" si="0"/>
        <v>206.64</v>
      </c>
      <c r="F4" s="7" t="s">
        <v>2067</v>
      </c>
      <c r="G4" s="7" t="s">
        <v>2063</v>
      </c>
      <c r="H4" s="7" t="s">
        <v>2068</v>
      </c>
      <c r="I4" s="10">
        <v>46024</v>
      </c>
      <c r="K4" s="7" t="s">
        <v>918</v>
      </c>
      <c r="L4" s="7" t="s">
        <v>919</v>
      </c>
      <c r="M4" s="7" t="s">
        <v>920</v>
      </c>
      <c r="N4" s="7" t="s">
        <v>921</v>
      </c>
      <c r="O4" s="7" t="s">
        <v>922</v>
      </c>
      <c r="P4" s="7" t="s">
        <v>923</v>
      </c>
      <c r="Q4" s="7" t="s">
        <v>924</v>
      </c>
      <c r="R4" s="7" t="s">
        <v>925</v>
      </c>
      <c r="S4" s="7" t="s">
        <v>926</v>
      </c>
      <c r="T4" s="7" t="s">
        <v>922</v>
      </c>
      <c r="U4" s="7" t="s">
        <v>927</v>
      </c>
    </row>
    <row r="5" spans="1:21" x14ac:dyDescent="0.15">
      <c r="A5" s="7" t="s">
        <v>912</v>
      </c>
      <c r="B5" s="7" t="s">
        <v>972</v>
      </c>
      <c r="C5" s="7" t="s">
        <v>1141</v>
      </c>
      <c r="D5" s="7" t="s">
        <v>1143</v>
      </c>
      <c r="E5" s="7">
        <f t="shared" si="0"/>
        <v>29.85</v>
      </c>
      <c r="F5" s="7" t="s">
        <v>2063</v>
      </c>
      <c r="G5" s="7" t="s">
        <v>2062</v>
      </c>
      <c r="H5" s="7" t="s">
        <v>2064</v>
      </c>
      <c r="I5" s="10">
        <v>46026</v>
      </c>
      <c r="K5" s="7" t="s">
        <v>962</v>
      </c>
      <c r="L5" s="7" t="s">
        <v>919</v>
      </c>
      <c r="M5" s="7" t="s">
        <v>920</v>
      </c>
      <c r="N5" s="7" t="s">
        <v>921</v>
      </c>
      <c r="O5" s="7" t="s">
        <v>922</v>
      </c>
      <c r="P5" s="7" t="s">
        <v>923</v>
      </c>
      <c r="Q5" s="7" t="s">
        <v>2065</v>
      </c>
      <c r="R5" s="7" t="s">
        <v>2066</v>
      </c>
      <c r="S5" s="7" t="s">
        <v>958</v>
      </c>
      <c r="T5" s="7" t="s">
        <v>947</v>
      </c>
      <c r="U5" s="7" t="s">
        <v>947</v>
      </c>
    </row>
    <row r="6" spans="1:21" x14ac:dyDescent="0.15">
      <c r="A6" s="7" t="s">
        <v>912</v>
      </c>
      <c r="B6" s="7" t="s">
        <v>913</v>
      </c>
      <c r="C6" s="7" t="s">
        <v>460</v>
      </c>
      <c r="D6" s="7" t="s">
        <v>916</v>
      </c>
      <c r="E6" s="7">
        <f t="shared" si="0"/>
        <v>76.540000000000006</v>
      </c>
      <c r="F6" s="7" t="s">
        <v>2060</v>
      </c>
      <c r="G6" s="7" t="s">
        <v>2054</v>
      </c>
      <c r="H6" s="7" t="s">
        <v>2061</v>
      </c>
      <c r="I6" s="10">
        <v>46026</v>
      </c>
      <c r="K6" s="7" t="s">
        <v>918</v>
      </c>
      <c r="L6" s="7" t="s">
        <v>919</v>
      </c>
      <c r="M6" s="7" t="s">
        <v>920</v>
      </c>
      <c r="N6" s="7" t="s">
        <v>921</v>
      </c>
      <c r="O6" s="7" t="s">
        <v>922</v>
      </c>
      <c r="P6" s="7" t="s">
        <v>923</v>
      </c>
      <c r="Q6" s="7" t="s">
        <v>924</v>
      </c>
      <c r="R6" s="7" t="s">
        <v>925</v>
      </c>
      <c r="S6" s="7" t="s">
        <v>926</v>
      </c>
      <c r="T6" s="7" t="s">
        <v>922</v>
      </c>
      <c r="U6" s="7" t="s">
        <v>927</v>
      </c>
    </row>
    <row r="7" spans="1:21" x14ac:dyDescent="0.15">
      <c r="A7" s="7" t="s">
        <v>912</v>
      </c>
      <c r="B7" s="7" t="s">
        <v>913</v>
      </c>
      <c r="C7" s="7" t="s">
        <v>395</v>
      </c>
      <c r="D7" s="7" t="s">
        <v>916</v>
      </c>
      <c r="E7" s="7">
        <f t="shared" si="0"/>
        <v>182.58</v>
      </c>
      <c r="F7" s="7" t="s">
        <v>2062</v>
      </c>
      <c r="G7" s="7" t="s">
        <v>2060</v>
      </c>
      <c r="H7" s="7" t="s">
        <v>2061</v>
      </c>
      <c r="I7" s="10">
        <v>46026</v>
      </c>
      <c r="K7" s="7" t="s">
        <v>918</v>
      </c>
      <c r="L7" s="7" t="s">
        <v>919</v>
      </c>
      <c r="M7" s="7" t="s">
        <v>920</v>
      </c>
      <c r="N7" s="7" t="s">
        <v>921</v>
      </c>
      <c r="O7" s="7" t="s">
        <v>922</v>
      </c>
      <c r="P7" s="7" t="s">
        <v>923</v>
      </c>
      <c r="Q7" s="7" t="s">
        <v>924</v>
      </c>
      <c r="R7" s="7" t="s">
        <v>925</v>
      </c>
      <c r="S7" s="7" t="s">
        <v>926</v>
      </c>
      <c r="T7" s="7" t="s">
        <v>922</v>
      </c>
      <c r="U7" s="7" t="s">
        <v>927</v>
      </c>
    </row>
    <row r="8" spans="1:21" x14ac:dyDescent="0.15">
      <c r="A8" s="7" t="s">
        <v>912</v>
      </c>
      <c r="B8" s="7" t="s">
        <v>972</v>
      </c>
      <c r="C8" s="7" t="s">
        <v>2053</v>
      </c>
      <c r="D8" s="7" t="s">
        <v>2055</v>
      </c>
      <c r="E8" s="7">
        <f t="shared" si="0"/>
        <v>214.73000000000002</v>
      </c>
      <c r="F8" s="7" t="s">
        <v>2054</v>
      </c>
      <c r="G8" s="7" t="s">
        <v>2048</v>
      </c>
      <c r="H8" s="7" t="s">
        <v>2056</v>
      </c>
      <c r="I8" s="10">
        <v>46026</v>
      </c>
      <c r="K8" s="7" t="s">
        <v>962</v>
      </c>
      <c r="L8" s="7" t="s">
        <v>919</v>
      </c>
      <c r="M8" s="7" t="s">
        <v>920</v>
      </c>
      <c r="N8" s="7" t="s">
        <v>921</v>
      </c>
      <c r="O8" s="7" t="s">
        <v>922</v>
      </c>
      <c r="P8" s="7" t="s">
        <v>923</v>
      </c>
      <c r="Q8" s="7" t="s">
        <v>2057</v>
      </c>
      <c r="R8" s="7" t="s">
        <v>2058</v>
      </c>
      <c r="S8" s="7" t="s">
        <v>2059</v>
      </c>
      <c r="T8" s="7" t="s">
        <v>947</v>
      </c>
      <c r="U8" s="7" t="s">
        <v>947</v>
      </c>
    </row>
    <row r="9" spans="1:21" x14ac:dyDescent="0.15">
      <c r="A9" s="7" t="s">
        <v>912</v>
      </c>
      <c r="B9" s="7" t="s">
        <v>972</v>
      </c>
      <c r="C9" s="7" t="s">
        <v>2047</v>
      </c>
      <c r="D9" s="7" t="s">
        <v>2049</v>
      </c>
      <c r="E9" s="7">
        <f t="shared" si="0"/>
        <v>159.01000000000002</v>
      </c>
      <c r="F9" s="7" t="s">
        <v>2048</v>
      </c>
      <c r="G9" s="7" t="s">
        <v>2041</v>
      </c>
      <c r="H9" s="7" t="s">
        <v>2050</v>
      </c>
      <c r="I9" s="10">
        <v>46026</v>
      </c>
      <c r="K9" s="7" t="s">
        <v>962</v>
      </c>
      <c r="L9" s="7" t="s">
        <v>919</v>
      </c>
      <c r="M9" s="7" t="s">
        <v>920</v>
      </c>
      <c r="N9" s="7" t="s">
        <v>921</v>
      </c>
      <c r="O9" s="7" t="s">
        <v>922</v>
      </c>
      <c r="P9" s="7" t="s">
        <v>923</v>
      </c>
      <c r="Q9" s="7" t="s">
        <v>2051</v>
      </c>
      <c r="R9" s="7" t="s">
        <v>2052</v>
      </c>
      <c r="S9" s="7" t="s">
        <v>953</v>
      </c>
      <c r="T9" s="7" t="s">
        <v>947</v>
      </c>
      <c r="U9" s="7" t="s">
        <v>947</v>
      </c>
    </row>
    <row r="10" spans="1:21" x14ac:dyDescent="0.15">
      <c r="A10" s="7" t="s">
        <v>912</v>
      </c>
      <c r="B10" s="7" t="s">
        <v>972</v>
      </c>
      <c r="C10" s="7" t="s">
        <v>2040</v>
      </c>
      <c r="D10" s="7" t="s">
        <v>2042</v>
      </c>
      <c r="E10" s="7">
        <f t="shared" si="0"/>
        <v>220.91</v>
      </c>
      <c r="F10" s="7" t="s">
        <v>2041</v>
      </c>
      <c r="G10" s="7" t="s">
        <v>2035</v>
      </c>
      <c r="H10" s="7" t="s">
        <v>2043</v>
      </c>
      <c r="I10" s="10">
        <v>46026</v>
      </c>
      <c r="K10" s="7" t="s">
        <v>962</v>
      </c>
      <c r="L10" s="7" t="s">
        <v>919</v>
      </c>
      <c r="M10" s="7" t="s">
        <v>920</v>
      </c>
      <c r="N10" s="7" t="s">
        <v>921</v>
      </c>
      <c r="O10" s="7" t="s">
        <v>922</v>
      </c>
      <c r="P10" s="7" t="s">
        <v>923</v>
      </c>
      <c r="Q10" s="7" t="s">
        <v>2044</v>
      </c>
      <c r="R10" s="7" t="s">
        <v>2045</v>
      </c>
      <c r="S10" s="7" t="s">
        <v>2046</v>
      </c>
      <c r="T10" s="7" t="s">
        <v>947</v>
      </c>
      <c r="U10" s="7" t="s">
        <v>947</v>
      </c>
    </row>
    <row r="11" spans="1:21" x14ac:dyDescent="0.15">
      <c r="A11" s="7" t="s">
        <v>912</v>
      </c>
      <c r="B11" s="7" t="s">
        <v>972</v>
      </c>
      <c r="C11" s="7" t="s">
        <v>2034</v>
      </c>
      <c r="D11" s="7" t="s">
        <v>2036</v>
      </c>
      <c r="E11" s="7">
        <f t="shared" si="0"/>
        <v>128.72000000000003</v>
      </c>
      <c r="F11" s="7" t="s">
        <v>2035</v>
      </c>
      <c r="G11" s="7" t="s">
        <v>2030</v>
      </c>
      <c r="H11" s="7" t="s">
        <v>2037</v>
      </c>
      <c r="I11" s="10">
        <v>46026</v>
      </c>
      <c r="K11" s="7" t="s">
        <v>962</v>
      </c>
      <c r="L11" s="7" t="s">
        <v>919</v>
      </c>
      <c r="M11" s="7" t="s">
        <v>920</v>
      </c>
      <c r="N11" s="7" t="s">
        <v>921</v>
      </c>
      <c r="O11" s="7" t="s">
        <v>922</v>
      </c>
      <c r="P11" s="7" t="s">
        <v>923</v>
      </c>
      <c r="Q11" s="7" t="s">
        <v>2038</v>
      </c>
      <c r="R11" s="7" t="s">
        <v>2039</v>
      </c>
      <c r="S11" s="7" t="s">
        <v>953</v>
      </c>
      <c r="T11" s="7" t="s">
        <v>947</v>
      </c>
      <c r="U11" s="7" t="s">
        <v>947</v>
      </c>
    </row>
    <row r="12" spans="1:21" x14ac:dyDescent="0.15">
      <c r="A12" s="7" t="s">
        <v>912</v>
      </c>
      <c r="B12" s="7" t="s">
        <v>972</v>
      </c>
      <c r="C12" s="7" t="s">
        <v>973</v>
      </c>
      <c r="D12" s="7" t="s">
        <v>975</v>
      </c>
      <c r="E12" s="7">
        <f t="shared" si="0"/>
        <v>149.16</v>
      </c>
      <c r="F12" s="7" t="s">
        <v>2030</v>
      </c>
      <c r="G12" s="7" t="s">
        <v>2026</v>
      </c>
      <c r="H12" s="7" t="s">
        <v>2031</v>
      </c>
      <c r="I12" s="10">
        <v>46026</v>
      </c>
      <c r="K12" s="7" t="s">
        <v>962</v>
      </c>
      <c r="L12" s="7" t="s">
        <v>919</v>
      </c>
      <c r="M12" s="7" t="s">
        <v>920</v>
      </c>
      <c r="N12" s="7" t="s">
        <v>921</v>
      </c>
      <c r="O12" s="7" t="s">
        <v>922</v>
      </c>
      <c r="P12" s="7" t="s">
        <v>923</v>
      </c>
      <c r="Q12" s="7" t="s">
        <v>2032</v>
      </c>
      <c r="R12" s="7" t="s">
        <v>2033</v>
      </c>
      <c r="S12" s="7" t="s">
        <v>1178</v>
      </c>
      <c r="T12" s="7" t="s">
        <v>947</v>
      </c>
      <c r="U12" s="7" t="s">
        <v>947</v>
      </c>
    </row>
    <row r="13" spans="1:21" x14ac:dyDescent="0.15">
      <c r="A13" s="7" t="s">
        <v>912</v>
      </c>
      <c r="B13" s="7" t="s">
        <v>972</v>
      </c>
      <c r="C13" s="7" t="s">
        <v>2025</v>
      </c>
      <c r="D13" s="7" t="s">
        <v>1790</v>
      </c>
      <c r="E13" s="7">
        <f t="shared" si="0"/>
        <v>84.48</v>
      </c>
      <c r="F13" s="7" t="s">
        <v>2026</v>
      </c>
      <c r="G13" s="7" t="s">
        <v>2024</v>
      </c>
      <c r="H13" s="7" t="s">
        <v>2027</v>
      </c>
      <c r="I13" s="10">
        <v>46026</v>
      </c>
      <c r="K13" s="7" t="s">
        <v>962</v>
      </c>
      <c r="L13" s="7" t="s">
        <v>919</v>
      </c>
      <c r="M13" s="7" t="s">
        <v>920</v>
      </c>
      <c r="N13" s="7" t="s">
        <v>921</v>
      </c>
      <c r="O13" s="7" t="s">
        <v>922</v>
      </c>
      <c r="P13" s="7" t="s">
        <v>923</v>
      </c>
      <c r="Q13" s="7" t="s">
        <v>2028</v>
      </c>
      <c r="R13" s="7" t="s">
        <v>2029</v>
      </c>
      <c r="S13" s="7" t="s">
        <v>1033</v>
      </c>
      <c r="T13" s="7" t="s">
        <v>947</v>
      </c>
      <c r="U13" s="7" t="s">
        <v>947</v>
      </c>
    </row>
    <row r="14" spans="1:21" x14ac:dyDescent="0.15">
      <c r="A14" s="7" t="s">
        <v>912</v>
      </c>
      <c r="B14" s="7" t="s">
        <v>913</v>
      </c>
      <c r="C14" s="7" t="s">
        <v>483</v>
      </c>
      <c r="D14" s="7" t="s">
        <v>916</v>
      </c>
      <c r="E14" s="7">
        <f t="shared" si="0"/>
        <v>43.4</v>
      </c>
      <c r="F14" s="7" t="s">
        <v>2019</v>
      </c>
      <c r="G14" s="7" t="s">
        <v>2015</v>
      </c>
      <c r="H14" s="7" t="s">
        <v>2020</v>
      </c>
      <c r="I14" s="10">
        <v>46026</v>
      </c>
      <c r="K14" s="7" t="s">
        <v>918</v>
      </c>
      <c r="L14" s="7" t="s">
        <v>919</v>
      </c>
      <c r="M14" s="7" t="s">
        <v>920</v>
      </c>
      <c r="N14" s="7" t="s">
        <v>921</v>
      </c>
      <c r="O14" s="7" t="s">
        <v>922</v>
      </c>
      <c r="P14" s="7" t="s">
        <v>923</v>
      </c>
      <c r="Q14" s="7" t="s">
        <v>924</v>
      </c>
      <c r="R14" s="7" t="s">
        <v>925</v>
      </c>
      <c r="S14" s="7" t="s">
        <v>926</v>
      </c>
      <c r="T14" s="7" t="s">
        <v>922</v>
      </c>
      <c r="U14" s="7" t="s">
        <v>927</v>
      </c>
    </row>
    <row r="15" spans="1:21" x14ac:dyDescent="0.15">
      <c r="A15" s="7" t="s">
        <v>912</v>
      </c>
      <c r="B15" s="7" t="s">
        <v>913</v>
      </c>
      <c r="C15" s="7" t="s">
        <v>647</v>
      </c>
      <c r="D15" s="7" t="s">
        <v>916</v>
      </c>
      <c r="E15" s="7">
        <f t="shared" si="0"/>
        <v>298.64999999999998</v>
      </c>
      <c r="F15" s="7" t="s">
        <v>2021</v>
      </c>
      <c r="G15" s="7" t="s">
        <v>2019</v>
      </c>
      <c r="H15" s="7" t="s">
        <v>2020</v>
      </c>
      <c r="I15" s="10">
        <v>46026</v>
      </c>
      <c r="K15" s="7" t="s">
        <v>918</v>
      </c>
      <c r="L15" s="7" t="s">
        <v>919</v>
      </c>
      <c r="M15" s="7" t="s">
        <v>920</v>
      </c>
      <c r="N15" s="7" t="s">
        <v>921</v>
      </c>
      <c r="O15" s="7" t="s">
        <v>922</v>
      </c>
      <c r="P15" s="7" t="s">
        <v>923</v>
      </c>
      <c r="Q15" s="7" t="s">
        <v>924</v>
      </c>
      <c r="R15" s="7" t="s">
        <v>925</v>
      </c>
      <c r="S15" s="7" t="s">
        <v>926</v>
      </c>
      <c r="T15" s="7" t="s">
        <v>922</v>
      </c>
      <c r="U15" s="7" t="s">
        <v>927</v>
      </c>
    </row>
    <row r="16" spans="1:21" x14ac:dyDescent="0.15">
      <c r="A16" s="7" t="s">
        <v>912</v>
      </c>
      <c r="B16" s="7" t="s">
        <v>913</v>
      </c>
      <c r="C16" s="7" t="s">
        <v>734</v>
      </c>
      <c r="D16" s="7" t="s">
        <v>916</v>
      </c>
      <c r="E16" s="7">
        <f t="shared" si="0"/>
        <v>134.65</v>
      </c>
      <c r="F16" s="7" t="s">
        <v>2022</v>
      </c>
      <c r="G16" s="7" t="s">
        <v>2021</v>
      </c>
      <c r="H16" s="7" t="s">
        <v>2020</v>
      </c>
      <c r="I16" s="10">
        <v>46026</v>
      </c>
      <c r="K16" s="7" t="s">
        <v>918</v>
      </c>
      <c r="L16" s="7" t="s">
        <v>919</v>
      </c>
      <c r="M16" s="7" t="s">
        <v>920</v>
      </c>
      <c r="N16" s="7" t="s">
        <v>921</v>
      </c>
      <c r="O16" s="7" t="s">
        <v>922</v>
      </c>
      <c r="P16" s="7" t="s">
        <v>923</v>
      </c>
      <c r="Q16" s="7" t="s">
        <v>924</v>
      </c>
      <c r="R16" s="7" t="s">
        <v>925</v>
      </c>
      <c r="S16" s="7" t="s">
        <v>926</v>
      </c>
      <c r="T16" s="7" t="s">
        <v>922</v>
      </c>
      <c r="U16" s="7" t="s">
        <v>927</v>
      </c>
    </row>
    <row r="17" spans="1:21" x14ac:dyDescent="0.15">
      <c r="A17" s="7" t="s">
        <v>912</v>
      </c>
      <c r="B17" s="7" t="s">
        <v>913</v>
      </c>
      <c r="C17" s="7" t="s">
        <v>525</v>
      </c>
      <c r="D17" s="7" t="s">
        <v>916</v>
      </c>
      <c r="E17" s="7">
        <f t="shared" si="0"/>
        <v>1013.5</v>
      </c>
      <c r="F17" s="7" t="s">
        <v>2023</v>
      </c>
      <c r="G17" s="7" t="s">
        <v>2022</v>
      </c>
      <c r="H17" s="7" t="s">
        <v>2020</v>
      </c>
      <c r="I17" s="10">
        <v>46026</v>
      </c>
      <c r="K17" s="7" t="s">
        <v>918</v>
      </c>
      <c r="L17" s="7" t="s">
        <v>919</v>
      </c>
      <c r="M17" s="7" t="s">
        <v>920</v>
      </c>
      <c r="N17" s="7" t="s">
        <v>921</v>
      </c>
      <c r="O17" s="7" t="s">
        <v>922</v>
      </c>
      <c r="P17" s="7" t="s">
        <v>923</v>
      </c>
      <c r="Q17" s="7" t="s">
        <v>924</v>
      </c>
      <c r="R17" s="7" t="s">
        <v>925</v>
      </c>
      <c r="S17" s="7" t="s">
        <v>926</v>
      </c>
      <c r="T17" s="7" t="s">
        <v>922</v>
      </c>
      <c r="U17" s="7" t="s">
        <v>927</v>
      </c>
    </row>
    <row r="18" spans="1:21" x14ac:dyDescent="0.15">
      <c r="A18" s="7" t="s">
        <v>912</v>
      </c>
      <c r="B18" s="7" t="s">
        <v>913</v>
      </c>
      <c r="C18" s="7" t="s">
        <v>743</v>
      </c>
      <c r="D18" s="7" t="s">
        <v>916</v>
      </c>
      <c r="E18" s="7">
        <f t="shared" si="0"/>
        <v>406.82</v>
      </c>
      <c r="F18" s="7" t="s">
        <v>2024</v>
      </c>
      <c r="G18" s="7" t="s">
        <v>2023</v>
      </c>
      <c r="H18" s="7" t="s">
        <v>2020</v>
      </c>
      <c r="I18" s="10">
        <v>46026</v>
      </c>
      <c r="K18" s="7" t="s">
        <v>918</v>
      </c>
      <c r="L18" s="7" t="s">
        <v>919</v>
      </c>
      <c r="M18" s="7" t="s">
        <v>920</v>
      </c>
      <c r="N18" s="7" t="s">
        <v>921</v>
      </c>
      <c r="O18" s="7" t="s">
        <v>922</v>
      </c>
      <c r="P18" s="7" t="s">
        <v>923</v>
      </c>
      <c r="Q18" s="7" t="s">
        <v>924</v>
      </c>
      <c r="R18" s="7" t="s">
        <v>925</v>
      </c>
      <c r="S18" s="7" t="s">
        <v>926</v>
      </c>
      <c r="T18" s="7" t="s">
        <v>922</v>
      </c>
      <c r="U18" s="7" t="s">
        <v>927</v>
      </c>
    </row>
    <row r="19" spans="1:21" x14ac:dyDescent="0.15">
      <c r="A19" s="7" t="s">
        <v>912</v>
      </c>
      <c r="B19" s="7" t="s">
        <v>972</v>
      </c>
      <c r="C19" s="7" t="s">
        <v>1282</v>
      </c>
      <c r="D19" s="7" t="s">
        <v>1008</v>
      </c>
      <c r="E19" s="7">
        <f t="shared" si="0"/>
        <v>79.599999999999994</v>
      </c>
      <c r="F19" s="7" t="s">
        <v>2015</v>
      </c>
      <c r="G19" s="7" t="s">
        <v>2011</v>
      </c>
      <c r="H19" s="7" t="s">
        <v>2016</v>
      </c>
      <c r="I19" s="10">
        <v>46026</v>
      </c>
      <c r="K19" s="7" t="s">
        <v>962</v>
      </c>
      <c r="L19" s="7" t="s">
        <v>919</v>
      </c>
      <c r="M19" s="7" t="s">
        <v>920</v>
      </c>
      <c r="N19" s="7" t="s">
        <v>921</v>
      </c>
      <c r="O19" s="7" t="s">
        <v>922</v>
      </c>
      <c r="P19" s="7" t="s">
        <v>923</v>
      </c>
      <c r="Q19" s="7" t="s">
        <v>2017</v>
      </c>
      <c r="R19" s="7" t="s">
        <v>2018</v>
      </c>
      <c r="S19" s="7" t="s">
        <v>1033</v>
      </c>
      <c r="T19" s="7" t="s">
        <v>947</v>
      </c>
      <c r="U19" s="7" t="s">
        <v>947</v>
      </c>
    </row>
    <row r="20" spans="1:21" x14ac:dyDescent="0.15">
      <c r="A20" s="7" t="s">
        <v>912</v>
      </c>
      <c r="B20" s="7" t="s">
        <v>972</v>
      </c>
      <c r="C20" s="7" t="s">
        <v>2010</v>
      </c>
      <c r="D20" s="7" t="s">
        <v>1333</v>
      </c>
      <c r="E20" s="7">
        <f t="shared" si="0"/>
        <v>16.82</v>
      </c>
      <c r="F20" s="7" t="s">
        <v>2011</v>
      </c>
      <c r="G20" s="7" t="s">
        <v>2009</v>
      </c>
      <c r="H20" s="7" t="s">
        <v>2012</v>
      </c>
      <c r="I20" s="10">
        <v>46026</v>
      </c>
      <c r="K20" s="7" t="s">
        <v>962</v>
      </c>
      <c r="L20" s="7" t="s">
        <v>919</v>
      </c>
      <c r="M20" s="7" t="s">
        <v>920</v>
      </c>
      <c r="N20" s="7" t="s">
        <v>921</v>
      </c>
      <c r="O20" s="7" t="s">
        <v>922</v>
      </c>
      <c r="P20" s="7" t="s">
        <v>923</v>
      </c>
      <c r="Q20" s="7" t="s">
        <v>2013</v>
      </c>
      <c r="R20" s="7" t="s">
        <v>2014</v>
      </c>
      <c r="S20" s="7" t="s">
        <v>1016</v>
      </c>
      <c r="T20" s="7" t="s">
        <v>947</v>
      </c>
      <c r="U20" s="7" t="s">
        <v>947</v>
      </c>
    </row>
    <row r="21" spans="1:21" x14ac:dyDescent="0.15">
      <c r="A21" s="7" t="s">
        <v>912</v>
      </c>
      <c r="B21" s="7" t="s">
        <v>913</v>
      </c>
      <c r="C21" s="7" t="s">
        <v>364</v>
      </c>
      <c r="D21" s="7" t="s">
        <v>916</v>
      </c>
      <c r="E21" s="7">
        <f t="shared" si="0"/>
        <v>1598.43</v>
      </c>
      <c r="F21" s="7" t="s">
        <v>2004</v>
      </c>
      <c r="G21" s="7" t="s">
        <v>2003</v>
      </c>
      <c r="H21" s="7" t="s">
        <v>2005</v>
      </c>
      <c r="I21" s="10">
        <v>46026</v>
      </c>
      <c r="K21" s="7" t="s">
        <v>918</v>
      </c>
      <c r="L21" s="7" t="s">
        <v>919</v>
      </c>
      <c r="M21" s="7" t="s">
        <v>920</v>
      </c>
      <c r="N21" s="7" t="s">
        <v>921</v>
      </c>
      <c r="O21" s="7" t="s">
        <v>922</v>
      </c>
      <c r="P21" s="7" t="s">
        <v>923</v>
      </c>
      <c r="Q21" s="7" t="s">
        <v>924</v>
      </c>
      <c r="R21" s="7" t="s">
        <v>925</v>
      </c>
      <c r="S21" s="7" t="s">
        <v>926</v>
      </c>
      <c r="T21" s="7" t="s">
        <v>922</v>
      </c>
      <c r="U21" s="7" t="s">
        <v>927</v>
      </c>
    </row>
    <row r="22" spans="1:21" x14ac:dyDescent="0.15">
      <c r="A22" s="7" t="s">
        <v>912</v>
      </c>
      <c r="B22" s="7" t="s">
        <v>913</v>
      </c>
      <c r="C22" s="7" t="s">
        <v>552</v>
      </c>
      <c r="D22" s="7" t="s">
        <v>916</v>
      </c>
      <c r="E22" s="7">
        <f t="shared" si="0"/>
        <v>148.61000000000001</v>
      </c>
      <c r="F22" s="7" t="s">
        <v>2006</v>
      </c>
      <c r="G22" s="7" t="s">
        <v>2004</v>
      </c>
      <c r="H22" s="7" t="s">
        <v>2005</v>
      </c>
      <c r="I22" s="10">
        <v>46026</v>
      </c>
      <c r="K22" s="7" t="s">
        <v>918</v>
      </c>
      <c r="L22" s="7" t="s">
        <v>919</v>
      </c>
      <c r="M22" s="7" t="s">
        <v>920</v>
      </c>
      <c r="N22" s="7" t="s">
        <v>921</v>
      </c>
      <c r="O22" s="7" t="s">
        <v>922</v>
      </c>
      <c r="P22" s="7" t="s">
        <v>923</v>
      </c>
      <c r="Q22" s="7" t="s">
        <v>924</v>
      </c>
      <c r="R22" s="7" t="s">
        <v>925</v>
      </c>
      <c r="S22" s="7" t="s">
        <v>926</v>
      </c>
      <c r="T22" s="7" t="s">
        <v>922</v>
      </c>
      <c r="U22" s="7" t="s">
        <v>927</v>
      </c>
    </row>
    <row r="23" spans="1:21" x14ac:dyDescent="0.15">
      <c r="A23" s="7" t="s">
        <v>912</v>
      </c>
      <c r="B23" s="7" t="s">
        <v>913</v>
      </c>
      <c r="C23" s="7" t="s">
        <v>55</v>
      </c>
      <c r="D23" s="7" t="s">
        <v>916</v>
      </c>
      <c r="E23" s="7">
        <f t="shared" si="0"/>
        <v>508.13</v>
      </c>
      <c r="F23" s="7" t="s">
        <v>2007</v>
      </c>
      <c r="G23" s="7" t="s">
        <v>2006</v>
      </c>
      <c r="H23" s="7" t="s">
        <v>2005</v>
      </c>
      <c r="I23" s="10">
        <v>46026</v>
      </c>
      <c r="K23" s="7" t="s">
        <v>918</v>
      </c>
      <c r="L23" s="7" t="s">
        <v>919</v>
      </c>
      <c r="M23" s="7" t="s">
        <v>920</v>
      </c>
      <c r="N23" s="7" t="s">
        <v>921</v>
      </c>
      <c r="O23" s="7" t="s">
        <v>922</v>
      </c>
      <c r="P23" s="7" t="s">
        <v>923</v>
      </c>
      <c r="Q23" s="7" t="s">
        <v>924</v>
      </c>
      <c r="R23" s="7" t="s">
        <v>925</v>
      </c>
      <c r="S23" s="7" t="s">
        <v>926</v>
      </c>
      <c r="T23" s="7" t="s">
        <v>922</v>
      </c>
      <c r="U23" s="7" t="s">
        <v>927</v>
      </c>
    </row>
    <row r="24" spans="1:21" x14ac:dyDescent="0.15">
      <c r="A24" s="7" t="s">
        <v>912</v>
      </c>
      <c r="B24" s="7" t="s">
        <v>913</v>
      </c>
      <c r="C24" s="7" t="s">
        <v>115</v>
      </c>
      <c r="D24" s="7" t="s">
        <v>916</v>
      </c>
      <c r="E24" s="7">
        <f t="shared" si="0"/>
        <v>134.28</v>
      </c>
      <c r="F24" s="7" t="s">
        <v>2008</v>
      </c>
      <c r="G24" s="7" t="s">
        <v>2007</v>
      </c>
      <c r="H24" s="7" t="s">
        <v>2005</v>
      </c>
      <c r="I24" s="10">
        <v>46026</v>
      </c>
      <c r="K24" s="7" t="s">
        <v>918</v>
      </c>
      <c r="L24" s="7" t="s">
        <v>919</v>
      </c>
      <c r="M24" s="7" t="s">
        <v>920</v>
      </c>
      <c r="N24" s="7" t="s">
        <v>921</v>
      </c>
      <c r="O24" s="7" t="s">
        <v>922</v>
      </c>
      <c r="P24" s="7" t="s">
        <v>923</v>
      </c>
      <c r="Q24" s="7" t="s">
        <v>924</v>
      </c>
      <c r="R24" s="7" t="s">
        <v>925</v>
      </c>
      <c r="S24" s="7" t="s">
        <v>926</v>
      </c>
      <c r="T24" s="7" t="s">
        <v>922</v>
      </c>
      <c r="U24" s="7" t="s">
        <v>927</v>
      </c>
    </row>
    <row r="25" spans="1:21" x14ac:dyDescent="0.15">
      <c r="A25" s="7" t="s">
        <v>912</v>
      </c>
      <c r="B25" s="7" t="s">
        <v>913</v>
      </c>
      <c r="C25" s="7" t="s">
        <v>482</v>
      </c>
      <c r="D25" s="7" t="s">
        <v>916</v>
      </c>
      <c r="E25" s="7">
        <f t="shared" si="0"/>
        <v>567.65</v>
      </c>
      <c r="F25" s="7" t="s">
        <v>2009</v>
      </c>
      <c r="G25" s="7" t="s">
        <v>2008</v>
      </c>
      <c r="H25" s="7" t="s">
        <v>2005</v>
      </c>
      <c r="I25" s="10">
        <v>46026</v>
      </c>
      <c r="K25" s="7" t="s">
        <v>918</v>
      </c>
      <c r="L25" s="7" t="s">
        <v>919</v>
      </c>
      <c r="M25" s="7" t="s">
        <v>920</v>
      </c>
      <c r="N25" s="7" t="s">
        <v>921</v>
      </c>
      <c r="O25" s="7" t="s">
        <v>922</v>
      </c>
      <c r="P25" s="7" t="s">
        <v>923</v>
      </c>
      <c r="Q25" s="7" t="s">
        <v>924</v>
      </c>
      <c r="R25" s="7" t="s">
        <v>925</v>
      </c>
      <c r="S25" s="7" t="s">
        <v>926</v>
      </c>
      <c r="T25" s="7" t="s">
        <v>922</v>
      </c>
      <c r="U25" s="7" t="s">
        <v>927</v>
      </c>
    </row>
    <row r="26" spans="1:21" x14ac:dyDescent="0.15">
      <c r="A26" s="7" t="s">
        <v>912</v>
      </c>
      <c r="B26" s="7" t="s">
        <v>913</v>
      </c>
      <c r="C26" s="7" t="s">
        <v>430</v>
      </c>
      <c r="D26" s="7" t="s">
        <v>916</v>
      </c>
      <c r="E26" s="7">
        <f t="shared" si="0"/>
        <v>138.72</v>
      </c>
      <c r="F26" s="7" t="s">
        <v>1997</v>
      </c>
      <c r="G26" s="7" t="s">
        <v>1993</v>
      </c>
      <c r="H26" s="7" t="s">
        <v>1998</v>
      </c>
      <c r="I26" s="10">
        <v>46026</v>
      </c>
      <c r="K26" s="7" t="s">
        <v>918</v>
      </c>
      <c r="L26" s="7" t="s">
        <v>919</v>
      </c>
      <c r="M26" s="7" t="s">
        <v>920</v>
      </c>
      <c r="N26" s="7" t="s">
        <v>921</v>
      </c>
      <c r="O26" s="7" t="s">
        <v>922</v>
      </c>
      <c r="P26" s="7" t="s">
        <v>923</v>
      </c>
      <c r="Q26" s="7" t="s">
        <v>924</v>
      </c>
      <c r="R26" s="7" t="s">
        <v>925</v>
      </c>
      <c r="S26" s="7" t="s">
        <v>926</v>
      </c>
      <c r="T26" s="7" t="s">
        <v>922</v>
      </c>
      <c r="U26" s="7" t="s">
        <v>927</v>
      </c>
    </row>
    <row r="27" spans="1:21" x14ac:dyDescent="0.15">
      <c r="A27" s="7" t="s">
        <v>912</v>
      </c>
      <c r="B27" s="7" t="s">
        <v>913</v>
      </c>
      <c r="C27" s="7" t="s">
        <v>764</v>
      </c>
      <c r="D27" s="7" t="s">
        <v>916</v>
      </c>
      <c r="E27" s="7">
        <f t="shared" si="0"/>
        <v>73.81</v>
      </c>
      <c r="F27" s="7" t="s">
        <v>1999</v>
      </c>
      <c r="G27" s="7" t="s">
        <v>1997</v>
      </c>
      <c r="H27" s="7" t="s">
        <v>1998</v>
      </c>
      <c r="I27" s="10">
        <v>46026</v>
      </c>
      <c r="K27" s="7" t="s">
        <v>918</v>
      </c>
      <c r="L27" s="7" t="s">
        <v>919</v>
      </c>
      <c r="M27" s="7" t="s">
        <v>920</v>
      </c>
      <c r="N27" s="7" t="s">
        <v>921</v>
      </c>
      <c r="O27" s="7" t="s">
        <v>922</v>
      </c>
      <c r="P27" s="7" t="s">
        <v>923</v>
      </c>
      <c r="Q27" s="7" t="s">
        <v>924</v>
      </c>
      <c r="R27" s="7" t="s">
        <v>925</v>
      </c>
      <c r="S27" s="7" t="s">
        <v>926</v>
      </c>
      <c r="T27" s="7" t="s">
        <v>922</v>
      </c>
      <c r="U27" s="7" t="s">
        <v>927</v>
      </c>
    </row>
    <row r="28" spans="1:21" x14ac:dyDescent="0.15">
      <c r="A28" s="7" t="s">
        <v>912</v>
      </c>
      <c r="B28" s="7" t="s">
        <v>913</v>
      </c>
      <c r="C28" s="7" t="s">
        <v>831</v>
      </c>
      <c r="D28" s="7" t="s">
        <v>916</v>
      </c>
      <c r="E28" s="7">
        <f t="shared" si="0"/>
        <v>952.99</v>
      </c>
      <c r="F28" s="7" t="s">
        <v>2000</v>
      </c>
      <c r="G28" s="7" t="s">
        <v>1999</v>
      </c>
      <c r="H28" s="7" t="s">
        <v>1998</v>
      </c>
      <c r="I28" s="10">
        <v>46026</v>
      </c>
      <c r="K28" s="7" t="s">
        <v>918</v>
      </c>
      <c r="L28" s="7" t="s">
        <v>919</v>
      </c>
      <c r="M28" s="7" t="s">
        <v>920</v>
      </c>
      <c r="N28" s="7" t="s">
        <v>921</v>
      </c>
      <c r="O28" s="7" t="s">
        <v>922</v>
      </c>
      <c r="P28" s="7" t="s">
        <v>923</v>
      </c>
      <c r="Q28" s="7" t="s">
        <v>924</v>
      </c>
      <c r="R28" s="7" t="s">
        <v>925</v>
      </c>
      <c r="S28" s="7" t="s">
        <v>926</v>
      </c>
      <c r="T28" s="7" t="s">
        <v>922</v>
      </c>
      <c r="U28" s="7" t="s">
        <v>927</v>
      </c>
    </row>
    <row r="29" spans="1:21" x14ac:dyDescent="0.15">
      <c r="A29" s="7" t="s">
        <v>912</v>
      </c>
      <c r="B29" s="7" t="s">
        <v>913</v>
      </c>
      <c r="C29" s="7" t="s">
        <v>380</v>
      </c>
      <c r="D29" s="7" t="s">
        <v>916</v>
      </c>
      <c r="E29" s="7">
        <f t="shared" si="0"/>
        <v>425.28</v>
      </c>
      <c r="F29" s="7" t="s">
        <v>2001</v>
      </c>
      <c r="G29" s="7" t="s">
        <v>2000</v>
      </c>
      <c r="H29" s="7" t="s">
        <v>1998</v>
      </c>
      <c r="I29" s="10">
        <v>46026</v>
      </c>
      <c r="K29" s="7" t="s">
        <v>918</v>
      </c>
      <c r="L29" s="7" t="s">
        <v>919</v>
      </c>
      <c r="M29" s="7" t="s">
        <v>920</v>
      </c>
      <c r="N29" s="7" t="s">
        <v>921</v>
      </c>
      <c r="O29" s="7" t="s">
        <v>922</v>
      </c>
      <c r="P29" s="7" t="s">
        <v>923</v>
      </c>
      <c r="Q29" s="7" t="s">
        <v>924</v>
      </c>
      <c r="R29" s="7" t="s">
        <v>925</v>
      </c>
      <c r="S29" s="7" t="s">
        <v>926</v>
      </c>
      <c r="T29" s="7" t="s">
        <v>922</v>
      </c>
      <c r="U29" s="7" t="s">
        <v>927</v>
      </c>
    </row>
    <row r="30" spans="1:21" x14ac:dyDescent="0.15">
      <c r="A30" s="7" t="s">
        <v>912</v>
      </c>
      <c r="B30" s="7" t="s">
        <v>913</v>
      </c>
      <c r="C30" s="7" t="s">
        <v>599</v>
      </c>
      <c r="D30" s="7" t="s">
        <v>916</v>
      </c>
      <c r="E30" s="7">
        <f t="shared" si="0"/>
        <v>1998.53</v>
      </c>
      <c r="F30" s="7" t="s">
        <v>2002</v>
      </c>
      <c r="G30" s="7" t="s">
        <v>2001</v>
      </c>
      <c r="H30" s="7" t="s">
        <v>1998</v>
      </c>
      <c r="I30" s="10">
        <v>46026</v>
      </c>
      <c r="K30" s="7" t="s">
        <v>918</v>
      </c>
      <c r="L30" s="7" t="s">
        <v>919</v>
      </c>
      <c r="M30" s="7" t="s">
        <v>920</v>
      </c>
      <c r="N30" s="7" t="s">
        <v>921</v>
      </c>
      <c r="O30" s="7" t="s">
        <v>922</v>
      </c>
      <c r="P30" s="7" t="s">
        <v>923</v>
      </c>
      <c r="Q30" s="7" t="s">
        <v>924</v>
      </c>
      <c r="R30" s="7" t="s">
        <v>925</v>
      </c>
      <c r="S30" s="7" t="s">
        <v>926</v>
      </c>
      <c r="T30" s="7" t="s">
        <v>922</v>
      </c>
      <c r="U30" s="7" t="s">
        <v>927</v>
      </c>
    </row>
    <row r="31" spans="1:21" x14ac:dyDescent="0.15">
      <c r="A31" s="7" t="s">
        <v>912</v>
      </c>
      <c r="B31" s="7" t="s">
        <v>913</v>
      </c>
      <c r="C31" s="7" t="s">
        <v>467</v>
      </c>
      <c r="D31" s="7" t="s">
        <v>916</v>
      </c>
      <c r="E31" s="7">
        <f t="shared" si="0"/>
        <v>260.57</v>
      </c>
      <c r="F31" s="7" t="s">
        <v>2003</v>
      </c>
      <c r="G31" s="7" t="s">
        <v>2002</v>
      </c>
      <c r="H31" s="7" t="s">
        <v>1998</v>
      </c>
      <c r="I31" s="10">
        <v>46026</v>
      </c>
      <c r="K31" s="7" t="s">
        <v>918</v>
      </c>
      <c r="L31" s="7" t="s">
        <v>919</v>
      </c>
      <c r="M31" s="7" t="s">
        <v>920</v>
      </c>
      <c r="N31" s="7" t="s">
        <v>921</v>
      </c>
      <c r="O31" s="7" t="s">
        <v>922</v>
      </c>
      <c r="P31" s="7" t="s">
        <v>923</v>
      </c>
      <c r="Q31" s="7" t="s">
        <v>924</v>
      </c>
      <c r="R31" s="7" t="s">
        <v>925</v>
      </c>
      <c r="S31" s="7" t="s">
        <v>926</v>
      </c>
      <c r="T31" s="7" t="s">
        <v>922</v>
      </c>
      <c r="U31" s="7" t="s">
        <v>927</v>
      </c>
    </row>
    <row r="32" spans="1:21" x14ac:dyDescent="0.15">
      <c r="A32" s="7" t="s">
        <v>912</v>
      </c>
      <c r="B32" s="7" t="s">
        <v>972</v>
      </c>
      <c r="C32" s="7" t="s">
        <v>997</v>
      </c>
      <c r="D32" s="7" t="s">
        <v>999</v>
      </c>
      <c r="E32" s="7">
        <f t="shared" si="0"/>
        <v>51.65</v>
      </c>
      <c r="F32" s="7" t="s">
        <v>1993</v>
      </c>
      <c r="G32" s="7" t="s">
        <v>1991</v>
      </c>
      <c r="H32" s="7" t="s">
        <v>1994</v>
      </c>
      <c r="I32" s="10">
        <v>46026</v>
      </c>
      <c r="K32" s="7" t="s">
        <v>962</v>
      </c>
      <c r="L32" s="7" t="s">
        <v>919</v>
      </c>
      <c r="M32" s="7" t="s">
        <v>920</v>
      </c>
      <c r="N32" s="7" t="s">
        <v>921</v>
      </c>
      <c r="O32" s="7" t="s">
        <v>922</v>
      </c>
      <c r="P32" s="7" t="s">
        <v>923</v>
      </c>
      <c r="Q32" s="7" t="s">
        <v>1995</v>
      </c>
      <c r="R32" s="7" t="s">
        <v>1996</v>
      </c>
      <c r="S32" s="7" t="s">
        <v>953</v>
      </c>
      <c r="T32" s="7" t="s">
        <v>947</v>
      </c>
      <c r="U32" s="7" t="s">
        <v>947</v>
      </c>
    </row>
    <row r="33" spans="1:21" x14ac:dyDescent="0.15">
      <c r="A33" s="7" t="s">
        <v>912</v>
      </c>
      <c r="B33" s="7" t="s">
        <v>913</v>
      </c>
      <c r="C33" s="7" t="s">
        <v>773</v>
      </c>
      <c r="D33" s="7" t="s">
        <v>916</v>
      </c>
      <c r="E33" s="7">
        <f t="shared" si="0"/>
        <v>132.36000000000001</v>
      </c>
      <c r="F33" s="7" t="s">
        <v>1991</v>
      </c>
      <c r="G33" s="7" t="s">
        <v>1987</v>
      </c>
      <c r="H33" s="7" t="s">
        <v>1992</v>
      </c>
      <c r="I33" s="10">
        <v>46026</v>
      </c>
      <c r="K33" s="7" t="s">
        <v>918</v>
      </c>
      <c r="L33" s="7" t="s">
        <v>919</v>
      </c>
      <c r="M33" s="7" t="s">
        <v>920</v>
      </c>
      <c r="N33" s="7" t="s">
        <v>921</v>
      </c>
      <c r="O33" s="7" t="s">
        <v>922</v>
      </c>
      <c r="P33" s="7" t="s">
        <v>923</v>
      </c>
      <c r="Q33" s="7" t="s">
        <v>924</v>
      </c>
      <c r="R33" s="7" t="s">
        <v>925</v>
      </c>
      <c r="S33" s="7" t="s">
        <v>926</v>
      </c>
      <c r="T33" s="7" t="s">
        <v>922</v>
      </c>
      <c r="U33" s="7" t="s">
        <v>927</v>
      </c>
    </row>
    <row r="34" spans="1:21" x14ac:dyDescent="0.15">
      <c r="A34" s="7" t="s">
        <v>912</v>
      </c>
      <c r="B34" s="7" t="s">
        <v>972</v>
      </c>
      <c r="C34" s="7" t="s">
        <v>1986</v>
      </c>
      <c r="D34" s="7" t="s">
        <v>981</v>
      </c>
      <c r="E34" s="7">
        <f t="shared" si="0"/>
        <v>59.13</v>
      </c>
      <c r="F34" s="7" t="s">
        <v>1987</v>
      </c>
      <c r="G34" s="7" t="s">
        <v>1983</v>
      </c>
      <c r="H34" s="7" t="s">
        <v>1988</v>
      </c>
      <c r="I34" s="10">
        <v>46026</v>
      </c>
      <c r="K34" s="7" t="s">
        <v>962</v>
      </c>
      <c r="L34" s="7" t="s">
        <v>919</v>
      </c>
      <c r="M34" s="7" t="s">
        <v>920</v>
      </c>
      <c r="N34" s="7" t="s">
        <v>921</v>
      </c>
      <c r="O34" s="7" t="s">
        <v>922</v>
      </c>
      <c r="P34" s="7" t="s">
        <v>923</v>
      </c>
      <c r="Q34" s="7" t="s">
        <v>1989</v>
      </c>
      <c r="R34" s="7" t="s">
        <v>1990</v>
      </c>
      <c r="S34" s="7" t="s">
        <v>1028</v>
      </c>
      <c r="T34" s="7" t="s">
        <v>947</v>
      </c>
      <c r="U34" s="7" t="s">
        <v>947</v>
      </c>
    </row>
    <row r="35" spans="1:21" x14ac:dyDescent="0.15">
      <c r="A35" s="7" t="s">
        <v>912</v>
      </c>
      <c r="B35" s="7" t="s">
        <v>972</v>
      </c>
      <c r="C35" s="7" t="s">
        <v>1982</v>
      </c>
      <c r="D35" s="7" t="s">
        <v>1984</v>
      </c>
      <c r="E35" s="7">
        <f t="shared" si="0"/>
        <v>190.55</v>
      </c>
      <c r="F35" s="7" t="s">
        <v>1983</v>
      </c>
      <c r="G35" s="7" t="s">
        <v>1977</v>
      </c>
      <c r="H35" s="7" t="s">
        <v>1985</v>
      </c>
      <c r="I35" s="10">
        <v>46026</v>
      </c>
      <c r="K35" s="7" t="s">
        <v>962</v>
      </c>
      <c r="L35" s="7" t="s">
        <v>919</v>
      </c>
      <c r="M35" s="7" t="s">
        <v>920</v>
      </c>
      <c r="N35" s="7" t="s">
        <v>921</v>
      </c>
      <c r="O35" s="7" t="s">
        <v>922</v>
      </c>
      <c r="P35" s="7" t="s">
        <v>923</v>
      </c>
      <c r="Q35" s="7" t="s">
        <v>1980</v>
      </c>
      <c r="R35" s="7" t="s">
        <v>1981</v>
      </c>
      <c r="S35" s="7" t="s">
        <v>1028</v>
      </c>
      <c r="T35" s="7" t="s">
        <v>947</v>
      </c>
      <c r="U35" s="7" t="s">
        <v>947</v>
      </c>
    </row>
    <row r="36" spans="1:21" x14ac:dyDescent="0.15">
      <c r="A36" s="7" t="s">
        <v>912</v>
      </c>
      <c r="B36" s="7" t="s">
        <v>972</v>
      </c>
      <c r="C36" s="7" t="s">
        <v>1976</v>
      </c>
      <c r="D36" s="7" t="s">
        <v>1978</v>
      </c>
      <c r="E36" s="7">
        <f t="shared" si="0"/>
        <v>15.83</v>
      </c>
      <c r="F36" s="7" t="s">
        <v>1977</v>
      </c>
      <c r="G36" s="7" t="s">
        <v>1975</v>
      </c>
      <c r="H36" s="7" t="s">
        <v>1979</v>
      </c>
      <c r="I36" s="10">
        <v>46026</v>
      </c>
      <c r="K36" s="7" t="s">
        <v>962</v>
      </c>
      <c r="L36" s="7" t="s">
        <v>919</v>
      </c>
      <c r="M36" s="7" t="s">
        <v>920</v>
      </c>
      <c r="N36" s="7" t="s">
        <v>921</v>
      </c>
      <c r="O36" s="7" t="s">
        <v>922</v>
      </c>
      <c r="P36" s="7" t="s">
        <v>923</v>
      </c>
      <c r="Q36" s="7" t="s">
        <v>1980</v>
      </c>
      <c r="R36" s="7" t="s">
        <v>1981</v>
      </c>
      <c r="S36" s="7" t="s">
        <v>1028</v>
      </c>
      <c r="T36" s="7" t="s">
        <v>947</v>
      </c>
      <c r="U36" s="7" t="s">
        <v>947</v>
      </c>
    </row>
    <row r="37" spans="1:21" x14ac:dyDescent="0.15">
      <c r="A37" s="7" t="s">
        <v>912</v>
      </c>
      <c r="B37" s="7" t="s">
        <v>913</v>
      </c>
      <c r="C37" s="7" t="s">
        <v>496</v>
      </c>
      <c r="D37" s="7" t="s">
        <v>916</v>
      </c>
      <c r="E37" s="7">
        <f t="shared" si="0"/>
        <v>73.819999999999993</v>
      </c>
      <c r="F37" s="7" t="s">
        <v>1970</v>
      </c>
      <c r="G37" s="7" t="s">
        <v>1965</v>
      </c>
      <c r="H37" s="7" t="s">
        <v>1971</v>
      </c>
      <c r="I37" s="10">
        <v>46026</v>
      </c>
      <c r="K37" s="7" t="s">
        <v>918</v>
      </c>
      <c r="L37" s="7" t="s">
        <v>919</v>
      </c>
      <c r="M37" s="7" t="s">
        <v>920</v>
      </c>
      <c r="N37" s="7" t="s">
        <v>921</v>
      </c>
      <c r="O37" s="7" t="s">
        <v>922</v>
      </c>
      <c r="P37" s="7" t="s">
        <v>923</v>
      </c>
      <c r="Q37" s="7" t="s">
        <v>924</v>
      </c>
      <c r="R37" s="7" t="s">
        <v>925</v>
      </c>
      <c r="S37" s="7" t="s">
        <v>926</v>
      </c>
      <c r="T37" s="7" t="s">
        <v>922</v>
      </c>
      <c r="U37" s="7" t="s">
        <v>927</v>
      </c>
    </row>
    <row r="38" spans="1:21" x14ac:dyDescent="0.15">
      <c r="A38" s="7" t="s">
        <v>912</v>
      </c>
      <c r="B38" s="7" t="s">
        <v>913</v>
      </c>
      <c r="C38" s="7" t="s">
        <v>298</v>
      </c>
      <c r="D38" s="7" t="s">
        <v>916</v>
      </c>
      <c r="E38" s="7">
        <f t="shared" si="0"/>
        <v>165.38</v>
      </c>
      <c r="F38" s="7" t="s">
        <v>1972</v>
      </c>
      <c r="G38" s="7" t="s">
        <v>1970</v>
      </c>
      <c r="H38" s="7" t="s">
        <v>1971</v>
      </c>
      <c r="I38" s="10">
        <v>46026</v>
      </c>
      <c r="K38" s="7" t="s">
        <v>918</v>
      </c>
      <c r="L38" s="7" t="s">
        <v>919</v>
      </c>
      <c r="M38" s="7" t="s">
        <v>920</v>
      </c>
      <c r="N38" s="7" t="s">
        <v>921</v>
      </c>
      <c r="O38" s="7" t="s">
        <v>922</v>
      </c>
      <c r="P38" s="7" t="s">
        <v>923</v>
      </c>
      <c r="Q38" s="7" t="s">
        <v>924</v>
      </c>
      <c r="R38" s="7" t="s">
        <v>925</v>
      </c>
      <c r="S38" s="7" t="s">
        <v>926</v>
      </c>
      <c r="T38" s="7" t="s">
        <v>922</v>
      </c>
      <c r="U38" s="7" t="s">
        <v>927</v>
      </c>
    </row>
    <row r="39" spans="1:21" x14ac:dyDescent="0.15">
      <c r="A39" s="7" t="s">
        <v>912</v>
      </c>
      <c r="B39" s="7" t="s">
        <v>913</v>
      </c>
      <c r="C39" s="7" t="s">
        <v>427</v>
      </c>
      <c r="D39" s="7" t="s">
        <v>916</v>
      </c>
      <c r="E39" s="7">
        <f t="shared" si="0"/>
        <v>275.29000000000002</v>
      </c>
      <c r="F39" s="7" t="s">
        <v>1973</v>
      </c>
      <c r="G39" s="7" t="s">
        <v>1972</v>
      </c>
      <c r="H39" s="7" t="s">
        <v>1971</v>
      </c>
      <c r="I39" s="10">
        <v>46026</v>
      </c>
      <c r="K39" s="7" t="s">
        <v>918</v>
      </c>
      <c r="L39" s="7" t="s">
        <v>919</v>
      </c>
      <c r="M39" s="7" t="s">
        <v>920</v>
      </c>
      <c r="N39" s="7" t="s">
        <v>921</v>
      </c>
      <c r="O39" s="7" t="s">
        <v>922</v>
      </c>
      <c r="P39" s="7" t="s">
        <v>923</v>
      </c>
      <c r="Q39" s="7" t="s">
        <v>924</v>
      </c>
      <c r="R39" s="7" t="s">
        <v>925</v>
      </c>
      <c r="S39" s="7" t="s">
        <v>926</v>
      </c>
      <c r="T39" s="7" t="s">
        <v>922</v>
      </c>
      <c r="U39" s="7" t="s">
        <v>927</v>
      </c>
    </row>
    <row r="40" spans="1:21" x14ac:dyDescent="0.15">
      <c r="A40" s="7" t="s">
        <v>912</v>
      </c>
      <c r="B40" s="7" t="s">
        <v>913</v>
      </c>
      <c r="C40" s="7" t="s">
        <v>35</v>
      </c>
      <c r="D40" s="7" t="s">
        <v>916</v>
      </c>
      <c r="E40" s="7">
        <f t="shared" si="0"/>
        <v>258.69</v>
      </c>
      <c r="F40" s="7" t="s">
        <v>1974</v>
      </c>
      <c r="G40" s="7" t="s">
        <v>1973</v>
      </c>
      <c r="H40" s="7" t="s">
        <v>1971</v>
      </c>
      <c r="I40" s="10">
        <v>46026</v>
      </c>
      <c r="K40" s="7" t="s">
        <v>918</v>
      </c>
      <c r="L40" s="7" t="s">
        <v>919</v>
      </c>
      <c r="M40" s="7" t="s">
        <v>920</v>
      </c>
      <c r="N40" s="7" t="s">
        <v>921</v>
      </c>
      <c r="O40" s="7" t="s">
        <v>922</v>
      </c>
      <c r="P40" s="7" t="s">
        <v>923</v>
      </c>
      <c r="Q40" s="7" t="s">
        <v>924</v>
      </c>
      <c r="R40" s="7" t="s">
        <v>925</v>
      </c>
      <c r="S40" s="7" t="s">
        <v>926</v>
      </c>
      <c r="T40" s="7" t="s">
        <v>922</v>
      </c>
      <c r="U40" s="7" t="s">
        <v>927</v>
      </c>
    </row>
    <row r="41" spans="1:21" x14ac:dyDescent="0.15">
      <c r="A41" s="7" t="s">
        <v>912</v>
      </c>
      <c r="B41" s="7" t="s">
        <v>913</v>
      </c>
      <c r="C41" s="7" t="s">
        <v>694</v>
      </c>
      <c r="D41" s="7" t="s">
        <v>916</v>
      </c>
      <c r="E41" s="7">
        <f t="shared" si="0"/>
        <v>539.48</v>
      </c>
      <c r="F41" s="7" t="s">
        <v>1975</v>
      </c>
      <c r="G41" s="7" t="s">
        <v>1974</v>
      </c>
      <c r="H41" s="7" t="s">
        <v>1971</v>
      </c>
      <c r="I41" s="10">
        <v>46026</v>
      </c>
      <c r="K41" s="7" t="s">
        <v>918</v>
      </c>
      <c r="L41" s="7" t="s">
        <v>919</v>
      </c>
      <c r="M41" s="7" t="s">
        <v>920</v>
      </c>
      <c r="N41" s="7" t="s">
        <v>921</v>
      </c>
      <c r="O41" s="7" t="s">
        <v>922</v>
      </c>
      <c r="P41" s="7" t="s">
        <v>923</v>
      </c>
      <c r="Q41" s="7" t="s">
        <v>924</v>
      </c>
      <c r="R41" s="7" t="s">
        <v>925</v>
      </c>
      <c r="S41" s="7" t="s">
        <v>926</v>
      </c>
      <c r="T41" s="7" t="s">
        <v>922</v>
      </c>
      <c r="U41" s="7" t="s">
        <v>927</v>
      </c>
    </row>
    <row r="42" spans="1:21" x14ac:dyDescent="0.15">
      <c r="A42" s="7" t="s">
        <v>912</v>
      </c>
      <c r="B42" s="7" t="s">
        <v>972</v>
      </c>
      <c r="C42" s="7" t="s">
        <v>42</v>
      </c>
      <c r="D42" s="7" t="s">
        <v>1966</v>
      </c>
      <c r="E42" s="7">
        <f t="shared" si="0"/>
        <v>99.410000000000011</v>
      </c>
      <c r="F42" s="7" t="s">
        <v>1965</v>
      </c>
      <c r="G42" s="7" t="s">
        <v>1961</v>
      </c>
      <c r="H42" s="7" t="s">
        <v>1967</v>
      </c>
      <c r="I42" s="10">
        <v>46026</v>
      </c>
      <c r="K42" s="7" t="s">
        <v>962</v>
      </c>
      <c r="L42" s="7" t="s">
        <v>919</v>
      </c>
      <c r="M42" s="7" t="s">
        <v>920</v>
      </c>
      <c r="N42" s="7" t="s">
        <v>921</v>
      </c>
      <c r="O42" s="7" t="s">
        <v>922</v>
      </c>
      <c r="P42" s="7" t="s">
        <v>923</v>
      </c>
      <c r="Q42" s="7" t="s">
        <v>1968</v>
      </c>
      <c r="R42" s="7" t="s">
        <v>1969</v>
      </c>
      <c r="S42" s="7" t="s">
        <v>1028</v>
      </c>
      <c r="T42" s="7" t="s">
        <v>947</v>
      </c>
      <c r="U42" s="7" t="s">
        <v>947</v>
      </c>
    </row>
    <row r="43" spans="1:21" x14ac:dyDescent="0.15">
      <c r="A43" s="7" t="s">
        <v>912</v>
      </c>
      <c r="B43" s="7" t="s">
        <v>972</v>
      </c>
      <c r="C43" s="7" t="s">
        <v>1960</v>
      </c>
      <c r="D43" s="7" t="s">
        <v>1514</v>
      </c>
      <c r="E43" s="7">
        <f t="shared" si="0"/>
        <v>68.56</v>
      </c>
      <c r="F43" s="7" t="s">
        <v>1961</v>
      </c>
      <c r="G43" s="7" t="s">
        <v>1956</v>
      </c>
      <c r="H43" s="7" t="s">
        <v>1962</v>
      </c>
      <c r="I43" s="10">
        <v>46026</v>
      </c>
      <c r="K43" s="7" t="s">
        <v>962</v>
      </c>
      <c r="L43" s="7" t="s">
        <v>919</v>
      </c>
      <c r="M43" s="7" t="s">
        <v>920</v>
      </c>
      <c r="N43" s="7" t="s">
        <v>921</v>
      </c>
      <c r="O43" s="7" t="s">
        <v>922</v>
      </c>
      <c r="P43" s="7" t="s">
        <v>923</v>
      </c>
      <c r="Q43" s="7" t="s">
        <v>1963</v>
      </c>
      <c r="R43" s="7" t="s">
        <v>1964</v>
      </c>
      <c r="S43" s="7" t="s">
        <v>992</v>
      </c>
      <c r="T43" s="7" t="s">
        <v>947</v>
      </c>
      <c r="U43" s="7" t="s">
        <v>947</v>
      </c>
    </row>
    <row r="44" spans="1:21" x14ac:dyDescent="0.15">
      <c r="A44" s="7" t="s">
        <v>912</v>
      </c>
      <c r="B44" s="7" t="s">
        <v>972</v>
      </c>
      <c r="C44" s="7" t="s">
        <v>1955</v>
      </c>
      <c r="D44" s="7" t="s">
        <v>1249</v>
      </c>
      <c r="E44" s="7">
        <f t="shared" si="0"/>
        <v>20.599999999999998</v>
      </c>
      <c r="F44" s="7" t="s">
        <v>1956</v>
      </c>
      <c r="G44" s="7" t="s">
        <v>1951</v>
      </c>
      <c r="H44" s="7" t="s">
        <v>1957</v>
      </c>
      <c r="I44" s="10">
        <v>46026</v>
      </c>
      <c r="K44" s="7" t="s">
        <v>962</v>
      </c>
      <c r="L44" s="7" t="s">
        <v>919</v>
      </c>
      <c r="M44" s="7" t="s">
        <v>920</v>
      </c>
      <c r="N44" s="7" t="s">
        <v>921</v>
      </c>
      <c r="O44" s="7" t="s">
        <v>922</v>
      </c>
      <c r="P44" s="7" t="s">
        <v>923</v>
      </c>
      <c r="Q44" s="7" t="s">
        <v>1958</v>
      </c>
      <c r="R44" s="7" t="s">
        <v>1959</v>
      </c>
      <c r="S44" s="7" t="s">
        <v>953</v>
      </c>
      <c r="T44" s="7" t="s">
        <v>947</v>
      </c>
      <c r="U44" s="7" t="s">
        <v>947</v>
      </c>
    </row>
    <row r="45" spans="1:21" x14ac:dyDescent="0.15">
      <c r="A45" s="7" t="s">
        <v>912</v>
      </c>
      <c r="B45" s="7" t="s">
        <v>972</v>
      </c>
      <c r="C45" s="7" t="s">
        <v>997</v>
      </c>
      <c r="D45" s="7" t="s">
        <v>999</v>
      </c>
      <c r="E45" s="7">
        <f t="shared" si="0"/>
        <v>51.65</v>
      </c>
      <c r="F45" s="7" t="s">
        <v>1951</v>
      </c>
      <c r="G45" s="7" t="s">
        <v>1947</v>
      </c>
      <c r="H45" s="7" t="s">
        <v>1952</v>
      </c>
      <c r="I45" s="10">
        <v>46026</v>
      </c>
      <c r="K45" s="7" t="s">
        <v>962</v>
      </c>
      <c r="L45" s="7" t="s">
        <v>919</v>
      </c>
      <c r="M45" s="7" t="s">
        <v>920</v>
      </c>
      <c r="N45" s="7" t="s">
        <v>921</v>
      </c>
      <c r="O45" s="7" t="s">
        <v>922</v>
      </c>
      <c r="P45" s="7" t="s">
        <v>923</v>
      </c>
      <c r="Q45" s="7" t="s">
        <v>1953</v>
      </c>
      <c r="R45" s="7" t="s">
        <v>1954</v>
      </c>
      <c r="S45" s="7" t="s">
        <v>992</v>
      </c>
      <c r="T45" s="7" t="s">
        <v>947</v>
      </c>
      <c r="U45" s="7" t="s">
        <v>947</v>
      </c>
    </row>
    <row r="46" spans="1:21" x14ac:dyDescent="0.15">
      <c r="A46" s="7" t="s">
        <v>912</v>
      </c>
      <c r="B46" s="7" t="s">
        <v>972</v>
      </c>
      <c r="C46" s="7" t="s">
        <v>1946</v>
      </c>
      <c r="D46" s="7" t="s">
        <v>1315</v>
      </c>
      <c r="E46" s="7">
        <f t="shared" si="0"/>
        <v>89.09</v>
      </c>
      <c r="F46" s="7" t="s">
        <v>1947</v>
      </c>
      <c r="G46" s="7" t="s">
        <v>1945</v>
      </c>
      <c r="H46" s="7" t="s">
        <v>1948</v>
      </c>
      <c r="I46" s="10">
        <v>46026</v>
      </c>
      <c r="K46" s="7" t="s">
        <v>962</v>
      </c>
      <c r="L46" s="7" t="s">
        <v>919</v>
      </c>
      <c r="M46" s="7" t="s">
        <v>920</v>
      </c>
      <c r="N46" s="7" t="s">
        <v>921</v>
      </c>
      <c r="O46" s="7" t="s">
        <v>922</v>
      </c>
      <c r="P46" s="7" t="s">
        <v>923</v>
      </c>
      <c r="Q46" s="7" t="s">
        <v>1949</v>
      </c>
      <c r="R46" s="7" t="s">
        <v>1950</v>
      </c>
      <c r="S46" s="7" t="s">
        <v>953</v>
      </c>
      <c r="T46" s="7" t="s">
        <v>947</v>
      </c>
      <c r="U46" s="7" t="s">
        <v>947</v>
      </c>
    </row>
    <row r="47" spans="1:21" x14ac:dyDescent="0.15">
      <c r="A47" s="7" t="s">
        <v>912</v>
      </c>
      <c r="B47" s="7" t="s">
        <v>913</v>
      </c>
      <c r="C47" s="7" t="s">
        <v>492</v>
      </c>
      <c r="D47" s="7" t="s">
        <v>916</v>
      </c>
      <c r="E47" s="7">
        <f t="shared" si="0"/>
        <v>86.51</v>
      </c>
      <c r="F47" s="7" t="s">
        <v>1939</v>
      </c>
      <c r="G47" s="7" t="s">
        <v>1938</v>
      </c>
      <c r="H47" s="7" t="s">
        <v>1940</v>
      </c>
      <c r="I47" s="10">
        <v>46026</v>
      </c>
      <c r="K47" s="7" t="s">
        <v>918</v>
      </c>
      <c r="L47" s="7" t="s">
        <v>919</v>
      </c>
      <c r="M47" s="7" t="s">
        <v>920</v>
      </c>
      <c r="N47" s="7" t="s">
        <v>921</v>
      </c>
      <c r="O47" s="7" t="s">
        <v>922</v>
      </c>
      <c r="P47" s="7" t="s">
        <v>923</v>
      </c>
      <c r="Q47" s="7" t="s">
        <v>924</v>
      </c>
      <c r="R47" s="7" t="s">
        <v>925</v>
      </c>
      <c r="S47" s="7" t="s">
        <v>926</v>
      </c>
      <c r="T47" s="7" t="s">
        <v>922</v>
      </c>
      <c r="U47" s="7" t="s">
        <v>927</v>
      </c>
    </row>
    <row r="48" spans="1:21" x14ac:dyDescent="0.15">
      <c r="A48" s="7" t="s">
        <v>912</v>
      </c>
      <c r="B48" s="7" t="s">
        <v>913</v>
      </c>
      <c r="C48" s="7" t="s">
        <v>797</v>
      </c>
      <c r="D48" s="7" t="s">
        <v>916</v>
      </c>
      <c r="E48" s="7">
        <f t="shared" si="0"/>
        <v>237.77</v>
      </c>
      <c r="F48" s="7" t="s">
        <v>1941</v>
      </c>
      <c r="G48" s="7" t="s">
        <v>1939</v>
      </c>
      <c r="H48" s="7" t="s">
        <v>1940</v>
      </c>
      <c r="I48" s="10">
        <v>46026</v>
      </c>
      <c r="K48" s="7" t="s">
        <v>918</v>
      </c>
      <c r="L48" s="7" t="s">
        <v>919</v>
      </c>
      <c r="M48" s="7" t="s">
        <v>920</v>
      </c>
      <c r="N48" s="7" t="s">
        <v>921</v>
      </c>
      <c r="O48" s="7" t="s">
        <v>922</v>
      </c>
      <c r="P48" s="7" t="s">
        <v>923</v>
      </c>
      <c r="Q48" s="7" t="s">
        <v>924</v>
      </c>
      <c r="R48" s="7" t="s">
        <v>925</v>
      </c>
      <c r="S48" s="7" t="s">
        <v>926</v>
      </c>
      <c r="T48" s="7" t="s">
        <v>922</v>
      </c>
      <c r="U48" s="7" t="s">
        <v>927</v>
      </c>
    </row>
    <row r="49" spans="1:21" x14ac:dyDescent="0.15">
      <c r="A49" s="7" t="s">
        <v>912</v>
      </c>
      <c r="B49" s="7" t="s">
        <v>913</v>
      </c>
      <c r="C49" s="7" t="s">
        <v>244</v>
      </c>
      <c r="D49" s="7" t="s">
        <v>916</v>
      </c>
      <c r="E49" s="7">
        <f t="shared" si="0"/>
        <v>355.46</v>
      </c>
      <c r="F49" s="7" t="s">
        <v>1942</v>
      </c>
      <c r="G49" s="7" t="s">
        <v>1941</v>
      </c>
      <c r="H49" s="7" t="s">
        <v>1940</v>
      </c>
      <c r="I49" s="10">
        <v>46026</v>
      </c>
      <c r="K49" s="7" t="s">
        <v>918</v>
      </c>
      <c r="L49" s="7" t="s">
        <v>919</v>
      </c>
      <c r="M49" s="7" t="s">
        <v>920</v>
      </c>
      <c r="N49" s="7" t="s">
        <v>921</v>
      </c>
      <c r="O49" s="7" t="s">
        <v>922</v>
      </c>
      <c r="P49" s="7" t="s">
        <v>923</v>
      </c>
      <c r="Q49" s="7" t="s">
        <v>924</v>
      </c>
      <c r="R49" s="7" t="s">
        <v>925</v>
      </c>
      <c r="S49" s="7" t="s">
        <v>926</v>
      </c>
      <c r="T49" s="7" t="s">
        <v>922</v>
      </c>
      <c r="U49" s="7" t="s">
        <v>927</v>
      </c>
    </row>
    <row r="50" spans="1:21" x14ac:dyDescent="0.15">
      <c r="A50" s="7" t="s">
        <v>912</v>
      </c>
      <c r="B50" s="7" t="s">
        <v>913</v>
      </c>
      <c r="C50" s="7" t="s">
        <v>821</v>
      </c>
      <c r="D50" s="7" t="s">
        <v>916</v>
      </c>
      <c r="E50" s="7">
        <f t="shared" si="0"/>
        <v>561.70000000000005</v>
      </c>
      <c r="F50" s="7" t="s">
        <v>1943</v>
      </c>
      <c r="G50" s="7" t="s">
        <v>1942</v>
      </c>
      <c r="H50" s="7" t="s">
        <v>1940</v>
      </c>
      <c r="I50" s="10">
        <v>46026</v>
      </c>
      <c r="K50" s="7" t="s">
        <v>918</v>
      </c>
      <c r="L50" s="7" t="s">
        <v>919</v>
      </c>
      <c r="M50" s="7" t="s">
        <v>920</v>
      </c>
      <c r="N50" s="7" t="s">
        <v>921</v>
      </c>
      <c r="O50" s="7" t="s">
        <v>922</v>
      </c>
      <c r="P50" s="7" t="s">
        <v>923</v>
      </c>
      <c r="Q50" s="7" t="s">
        <v>924</v>
      </c>
      <c r="R50" s="7" t="s">
        <v>925</v>
      </c>
      <c r="S50" s="7" t="s">
        <v>926</v>
      </c>
      <c r="T50" s="7" t="s">
        <v>922</v>
      </c>
      <c r="U50" s="7" t="s">
        <v>927</v>
      </c>
    </row>
    <row r="51" spans="1:21" x14ac:dyDescent="0.15">
      <c r="A51" s="7" t="s">
        <v>912</v>
      </c>
      <c r="B51" s="7" t="s">
        <v>913</v>
      </c>
      <c r="C51" s="7" t="s">
        <v>556</v>
      </c>
      <c r="D51" s="7" t="s">
        <v>916</v>
      </c>
      <c r="E51" s="7">
        <f t="shared" si="0"/>
        <v>252.32</v>
      </c>
      <c r="F51" s="7" t="s">
        <v>1944</v>
      </c>
      <c r="G51" s="7" t="s">
        <v>1943</v>
      </c>
      <c r="H51" s="7" t="s">
        <v>1940</v>
      </c>
      <c r="I51" s="10">
        <v>46026</v>
      </c>
      <c r="K51" s="7" t="s">
        <v>918</v>
      </c>
      <c r="L51" s="7" t="s">
        <v>919</v>
      </c>
      <c r="M51" s="7" t="s">
        <v>920</v>
      </c>
      <c r="N51" s="7" t="s">
        <v>921</v>
      </c>
      <c r="O51" s="7" t="s">
        <v>922</v>
      </c>
      <c r="P51" s="7" t="s">
        <v>923</v>
      </c>
      <c r="Q51" s="7" t="s">
        <v>924</v>
      </c>
      <c r="R51" s="7" t="s">
        <v>925</v>
      </c>
      <c r="S51" s="7" t="s">
        <v>926</v>
      </c>
      <c r="T51" s="7" t="s">
        <v>922</v>
      </c>
      <c r="U51" s="7" t="s">
        <v>927</v>
      </c>
    </row>
    <row r="52" spans="1:21" x14ac:dyDescent="0.15">
      <c r="A52" s="7" t="s">
        <v>912</v>
      </c>
      <c r="B52" s="7" t="s">
        <v>913</v>
      </c>
      <c r="C52" s="7" t="s">
        <v>106</v>
      </c>
      <c r="D52" s="7" t="s">
        <v>916</v>
      </c>
      <c r="E52" s="7">
        <f t="shared" si="0"/>
        <v>29.54</v>
      </c>
      <c r="F52" s="7" t="s">
        <v>1945</v>
      </c>
      <c r="G52" s="7" t="s">
        <v>1944</v>
      </c>
      <c r="H52" s="7" t="s">
        <v>1940</v>
      </c>
      <c r="I52" s="10">
        <v>46026</v>
      </c>
      <c r="K52" s="7" t="s">
        <v>918</v>
      </c>
      <c r="L52" s="7" t="s">
        <v>919</v>
      </c>
      <c r="M52" s="7" t="s">
        <v>920</v>
      </c>
      <c r="N52" s="7" t="s">
        <v>921</v>
      </c>
      <c r="O52" s="7" t="s">
        <v>922</v>
      </c>
      <c r="P52" s="7" t="s">
        <v>923</v>
      </c>
      <c r="Q52" s="7" t="s">
        <v>924</v>
      </c>
      <c r="R52" s="7" t="s">
        <v>925</v>
      </c>
      <c r="S52" s="7" t="s">
        <v>926</v>
      </c>
      <c r="T52" s="7" t="s">
        <v>922</v>
      </c>
      <c r="U52" s="7" t="s">
        <v>927</v>
      </c>
    </row>
    <row r="53" spans="1:21" x14ac:dyDescent="0.15">
      <c r="A53" s="7" t="s">
        <v>912</v>
      </c>
      <c r="B53" s="7" t="s">
        <v>913</v>
      </c>
      <c r="C53" s="7" t="s">
        <v>451</v>
      </c>
      <c r="D53" s="7" t="s">
        <v>916</v>
      </c>
      <c r="E53" s="7">
        <f t="shared" si="0"/>
        <v>51.11</v>
      </c>
      <c r="F53" s="7" t="s">
        <v>1933</v>
      </c>
      <c r="G53" s="7" t="s">
        <v>1931</v>
      </c>
      <c r="H53" s="7" t="s">
        <v>1934</v>
      </c>
      <c r="I53" s="10">
        <v>46026</v>
      </c>
      <c r="K53" s="7" t="s">
        <v>918</v>
      </c>
      <c r="L53" s="7" t="s">
        <v>919</v>
      </c>
      <c r="M53" s="7" t="s">
        <v>920</v>
      </c>
      <c r="N53" s="7" t="s">
        <v>921</v>
      </c>
      <c r="O53" s="7" t="s">
        <v>922</v>
      </c>
      <c r="P53" s="7" t="s">
        <v>923</v>
      </c>
      <c r="Q53" s="7" t="s">
        <v>924</v>
      </c>
      <c r="R53" s="7" t="s">
        <v>925</v>
      </c>
      <c r="S53" s="7" t="s">
        <v>926</v>
      </c>
      <c r="T53" s="7" t="s">
        <v>922</v>
      </c>
      <c r="U53" s="7" t="s">
        <v>927</v>
      </c>
    </row>
    <row r="54" spans="1:21" x14ac:dyDescent="0.15">
      <c r="A54" s="7" t="s">
        <v>912</v>
      </c>
      <c r="B54" s="7" t="s">
        <v>913</v>
      </c>
      <c r="C54" s="7" t="s">
        <v>751</v>
      </c>
      <c r="D54" s="7" t="s">
        <v>916</v>
      </c>
      <c r="E54" s="7">
        <f t="shared" si="0"/>
        <v>1004.37</v>
      </c>
      <c r="F54" s="7" t="s">
        <v>1935</v>
      </c>
      <c r="G54" s="7" t="s">
        <v>1933</v>
      </c>
      <c r="H54" s="7" t="s">
        <v>1934</v>
      </c>
      <c r="I54" s="10">
        <v>46026</v>
      </c>
      <c r="K54" s="7" t="s">
        <v>918</v>
      </c>
      <c r="L54" s="7" t="s">
        <v>919</v>
      </c>
      <c r="M54" s="7" t="s">
        <v>920</v>
      </c>
      <c r="N54" s="7" t="s">
        <v>921</v>
      </c>
      <c r="O54" s="7" t="s">
        <v>922</v>
      </c>
      <c r="P54" s="7" t="s">
        <v>923</v>
      </c>
      <c r="Q54" s="7" t="s">
        <v>924</v>
      </c>
      <c r="R54" s="7" t="s">
        <v>925</v>
      </c>
      <c r="S54" s="7" t="s">
        <v>926</v>
      </c>
      <c r="T54" s="7" t="s">
        <v>922</v>
      </c>
      <c r="U54" s="7" t="s">
        <v>927</v>
      </c>
    </row>
    <row r="55" spans="1:21" x14ac:dyDescent="0.15">
      <c r="A55" s="7" t="s">
        <v>912</v>
      </c>
      <c r="B55" s="7" t="s">
        <v>913</v>
      </c>
      <c r="C55" s="7" t="s">
        <v>539</v>
      </c>
      <c r="D55" s="7" t="s">
        <v>916</v>
      </c>
      <c r="E55" s="7">
        <f t="shared" si="0"/>
        <v>198.49</v>
      </c>
      <c r="F55" s="7" t="s">
        <v>1936</v>
      </c>
      <c r="G55" s="7" t="s">
        <v>1935</v>
      </c>
      <c r="H55" s="7" t="s">
        <v>1934</v>
      </c>
      <c r="I55" s="10">
        <v>46026</v>
      </c>
      <c r="K55" s="7" t="s">
        <v>918</v>
      </c>
      <c r="L55" s="7" t="s">
        <v>919</v>
      </c>
      <c r="M55" s="7" t="s">
        <v>920</v>
      </c>
      <c r="N55" s="7" t="s">
        <v>921</v>
      </c>
      <c r="O55" s="7" t="s">
        <v>922</v>
      </c>
      <c r="P55" s="7" t="s">
        <v>923</v>
      </c>
      <c r="Q55" s="7" t="s">
        <v>924</v>
      </c>
      <c r="R55" s="7" t="s">
        <v>925</v>
      </c>
      <c r="S55" s="7" t="s">
        <v>926</v>
      </c>
      <c r="T55" s="7" t="s">
        <v>922</v>
      </c>
      <c r="U55" s="7" t="s">
        <v>927</v>
      </c>
    </row>
    <row r="56" spans="1:21" x14ac:dyDescent="0.15">
      <c r="A56" s="7" t="s">
        <v>912</v>
      </c>
      <c r="B56" s="7" t="s">
        <v>913</v>
      </c>
      <c r="C56" s="7" t="s">
        <v>737</v>
      </c>
      <c r="D56" s="7" t="s">
        <v>916</v>
      </c>
      <c r="E56" s="7">
        <f t="shared" si="0"/>
        <v>340.36</v>
      </c>
      <c r="F56" s="7" t="s">
        <v>1937</v>
      </c>
      <c r="G56" s="7" t="s">
        <v>1936</v>
      </c>
      <c r="H56" s="7" t="s">
        <v>1934</v>
      </c>
      <c r="I56" s="10">
        <v>46026</v>
      </c>
      <c r="K56" s="7" t="s">
        <v>918</v>
      </c>
      <c r="L56" s="7" t="s">
        <v>919</v>
      </c>
      <c r="M56" s="7" t="s">
        <v>920</v>
      </c>
      <c r="N56" s="7" t="s">
        <v>921</v>
      </c>
      <c r="O56" s="7" t="s">
        <v>922</v>
      </c>
      <c r="P56" s="7" t="s">
        <v>923</v>
      </c>
      <c r="Q56" s="7" t="s">
        <v>924</v>
      </c>
      <c r="R56" s="7" t="s">
        <v>925</v>
      </c>
      <c r="S56" s="7" t="s">
        <v>926</v>
      </c>
      <c r="T56" s="7" t="s">
        <v>922</v>
      </c>
      <c r="U56" s="7" t="s">
        <v>927</v>
      </c>
    </row>
    <row r="57" spans="1:21" x14ac:dyDescent="0.15">
      <c r="A57" s="7" t="s">
        <v>912</v>
      </c>
      <c r="B57" s="7" t="s">
        <v>913</v>
      </c>
      <c r="C57" s="7" t="s">
        <v>243</v>
      </c>
      <c r="D57" s="7" t="s">
        <v>916</v>
      </c>
      <c r="E57" s="7">
        <f t="shared" si="0"/>
        <v>711.3</v>
      </c>
      <c r="F57" s="7" t="s">
        <v>1938</v>
      </c>
      <c r="G57" s="7" t="s">
        <v>1937</v>
      </c>
      <c r="H57" s="7" t="s">
        <v>1934</v>
      </c>
      <c r="I57" s="10">
        <v>46026</v>
      </c>
      <c r="K57" s="7" t="s">
        <v>918</v>
      </c>
      <c r="L57" s="7" t="s">
        <v>919</v>
      </c>
      <c r="M57" s="7" t="s">
        <v>920</v>
      </c>
      <c r="N57" s="7" t="s">
        <v>921</v>
      </c>
      <c r="O57" s="7" t="s">
        <v>922</v>
      </c>
      <c r="P57" s="7" t="s">
        <v>923</v>
      </c>
      <c r="Q57" s="7" t="s">
        <v>924</v>
      </c>
      <c r="R57" s="7" t="s">
        <v>925</v>
      </c>
      <c r="S57" s="7" t="s">
        <v>926</v>
      </c>
      <c r="T57" s="7" t="s">
        <v>922</v>
      </c>
      <c r="U57" s="7" t="s">
        <v>927</v>
      </c>
    </row>
    <row r="58" spans="1:21" x14ac:dyDescent="0.15">
      <c r="A58" s="7" t="s">
        <v>912</v>
      </c>
      <c r="B58" s="7" t="s">
        <v>940</v>
      </c>
      <c r="C58" s="7" t="s">
        <v>30</v>
      </c>
      <c r="D58" s="7">
        <v>0</v>
      </c>
      <c r="E58" s="7">
        <f t="shared" si="0"/>
        <v>1018.3</v>
      </c>
      <c r="F58" s="7" t="s">
        <v>1931</v>
      </c>
      <c r="G58" s="7" t="s">
        <v>1929</v>
      </c>
      <c r="H58" s="7" t="s">
        <v>1932</v>
      </c>
      <c r="I58" s="10">
        <v>46027</v>
      </c>
      <c r="K58" s="7" t="s">
        <v>943</v>
      </c>
      <c r="L58" s="7" t="s">
        <v>919</v>
      </c>
      <c r="M58" s="7" t="s">
        <v>920</v>
      </c>
      <c r="N58" s="7" t="s">
        <v>921</v>
      </c>
      <c r="O58" s="7" t="s">
        <v>922</v>
      </c>
      <c r="P58" s="7" t="s">
        <v>923</v>
      </c>
      <c r="Q58" s="7" t="s">
        <v>1850</v>
      </c>
      <c r="R58" s="7" t="s">
        <v>1851</v>
      </c>
      <c r="S58" s="7" t="s">
        <v>1800</v>
      </c>
      <c r="T58" s="7" t="s">
        <v>947</v>
      </c>
      <c r="U58" s="7" t="s">
        <v>947</v>
      </c>
    </row>
    <row r="59" spans="1:21" x14ac:dyDescent="0.15">
      <c r="A59" s="7" t="s">
        <v>912</v>
      </c>
      <c r="B59" s="7" t="s">
        <v>940</v>
      </c>
      <c r="C59" s="7" t="s">
        <v>708</v>
      </c>
      <c r="D59" s="7">
        <v>0</v>
      </c>
      <c r="E59" s="7">
        <f t="shared" si="0"/>
        <v>1497.5</v>
      </c>
      <c r="F59" s="7" t="s">
        <v>1929</v>
      </c>
      <c r="G59" s="7" t="s">
        <v>1925</v>
      </c>
      <c r="H59" s="7" t="s">
        <v>1930</v>
      </c>
      <c r="I59" s="10">
        <v>46027</v>
      </c>
      <c r="K59" s="7" t="s">
        <v>943</v>
      </c>
      <c r="L59" s="7" t="s">
        <v>919</v>
      </c>
      <c r="M59" s="7" t="s">
        <v>920</v>
      </c>
      <c r="N59" s="7" t="s">
        <v>921</v>
      </c>
      <c r="O59" s="7" t="s">
        <v>922</v>
      </c>
      <c r="P59" s="7" t="s">
        <v>923</v>
      </c>
      <c r="Q59" s="7" t="s">
        <v>1862</v>
      </c>
      <c r="R59" s="7" t="s">
        <v>1863</v>
      </c>
      <c r="S59" s="7" t="s">
        <v>1707</v>
      </c>
      <c r="T59" s="7" t="s">
        <v>947</v>
      </c>
      <c r="U59" s="7" t="s">
        <v>947</v>
      </c>
    </row>
    <row r="60" spans="1:21" x14ac:dyDescent="0.15">
      <c r="A60" s="7" t="s">
        <v>912</v>
      </c>
      <c r="B60" s="7" t="s">
        <v>940</v>
      </c>
      <c r="C60" s="7" t="s">
        <v>445</v>
      </c>
      <c r="D60" s="7">
        <v>0</v>
      </c>
      <c r="E60" s="7">
        <f t="shared" si="0"/>
        <v>419.3</v>
      </c>
      <c r="F60" s="7" t="s">
        <v>1925</v>
      </c>
      <c r="G60" s="7" t="s">
        <v>1923</v>
      </c>
      <c r="H60" s="7" t="s">
        <v>1926</v>
      </c>
      <c r="I60" s="10">
        <v>46027</v>
      </c>
      <c r="K60" s="7" t="s">
        <v>943</v>
      </c>
      <c r="L60" s="7" t="s">
        <v>919</v>
      </c>
      <c r="M60" s="7" t="s">
        <v>920</v>
      </c>
      <c r="N60" s="7" t="s">
        <v>921</v>
      </c>
      <c r="O60" s="7" t="s">
        <v>922</v>
      </c>
      <c r="P60" s="7" t="s">
        <v>923</v>
      </c>
      <c r="Q60" s="7" t="s">
        <v>1927</v>
      </c>
      <c r="R60" s="7" t="s">
        <v>1928</v>
      </c>
      <c r="S60" s="7" t="s">
        <v>992</v>
      </c>
      <c r="T60" s="7" t="s">
        <v>947</v>
      </c>
      <c r="U60" s="7" t="s">
        <v>947</v>
      </c>
    </row>
    <row r="61" spans="1:21" x14ac:dyDescent="0.15">
      <c r="A61" s="7" t="s">
        <v>912</v>
      </c>
      <c r="B61" s="7" t="s">
        <v>940</v>
      </c>
      <c r="C61" s="7" t="s">
        <v>675</v>
      </c>
      <c r="D61" s="7">
        <v>0</v>
      </c>
      <c r="E61" s="7">
        <f t="shared" si="0"/>
        <v>1500</v>
      </c>
      <c r="F61" s="7" t="s">
        <v>1923</v>
      </c>
      <c r="G61" s="7" t="s">
        <v>1919</v>
      </c>
      <c r="H61" s="7" t="s">
        <v>1924</v>
      </c>
      <c r="I61" s="10">
        <v>46027</v>
      </c>
      <c r="K61" s="7" t="s">
        <v>943</v>
      </c>
      <c r="L61" s="7" t="s">
        <v>919</v>
      </c>
      <c r="M61" s="7" t="s">
        <v>920</v>
      </c>
      <c r="N61" s="7" t="s">
        <v>921</v>
      </c>
      <c r="O61" s="7" t="s">
        <v>922</v>
      </c>
      <c r="P61" s="7" t="s">
        <v>923</v>
      </c>
      <c r="Q61" s="7" t="s">
        <v>1900</v>
      </c>
      <c r="R61" s="7" t="s">
        <v>1901</v>
      </c>
      <c r="S61" s="7" t="s">
        <v>958</v>
      </c>
      <c r="T61" s="7" t="s">
        <v>947</v>
      </c>
      <c r="U61" s="7" t="s">
        <v>947</v>
      </c>
    </row>
    <row r="62" spans="1:21" x14ac:dyDescent="0.15">
      <c r="A62" s="7" t="s">
        <v>912</v>
      </c>
      <c r="B62" s="7" t="s">
        <v>940</v>
      </c>
      <c r="C62" s="7" t="s">
        <v>500</v>
      </c>
      <c r="D62" s="7">
        <v>0</v>
      </c>
      <c r="E62" s="7">
        <f t="shared" si="0"/>
        <v>61.05</v>
      </c>
      <c r="F62" s="7" t="s">
        <v>1919</v>
      </c>
      <c r="G62" s="7" t="s">
        <v>1917</v>
      </c>
      <c r="H62" s="7" t="s">
        <v>1920</v>
      </c>
      <c r="I62" s="10">
        <v>46027</v>
      </c>
      <c r="K62" s="7" t="s">
        <v>943</v>
      </c>
      <c r="L62" s="7" t="s">
        <v>919</v>
      </c>
      <c r="M62" s="7" t="s">
        <v>920</v>
      </c>
      <c r="N62" s="7" t="s">
        <v>921</v>
      </c>
      <c r="O62" s="7" t="s">
        <v>922</v>
      </c>
      <c r="P62" s="7" t="s">
        <v>923</v>
      </c>
      <c r="Q62" s="7" t="s">
        <v>1921</v>
      </c>
      <c r="R62" s="7" t="s">
        <v>1922</v>
      </c>
      <c r="S62" s="7" t="s">
        <v>953</v>
      </c>
      <c r="T62" s="7" t="s">
        <v>947</v>
      </c>
      <c r="U62" s="7" t="s">
        <v>947</v>
      </c>
    </row>
    <row r="63" spans="1:21" x14ac:dyDescent="0.15">
      <c r="A63" s="7" t="s">
        <v>912</v>
      </c>
      <c r="B63" s="7" t="s">
        <v>913</v>
      </c>
      <c r="C63" s="7" t="s">
        <v>309</v>
      </c>
      <c r="D63" s="7" t="s">
        <v>916</v>
      </c>
      <c r="E63" s="7">
        <f t="shared" si="0"/>
        <v>49.38</v>
      </c>
      <c r="F63" s="7" t="s">
        <v>1917</v>
      </c>
      <c r="G63" s="7" t="s">
        <v>1915</v>
      </c>
      <c r="H63" s="7" t="s">
        <v>1918</v>
      </c>
      <c r="I63" s="10">
        <v>46027</v>
      </c>
      <c r="K63" s="7" t="s">
        <v>918</v>
      </c>
      <c r="L63" s="7" t="s">
        <v>919</v>
      </c>
      <c r="M63" s="7" t="s">
        <v>920</v>
      </c>
      <c r="N63" s="7" t="s">
        <v>921</v>
      </c>
      <c r="O63" s="7" t="s">
        <v>922</v>
      </c>
      <c r="P63" s="7" t="s">
        <v>923</v>
      </c>
      <c r="Q63" s="7" t="s">
        <v>924</v>
      </c>
      <c r="R63" s="7" t="s">
        <v>925</v>
      </c>
      <c r="S63" s="7" t="s">
        <v>926</v>
      </c>
      <c r="T63" s="7" t="s">
        <v>922</v>
      </c>
      <c r="U63" s="7" t="s">
        <v>927</v>
      </c>
    </row>
    <row r="64" spans="1:21" x14ac:dyDescent="0.15">
      <c r="A64" s="7" t="s">
        <v>912</v>
      </c>
      <c r="B64" s="7" t="s">
        <v>940</v>
      </c>
      <c r="C64" s="7" t="s">
        <v>164</v>
      </c>
      <c r="D64" s="7">
        <v>0</v>
      </c>
      <c r="E64" s="7">
        <f t="shared" si="0"/>
        <v>718.8</v>
      </c>
      <c r="F64" s="7" t="s">
        <v>1915</v>
      </c>
      <c r="G64" s="7" t="s">
        <v>1911</v>
      </c>
      <c r="H64" s="7" t="s">
        <v>1916</v>
      </c>
      <c r="I64" s="10">
        <v>46027</v>
      </c>
      <c r="K64" s="7" t="s">
        <v>943</v>
      </c>
      <c r="L64" s="7" t="s">
        <v>919</v>
      </c>
      <c r="M64" s="7" t="s">
        <v>920</v>
      </c>
      <c r="N64" s="7" t="s">
        <v>921</v>
      </c>
      <c r="O64" s="7" t="s">
        <v>922</v>
      </c>
      <c r="P64" s="7" t="s">
        <v>923</v>
      </c>
      <c r="Q64" s="7" t="s">
        <v>1846</v>
      </c>
      <c r="R64" s="7" t="s">
        <v>1847</v>
      </c>
      <c r="S64" s="7" t="s">
        <v>946</v>
      </c>
      <c r="T64" s="7" t="s">
        <v>947</v>
      </c>
      <c r="U64" s="7" t="s">
        <v>947</v>
      </c>
    </row>
    <row r="65" spans="1:21" x14ac:dyDescent="0.15">
      <c r="A65" s="7" t="s">
        <v>948</v>
      </c>
      <c r="B65" s="7" t="s">
        <v>940</v>
      </c>
      <c r="C65" s="7" t="s">
        <v>768</v>
      </c>
      <c r="D65" s="7">
        <v>0</v>
      </c>
      <c r="E65" s="7">
        <f t="shared" si="0"/>
        <v>-104.4</v>
      </c>
      <c r="F65" s="7" t="s">
        <v>1911</v>
      </c>
      <c r="G65" s="7" t="s">
        <v>1910</v>
      </c>
      <c r="H65" s="7" t="s">
        <v>1912</v>
      </c>
      <c r="I65" s="10">
        <v>46027</v>
      </c>
      <c r="K65" s="7" t="s">
        <v>951</v>
      </c>
      <c r="L65" s="7" t="s">
        <v>1913</v>
      </c>
      <c r="M65" s="7" t="s">
        <v>1914</v>
      </c>
      <c r="N65" s="7" t="s">
        <v>1062</v>
      </c>
      <c r="O65" s="7" t="s">
        <v>947</v>
      </c>
      <c r="P65" s="7" t="s">
        <v>947</v>
      </c>
      <c r="Q65" s="7" t="s">
        <v>919</v>
      </c>
      <c r="R65" s="7" t="s">
        <v>920</v>
      </c>
      <c r="S65" s="7" t="s">
        <v>921</v>
      </c>
      <c r="T65" s="7" t="s">
        <v>922</v>
      </c>
      <c r="U65" s="7" t="s">
        <v>923</v>
      </c>
    </row>
    <row r="66" spans="1:21" x14ac:dyDescent="0.15">
      <c r="A66" s="7" t="s">
        <v>948</v>
      </c>
      <c r="B66" s="7" t="s">
        <v>940</v>
      </c>
      <c r="C66" s="7" t="s">
        <v>786</v>
      </c>
      <c r="D66" s="7">
        <v>0</v>
      </c>
      <c r="E66" s="7">
        <f t="shared" ref="E66:E129" si="1">C66-D66</f>
        <v>-50</v>
      </c>
      <c r="F66" s="7" t="s">
        <v>1906</v>
      </c>
      <c r="G66" s="7" t="s">
        <v>1904</v>
      </c>
      <c r="H66" s="7" t="s">
        <v>1907</v>
      </c>
      <c r="I66" s="10">
        <v>46027</v>
      </c>
      <c r="K66" s="7" t="s">
        <v>951</v>
      </c>
      <c r="L66" s="7" t="s">
        <v>1908</v>
      </c>
      <c r="M66" s="7" t="s">
        <v>1909</v>
      </c>
      <c r="N66" s="7" t="s">
        <v>992</v>
      </c>
      <c r="O66" s="7" t="s">
        <v>947</v>
      </c>
      <c r="P66" s="7" t="s">
        <v>947</v>
      </c>
      <c r="Q66" s="7" t="s">
        <v>919</v>
      </c>
      <c r="R66" s="7" t="s">
        <v>920</v>
      </c>
      <c r="S66" s="7" t="s">
        <v>921</v>
      </c>
      <c r="T66" s="7" t="s">
        <v>922</v>
      </c>
      <c r="U66" s="7" t="s">
        <v>923</v>
      </c>
    </row>
    <row r="67" spans="1:21" x14ac:dyDescent="0.15">
      <c r="A67" s="7" t="s">
        <v>912</v>
      </c>
      <c r="B67" s="7" t="s">
        <v>940</v>
      </c>
      <c r="C67" s="7" t="s">
        <v>795</v>
      </c>
      <c r="D67" s="7">
        <v>0</v>
      </c>
      <c r="E67" s="7">
        <f t="shared" si="1"/>
        <v>539.1</v>
      </c>
      <c r="F67" s="7" t="s">
        <v>1910</v>
      </c>
      <c r="G67" s="7" t="s">
        <v>1906</v>
      </c>
      <c r="H67" s="7" t="s">
        <v>1907</v>
      </c>
      <c r="I67" s="10">
        <v>46027</v>
      </c>
      <c r="K67" s="7" t="s">
        <v>943</v>
      </c>
      <c r="L67" s="7" t="s">
        <v>919</v>
      </c>
      <c r="M67" s="7" t="s">
        <v>920</v>
      </c>
      <c r="N67" s="7" t="s">
        <v>921</v>
      </c>
      <c r="O67" s="7" t="s">
        <v>922</v>
      </c>
      <c r="P67" s="7" t="s">
        <v>923</v>
      </c>
      <c r="Q67" s="7" t="s">
        <v>1854</v>
      </c>
      <c r="R67" s="7" t="s">
        <v>1855</v>
      </c>
      <c r="S67" s="7" t="s">
        <v>992</v>
      </c>
      <c r="T67" s="7" t="s">
        <v>947</v>
      </c>
      <c r="U67" s="7" t="s">
        <v>947</v>
      </c>
    </row>
    <row r="68" spans="1:21" x14ac:dyDescent="0.15">
      <c r="A68" s="7" t="s">
        <v>948</v>
      </c>
      <c r="B68" s="7" t="s">
        <v>940</v>
      </c>
      <c r="C68" s="7" t="s">
        <v>744</v>
      </c>
      <c r="D68" s="7">
        <v>0</v>
      </c>
      <c r="E68" s="7">
        <f t="shared" si="1"/>
        <v>-28000</v>
      </c>
      <c r="F68" s="7" t="s">
        <v>1904</v>
      </c>
      <c r="G68" s="7" t="s">
        <v>1902</v>
      </c>
      <c r="H68" s="7" t="s">
        <v>1905</v>
      </c>
      <c r="I68" s="10">
        <v>46027</v>
      </c>
      <c r="K68" s="7" t="s">
        <v>951</v>
      </c>
      <c r="L68" s="7" t="s">
        <v>1021</v>
      </c>
      <c r="M68" s="7" t="s">
        <v>920</v>
      </c>
      <c r="N68" s="7" t="s">
        <v>1016</v>
      </c>
      <c r="O68" s="7" t="s">
        <v>947</v>
      </c>
      <c r="P68" s="7" t="s">
        <v>947</v>
      </c>
      <c r="Q68" s="7" t="s">
        <v>919</v>
      </c>
      <c r="R68" s="7" t="s">
        <v>920</v>
      </c>
      <c r="S68" s="7" t="s">
        <v>921</v>
      </c>
      <c r="T68" s="7" t="s">
        <v>922</v>
      </c>
      <c r="U68" s="7" t="s">
        <v>923</v>
      </c>
    </row>
    <row r="69" spans="1:21" x14ac:dyDescent="0.15">
      <c r="A69" s="7" t="s">
        <v>912</v>
      </c>
      <c r="B69" s="7" t="s">
        <v>940</v>
      </c>
      <c r="C69" s="7" t="s">
        <v>206</v>
      </c>
      <c r="D69" s="7">
        <v>0</v>
      </c>
      <c r="E69" s="7">
        <f t="shared" si="1"/>
        <v>958.4</v>
      </c>
      <c r="F69" s="7" t="s">
        <v>1902</v>
      </c>
      <c r="G69" s="7" t="s">
        <v>1898</v>
      </c>
      <c r="H69" s="7" t="s">
        <v>1903</v>
      </c>
      <c r="I69" s="10">
        <v>46027</v>
      </c>
      <c r="K69" s="7" t="s">
        <v>943</v>
      </c>
      <c r="L69" s="7" t="s">
        <v>919</v>
      </c>
      <c r="M69" s="7" t="s">
        <v>920</v>
      </c>
      <c r="N69" s="7" t="s">
        <v>921</v>
      </c>
      <c r="O69" s="7" t="s">
        <v>922</v>
      </c>
      <c r="P69" s="7" t="s">
        <v>923</v>
      </c>
      <c r="Q69" s="7" t="s">
        <v>1858</v>
      </c>
      <c r="R69" s="7" t="s">
        <v>1859</v>
      </c>
      <c r="S69" s="7" t="s">
        <v>1589</v>
      </c>
      <c r="T69" s="7" t="s">
        <v>947</v>
      </c>
      <c r="U69" s="7" t="s">
        <v>947</v>
      </c>
    </row>
    <row r="70" spans="1:21" x14ac:dyDescent="0.15">
      <c r="A70" s="7" t="s">
        <v>912</v>
      </c>
      <c r="B70" s="7" t="s">
        <v>940</v>
      </c>
      <c r="C70" s="7" t="s">
        <v>102</v>
      </c>
      <c r="D70" s="7">
        <v>0</v>
      </c>
      <c r="E70" s="7">
        <f t="shared" si="1"/>
        <v>86.42</v>
      </c>
      <c r="F70" s="7" t="s">
        <v>1898</v>
      </c>
      <c r="G70" s="7" t="s">
        <v>1894</v>
      </c>
      <c r="H70" s="7" t="s">
        <v>1899</v>
      </c>
      <c r="I70" s="10">
        <v>46027</v>
      </c>
      <c r="K70" s="7" t="s">
        <v>943</v>
      </c>
      <c r="L70" s="7" t="s">
        <v>919</v>
      </c>
      <c r="M70" s="7" t="s">
        <v>920</v>
      </c>
      <c r="N70" s="7" t="s">
        <v>921</v>
      </c>
      <c r="O70" s="7" t="s">
        <v>922</v>
      </c>
      <c r="P70" s="7" t="s">
        <v>923</v>
      </c>
      <c r="Q70" s="7" t="s">
        <v>1900</v>
      </c>
      <c r="R70" s="7" t="s">
        <v>1901</v>
      </c>
      <c r="S70" s="7" t="s">
        <v>958</v>
      </c>
      <c r="T70" s="7" t="s">
        <v>947</v>
      </c>
      <c r="U70" s="7" t="s">
        <v>947</v>
      </c>
    </row>
    <row r="71" spans="1:21" x14ac:dyDescent="0.15">
      <c r="A71" s="7" t="s">
        <v>912</v>
      </c>
      <c r="B71" s="7" t="s">
        <v>972</v>
      </c>
      <c r="C71" s="7" t="s">
        <v>1893</v>
      </c>
      <c r="D71" s="7" t="s">
        <v>1204</v>
      </c>
      <c r="E71" s="7">
        <f t="shared" si="1"/>
        <v>41.73</v>
      </c>
      <c r="F71" s="7" t="s">
        <v>1894</v>
      </c>
      <c r="G71" s="7" t="s">
        <v>1891</v>
      </c>
      <c r="H71" s="7" t="s">
        <v>1895</v>
      </c>
      <c r="I71" s="10">
        <v>46027</v>
      </c>
      <c r="K71" s="7" t="s">
        <v>962</v>
      </c>
      <c r="L71" s="7" t="s">
        <v>919</v>
      </c>
      <c r="M71" s="7" t="s">
        <v>920</v>
      </c>
      <c r="N71" s="7" t="s">
        <v>921</v>
      </c>
      <c r="O71" s="7" t="s">
        <v>922</v>
      </c>
      <c r="P71" s="7" t="s">
        <v>923</v>
      </c>
      <c r="Q71" s="7" t="s">
        <v>1896</v>
      </c>
      <c r="R71" s="7" t="s">
        <v>1897</v>
      </c>
      <c r="S71" s="7" t="s">
        <v>1028</v>
      </c>
      <c r="T71" s="7" t="s">
        <v>947</v>
      </c>
      <c r="U71" s="7" t="s">
        <v>947</v>
      </c>
    </row>
    <row r="72" spans="1:21" x14ac:dyDescent="0.15">
      <c r="A72" s="7" t="s">
        <v>912</v>
      </c>
      <c r="B72" s="7" t="s">
        <v>913</v>
      </c>
      <c r="C72" s="7" t="s">
        <v>34</v>
      </c>
      <c r="D72" s="7" t="s">
        <v>916</v>
      </c>
      <c r="E72" s="7">
        <f t="shared" si="1"/>
        <v>80.2</v>
      </c>
      <c r="F72" s="7" t="s">
        <v>1891</v>
      </c>
      <c r="G72" s="7" t="s">
        <v>1890</v>
      </c>
      <c r="H72" s="7" t="s">
        <v>1892</v>
      </c>
      <c r="I72" s="10">
        <v>46027</v>
      </c>
      <c r="K72" s="7" t="s">
        <v>918</v>
      </c>
      <c r="L72" s="7" t="s">
        <v>919</v>
      </c>
      <c r="M72" s="7" t="s">
        <v>920</v>
      </c>
      <c r="N72" s="7" t="s">
        <v>921</v>
      </c>
      <c r="O72" s="7" t="s">
        <v>922</v>
      </c>
      <c r="P72" s="7" t="s">
        <v>923</v>
      </c>
      <c r="Q72" s="7" t="s">
        <v>924</v>
      </c>
      <c r="R72" s="7" t="s">
        <v>925</v>
      </c>
      <c r="S72" s="7" t="s">
        <v>926</v>
      </c>
      <c r="T72" s="7" t="s">
        <v>922</v>
      </c>
      <c r="U72" s="7" t="s">
        <v>927</v>
      </c>
    </row>
    <row r="73" spans="1:21" x14ac:dyDescent="0.15">
      <c r="A73" s="7" t="s">
        <v>912</v>
      </c>
      <c r="B73" s="7" t="s">
        <v>913</v>
      </c>
      <c r="C73" s="7" t="s">
        <v>829</v>
      </c>
      <c r="D73" s="7" t="s">
        <v>916</v>
      </c>
      <c r="E73" s="7">
        <f t="shared" si="1"/>
        <v>234.97</v>
      </c>
      <c r="F73" s="7" t="s">
        <v>1888</v>
      </c>
      <c r="G73" s="7" t="s">
        <v>1884</v>
      </c>
      <c r="H73" s="7" t="s">
        <v>1889</v>
      </c>
      <c r="I73" s="10">
        <v>46027</v>
      </c>
      <c r="K73" s="7" t="s">
        <v>918</v>
      </c>
      <c r="L73" s="7" t="s">
        <v>919</v>
      </c>
      <c r="M73" s="7" t="s">
        <v>920</v>
      </c>
      <c r="N73" s="7" t="s">
        <v>921</v>
      </c>
      <c r="O73" s="7" t="s">
        <v>922</v>
      </c>
      <c r="P73" s="7" t="s">
        <v>923</v>
      </c>
      <c r="Q73" s="7" t="s">
        <v>924</v>
      </c>
      <c r="R73" s="7" t="s">
        <v>925</v>
      </c>
      <c r="S73" s="7" t="s">
        <v>926</v>
      </c>
      <c r="T73" s="7" t="s">
        <v>922</v>
      </c>
      <c r="U73" s="7" t="s">
        <v>927</v>
      </c>
    </row>
    <row r="74" spans="1:21" x14ac:dyDescent="0.15">
      <c r="A74" s="7" t="s">
        <v>912</v>
      </c>
      <c r="B74" s="7" t="s">
        <v>913</v>
      </c>
      <c r="C74" s="7" t="s">
        <v>124</v>
      </c>
      <c r="D74" s="7" t="s">
        <v>916</v>
      </c>
      <c r="E74" s="7">
        <f t="shared" si="1"/>
        <v>27.51</v>
      </c>
      <c r="F74" s="7" t="s">
        <v>1890</v>
      </c>
      <c r="G74" s="7" t="s">
        <v>1888</v>
      </c>
      <c r="H74" s="7" t="s">
        <v>1889</v>
      </c>
      <c r="I74" s="10">
        <v>46027</v>
      </c>
      <c r="K74" s="7" t="s">
        <v>918</v>
      </c>
      <c r="L74" s="7" t="s">
        <v>919</v>
      </c>
      <c r="M74" s="7" t="s">
        <v>920</v>
      </c>
      <c r="N74" s="7" t="s">
        <v>921</v>
      </c>
      <c r="O74" s="7" t="s">
        <v>922</v>
      </c>
      <c r="P74" s="7" t="s">
        <v>923</v>
      </c>
      <c r="Q74" s="7" t="s">
        <v>924</v>
      </c>
      <c r="R74" s="7" t="s">
        <v>925</v>
      </c>
      <c r="S74" s="7" t="s">
        <v>926</v>
      </c>
      <c r="T74" s="7" t="s">
        <v>922</v>
      </c>
      <c r="U74" s="7" t="s">
        <v>927</v>
      </c>
    </row>
    <row r="75" spans="1:21" x14ac:dyDescent="0.15">
      <c r="A75" s="7" t="s">
        <v>912</v>
      </c>
      <c r="B75" s="7" t="s">
        <v>940</v>
      </c>
      <c r="C75" s="7" t="s">
        <v>857</v>
      </c>
      <c r="D75" s="7">
        <v>0</v>
      </c>
      <c r="E75" s="7">
        <f t="shared" si="1"/>
        <v>172.53</v>
      </c>
      <c r="F75" s="7" t="s">
        <v>1884</v>
      </c>
      <c r="G75" s="7" t="s">
        <v>1880</v>
      </c>
      <c r="H75" s="7" t="s">
        <v>1885</v>
      </c>
      <c r="I75" s="10">
        <v>46028</v>
      </c>
      <c r="K75" s="7" t="s">
        <v>943</v>
      </c>
      <c r="L75" s="7" t="s">
        <v>919</v>
      </c>
      <c r="M75" s="7" t="s">
        <v>920</v>
      </c>
      <c r="N75" s="7" t="s">
        <v>921</v>
      </c>
      <c r="O75" s="7" t="s">
        <v>922</v>
      </c>
      <c r="P75" s="7" t="s">
        <v>923</v>
      </c>
      <c r="Q75" s="7" t="s">
        <v>1886</v>
      </c>
      <c r="R75" s="7" t="s">
        <v>1887</v>
      </c>
      <c r="S75" s="7" t="s">
        <v>946</v>
      </c>
      <c r="T75" s="7" t="s">
        <v>947</v>
      </c>
      <c r="U75" s="7" t="s">
        <v>947</v>
      </c>
    </row>
    <row r="76" spans="1:21" x14ac:dyDescent="0.15">
      <c r="A76" s="7" t="s">
        <v>912</v>
      </c>
      <c r="B76" s="7" t="s">
        <v>940</v>
      </c>
      <c r="C76" s="7" t="s">
        <v>84</v>
      </c>
      <c r="D76" s="7">
        <v>0</v>
      </c>
      <c r="E76" s="7">
        <f t="shared" si="1"/>
        <v>9887.92</v>
      </c>
      <c r="F76" s="7" t="s">
        <v>1880</v>
      </c>
      <c r="G76" s="7" t="s">
        <v>1878</v>
      </c>
      <c r="H76" s="7" t="s">
        <v>1881</v>
      </c>
      <c r="I76" s="10">
        <v>46028</v>
      </c>
      <c r="K76" s="7" t="s">
        <v>943</v>
      </c>
      <c r="L76" s="7" t="s">
        <v>919</v>
      </c>
      <c r="M76" s="7" t="s">
        <v>920</v>
      </c>
      <c r="N76" s="7" t="s">
        <v>921</v>
      </c>
      <c r="O76" s="7" t="s">
        <v>922</v>
      </c>
      <c r="P76" s="7" t="s">
        <v>923</v>
      </c>
      <c r="Q76" s="7" t="s">
        <v>1882</v>
      </c>
      <c r="R76" s="7" t="s">
        <v>1883</v>
      </c>
      <c r="S76" s="7" t="s">
        <v>946</v>
      </c>
      <c r="T76" s="7" t="s">
        <v>947</v>
      </c>
      <c r="U76" s="7" t="s">
        <v>947</v>
      </c>
    </row>
    <row r="77" spans="1:21" x14ac:dyDescent="0.15">
      <c r="A77" s="7" t="s">
        <v>912</v>
      </c>
      <c r="B77" s="7" t="s">
        <v>940</v>
      </c>
      <c r="C77" s="7" t="s">
        <v>671</v>
      </c>
      <c r="D77" s="7">
        <v>0</v>
      </c>
      <c r="E77" s="7">
        <f t="shared" si="1"/>
        <v>1377.7</v>
      </c>
      <c r="F77" s="7" t="s">
        <v>1878</v>
      </c>
      <c r="G77" s="7" t="s">
        <v>1874</v>
      </c>
      <c r="H77" s="7" t="s">
        <v>1879</v>
      </c>
      <c r="I77" s="10">
        <v>46028</v>
      </c>
      <c r="K77" s="7" t="s">
        <v>943</v>
      </c>
      <c r="L77" s="7" t="s">
        <v>919</v>
      </c>
      <c r="M77" s="7" t="s">
        <v>920</v>
      </c>
      <c r="N77" s="7" t="s">
        <v>921</v>
      </c>
      <c r="O77" s="7" t="s">
        <v>922</v>
      </c>
      <c r="P77" s="7" t="s">
        <v>923</v>
      </c>
      <c r="Q77" s="7" t="s">
        <v>1828</v>
      </c>
      <c r="R77" s="7" t="s">
        <v>1829</v>
      </c>
      <c r="S77" s="7" t="s">
        <v>958</v>
      </c>
      <c r="T77" s="7" t="s">
        <v>947</v>
      </c>
      <c r="U77" s="7" t="s">
        <v>947</v>
      </c>
    </row>
    <row r="78" spans="1:21" x14ac:dyDescent="0.15">
      <c r="A78" s="7" t="s">
        <v>912</v>
      </c>
      <c r="B78" s="7" t="s">
        <v>940</v>
      </c>
      <c r="C78" s="7" t="s">
        <v>637</v>
      </c>
      <c r="D78" s="7">
        <v>0</v>
      </c>
      <c r="E78" s="7">
        <f t="shared" si="1"/>
        <v>6682.54</v>
      </c>
      <c r="F78" s="7" t="s">
        <v>1874</v>
      </c>
      <c r="G78" s="7" t="s">
        <v>1870</v>
      </c>
      <c r="H78" s="7" t="s">
        <v>1875</v>
      </c>
      <c r="I78" s="10">
        <v>46028</v>
      </c>
      <c r="K78" s="7" t="s">
        <v>943</v>
      </c>
      <c r="L78" s="7" t="s">
        <v>919</v>
      </c>
      <c r="M78" s="7" t="s">
        <v>920</v>
      </c>
      <c r="N78" s="7" t="s">
        <v>921</v>
      </c>
      <c r="O78" s="7" t="s">
        <v>922</v>
      </c>
      <c r="P78" s="7" t="s">
        <v>923</v>
      </c>
      <c r="Q78" s="7" t="s">
        <v>1876</v>
      </c>
      <c r="R78" s="7" t="s">
        <v>1877</v>
      </c>
      <c r="S78" s="7" t="s">
        <v>958</v>
      </c>
      <c r="T78" s="7" t="s">
        <v>947</v>
      </c>
      <c r="U78" s="7" t="s">
        <v>947</v>
      </c>
    </row>
    <row r="79" spans="1:21" x14ac:dyDescent="0.15">
      <c r="A79" s="7" t="s">
        <v>912</v>
      </c>
      <c r="B79" s="7" t="s">
        <v>940</v>
      </c>
      <c r="C79" s="7" t="s">
        <v>123</v>
      </c>
      <c r="D79" s="7">
        <v>0</v>
      </c>
      <c r="E79" s="7">
        <f t="shared" si="1"/>
        <v>3619.55</v>
      </c>
      <c r="F79" s="7" t="s">
        <v>1870</v>
      </c>
      <c r="G79" s="7" t="s">
        <v>1866</v>
      </c>
      <c r="H79" s="7" t="s">
        <v>1871</v>
      </c>
      <c r="I79" s="10">
        <v>46028</v>
      </c>
      <c r="K79" s="7" t="s">
        <v>943</v>
      </c>
      <c r="L79" s="7" t="s">
        <v>919</v>
      </c>
      <c r="M79" s="7" t="s">
        <v>920</v>
      </c>
      <c r="N79" s="7" t="s">
        <v>921</v>
      </c>
      <c r="O79" s="7" t="s">
        <v>922</v>
      </c>
      <c r="P79" s="7" t="s">
        <v>923</v>
      </c>
      <c r="Q79" s="7" t="s">
        <v>1872</v>
      </c>
      <c r="R79" s="7" t="s">
        <v>1873</v>
      </c>
      <c r="S79" s="7" t="s">
        <v>992</v>
      </c>
      <c r="T79" s="7" t="s">
        <v>947</v>
      </c>
      <c r="U79" s="7" t="s">
        <v>947</v>
      </c>
    </row>
    <row r="80" spans="1:21" x14ac:dyDescent="0.15">
      <c r="A80" s="7" t="s">
        <v>912</v>
      </c>
      <c r="B80" s="7" t="s">
        <v>940</v>
      </c>
      <c r="C80" s="7" t="s">
        <v>137</v>
      </c>
      <c r="D80" s="7">
        <v>0</v>
      </c>
      <c r="E80" s="7">
        <f t="shared" si="1"/>
        <v>2237.54</v>
      </c>
      <c r="F80" s="7" t="s">
        <v>1866</v>
      </c>
      <c r="G80" s="7" t="s">
        <v>1864</v>
      </c>
      <c r="H80" s="7" t="s">
        <v>1867</v>
      </c>
      <c r="I80" s="10">
        <v>46029</v>
      </c>
      <c r="K80" s="7" t="s">
        <v>943</v>
      </c>
      <c r="L80" s="7" t="s">
        <v>919</v>
      </c>
      <c r="M80" s="7" t="s">
        <v>920</v>
      </c>
      <c r="N80" s="7" t="s">
        <v>921</v>
      </c>
      <c r="O80" s="7" t="s">
        <v>922</v>
      </c>
      <c r="P80" s="7" t="s">
        <v>923</v>
      </c>
      <c r="Q80" s="7" t="s">
        <v>1868</v>
      </c>
      <c r="R80" s="7" t="s">
        <v>1869</v>
      </c>
      <c r="S80" s="7" t="s">
        <v>946</v>
      </c>
      <c r="T80" s="7" t="s">
        <v>947</v>
      </c>
      <c r="U80" s="7" t="s">
        <v>947</v>
      </c>
    </row>
    <row r="81" spans="1:21" x14ac:dyDescent="0.15">
      <c r="A81" s="7" t="s">
        <v>948</v>
      </c>
      <c r="B81" s="7" t="s">
        <v>940</v>
      </c>
      <c r="C81" s="7" t="s">
        <v>229</v>
      </c>
      <c r="D81" s="7">
        <v>0</v>
      </c>
      <c r="E81" s="7">
        <f t="shared" si="1"/>
        <v>-25000</v>
      </c>
      <c r="F81" s="7" t="s">
        <v>1864</v>
      </c>
      <c r="G81" s="7" t="s">
        <v>1860</v>
      </c>
      <c r="H81" s="7" t="s">
        <v>1865</v>
      </c>
      <c r="I81" s="10">
        <v>46029</v>
      </c>
      <c r="K81" s="7" t="s">
        <v>951</v>
      </c>
      <c r="L81" s="7" t="s">
        <v>1021</v>
      </c>
      <c r="M81" s="7" t="s">
        <v>920</v>
      </c>
      <c r="N81" s="7" t="s">
        <v>1016</v>
      </c>
      <c r="O81" s="7" t="s">
        <v>947</v>
      </c>
      <c r="P81" s="7" t="s">
        <v>947</v>
      </c>
      <c r="Q81" s="7" t="s">
        <v>919</v>
      </c>
      <c r="R81" s="7" t="s">
        <v>920</v>
      </c>
      <c r="S81" s="7" t="s">
        <v>921</v>
      </c>
      <c r="T81" s="7" t="s">
        <v>922</v>
      </c>
      <c r="U81" s="7" t="s">
        <v>923</v>
      </c>
    </row>
    <row r="82" spans="1:21" x14ac:dyDescent="0.15">
      <c r="A82" s="7" t="s">
        <v>912</v>
      </c>
      <c r="B82" s="7" t="s">
        <v>940</v>
      </c>
      <c r="C82" s="7" t="s">
        <v>410</v>
      </c>
      <c r="D82" s="7">
        <v>0</v>
      </c>
      <c r="E82" s="7">
        <f t="shared" si="1"/>
        <v>105.5</v>
      </c>
      <c r="F82" s="7" t="s">
        <v>1860</v>
      </c>
      <c r="G82" s="7" t="s">
        <v>1856</v>
      </c>
      <c r="H82" s="7" t="s">
        <v>1861</v>
      </c>
      <c r="I82" s="10">
        <v>46029</v>
      </c>
      <c r="K82" s="7" t="s">
        <v>943</v>
      </c>
      <c r="L82" s="7" t="s">
        <v>919</v>
      </c>
      <c r="M82" s="7" t="s">
        <v>920</v>
      </c>
      <c r="N82" s="7" t="s">
        <v>921</v>
      </c>
      <c r="O82" s="7" t="s">
        <v>922</v>
      </c>
      <c r="P82" s="7" t="s">
        <v>923</v>
      </c>
      <c r="Q82" s="7" t="s">
        <v>1862</v>
      </c>
      <c r="R82" s="7" t="s">
        <v>1863</v>
      </c>
      <c r="S82" s="7" t="s">
        <v>1707</v>
      </c>
      <c r="T82" s="7" t="s">
        <v>947</v>
      </c>
      <c r="U82" s="7" t="s">
        <v>947</v>
      </c>
    </row>
    <row r="83" spans="1:21" x14ac:dyDescent="0.15">
      <c r="A83" s="7" t="s">
        <v>912</v>
      </c>
      <c r="B83" s="7" t="s">
        <v>940</v>
      </c>
      <c r="C83" s="7" t="s">
        <v>332</v>
      </c>
      <c r="D83" s="7">
        <v>0</v>
      </c>
      <c r="E83" s="7">
        <f t="shared" si="1"/>
        <v>67.52</v>
      </c>
      <c r="F83" s="7" t="s">
        <v>1856</v>
      </c>
      <c r="G83" s="7" t="s">
        <v>1852</v>
      </c>
      <c r="H83" s="7" t="s">
        <v>1857</v>
      </c>
      <c r="I83" s="10">
        <v>46029</v>
      </c>
      <c r="K83" s="7" t="s">
        <v>943</v>
      </c>
      <c r="L83" s="7" t="s">
        <v>919</v>
      </c>
      <c r="M83" s="7" t="s">
        <v>920</v>
      </c>
      <c r="N83" s="7" t="s">
        <v>921</v>
      </c>
      <c r="O83" s="7" t="s">
        <v>922</v>
      </c>
      <c r="P83" s="7" t="s">
        <v>923</v>
      </c>
      <c r="Q83" s="7" t="s">
        <v>1858</v>
      </c>
      <c r="R83" s="7" t="s">
        <v>1859</v>
      </c>
      <c r="S83" s="7" t="s">
        <v>1589</v>
      </c>
      <c r="T83" s="7" t="s">
        <v>947</v>
      </c>
      <c r="U83" s="7" t="s">
        <v>947</v>
      </c>
    </row>
    <row r="84" spans="1:21" x14ac:dyDescent="0.15">
      <c r="A84" s="7" t="s">
        <v>912</v>
      </c>
      <c r="B84" s="7" t="s">
        <v>940</v>
      </c>
      <c r="C84" s="7" t="s">
        <v>567</v>
      </c>
      <c r="D84" s="7">
        <v>0</v>
      </c>
      <c r="E84" s="7">
        <f t="shared" si="1"/>
        <v>37.979999999999997</v>
      </c>
      <c r="F84" s="7" t="s">
        <v>1852</v>
      </c>
      <c r="G84" s="7" t="s">
        <v>1848</v>
      </c>
      <c r="H84" s="7" t="s">
        <v>1853</v>
      </c>
      <c r="I84" s="10">
        <v>46029</v>
      </c>
      <c r="K84" s="7" t="s">
        <v>943</v>
      </c>
      <c r="L84" s="7" t="s">
        <v>919</v>
      </c>
      <c r="M84" s="7" t="s">
        <v>920</v>
      </c>
      <c r="N84" s="7" t="s">
        <v>921</v>
      </c>
      <c r="O84" s="7" t="s">
        <v>922</v>
      </c>
      <c r="P84" s="7" t="s">
        <v>923</v>
      </c>
      <c r="Q84" s="7" t="s">
        <v>1854</v>
      </c>
      <c r="R84" s="7" t="s">
        <v>1855</v>
      </c>
      <c r="S84" s="7" t="s">
        <v>992</v>
      </c>
      <c r="T84" s="7" t="s">
        <v>947</v>
      </c>
      <c r="U84" s="7" t="s">
        <v>947</v>
      </c>
    </row>
    <row r="85" spans="1:21" x14ac:dyDescent="0.15">
      <c r="A85" s="7" t="s">
        <v>912</v>
      </c>
      <c r="B85" s="7" t="s">
        <v>940</v>
      </c>
      <c r="C85" s="7" t="s">
        <v>338</v>
      </c>
      <c r="D85" s="7">
        <v>0</v>
      </c>
      <c r="E85" s="7">
        <f t="shared" si="1"/>
        <v>71.739999999999995</v>
      </c>
      <c r="F85" s="7" t="s">
        <v>1848</v>
      </c>
      <c r="G85" s="7" t="s">
        <v>1844</v>
      </c>
      <c r="H85" s="7" t="s">
        <v>1849</v>
      </c>
      <c r="I85" s="10">
        <v>46029</v>
      </c>
      <c r="K85" s="7" t="s">
        <v>943</v>
      </c>
      <c r="L85" s="7" t="s">
        <v>919</v>
      </c>
      <c r="M85" s="7" t="s">
        <v>920</v>
      </c>
      <c r="N85" s="7" t="s">
        <v>921</v>
      </c>
      <c r="O85" s="7" t="s">
        <v>922</v>
      </c>
      <c r="P85" s="7" t="s">
        <v>923</v>
      </c>
      <c r="Q85" s="7" t="s">
        <v>1850</v>
      </c>
      <c r="R85" s="7" t="s">
        <v>1851</v>
      </c>
      <c r="S85" s="7" t="s">
        <v>1800</v>
      </c>
      <c r="T85" s="7" t="s">
        <v>947</v>
      </c>
      <c r="U85" s="7" t="s">
        <v>947</v>
      </c>
    </row>
    <row r="86" spans="1:21" x14ac:dyDescent="0.15">
      <c r="A86" s="7" t="s">
        <v>912</v>
      </c>
      <c r="B86" s="7" t="s">
        <v>940</v>
      </c>
      <c r="C86" s="7" t="s">
        <v>755</v>
      </c>
      <c r="D86" s="7">
        <v>0</v>
      </c>
      <c r="E86" s="7">
        <f t="shared" si="1"/>
        <v>50.64</v>
      </c>
      <c r="F86" s="7" t="s">
        <v>1844</v>
      </c>
      <c r="G86" s="7" t="s">
        <v>1840</v>
      </c>
      <c r="H86" s="7" t="s">
        <v>1845</v>
      </c>
      <c r="I86" s="10">
        <v>46029</v>
      </c>
      <c r="K86" s="7" t="s">
        <v>943</v>
      </c>
      <c r="L86" s="7" t="s">
        <v>919</v>
      </c>
      <c r="M86" s="7" t="s">
        <v>920</v>
      </c>
      <c r="N86" s="7" t="s">
        <v>921</v>
      </c>
      <c r="O86" s="7" t="s">
        <v>922</v>
      </c>
      <c r="P86" s="7" t="s">
        <v>923</v>
      </c>
      <c r="Q86" s="7" t="s">
        <v>1846</v>
      </c>
      <c r="R86" s="7" t="s">
        <v>1847</v>
      </c>
      <c r="S86" s="7" t="s">
        <v>946</v>
      </c>
      <c r="T86" s="7" t="s">
        <v>947</v>
      </c>
      <c r="U86" s="7" t="s">
        <v>947</v>
      </c>
    </row>
    <row r="87" spans="1:21" x14ac:dyDescent="0.15">
      <c r="A87" s="7" t="s">
        <v>912</v>
      </c>
      <c r="B87" s="7" t="s">
        <v>940</v>
      </c>
      <c r="C87" s="7" t="s">
        <v>486</v>
      </c>
      <c r="D87" s="7">
        <v>0</v>
      </c>
      <c r="E87" s="7">
        <f t="shared" si="1"/>
        <v>10.7</v>
      </c>
      <c r="F87" s="7" t="s">
        <v>1840</v>
      </c>
      <c r="G87" s="7" t="s">
        <v>1836</v>
      </c>
      <c r="H87" s="7" t="s">
        <v>1841</v>
      </c>
      <c r="I87" s="10">
        <v>46029</v>
      </c>
      <c r="K87" s="7" t="s">
        <v>943</v>
      </c>
      <c r="L87" s="7" t="s">
        <v>919</v>
      </c>
      <c r="M87" s="7" t="s">
        <v>920</v>
      </c>
      <c r="N87" s="7" t="s">
        <v>921</v>
      </c>
      <c r="O87" s="7" t="s">
        <v>922</v>
      </c>
      <c r="P87" s="7" t="s">
        <v>923</v>
      </c>
      <c r="Q87" s="7" t="s">
        <v>1842</v>
      </c>
      <c r="R87" s="7" t="s">
        <v>1843</v>
      </c>
      <c r="S87" s="7" t="s">
        <v>992</v>
      </c>
      <c r="T87" s="7" t="s">
        <v>947</v>
      </c>
      <c r="U87" s="7" t="s">
        <v>947</v>
      </c>
    </row>
    <row r="88" spans="1:21" x14ac:dyDescent="0.15">
      <c r="A88" s="7" t="s">
        <v>912</v>
      </c>
      <c r="B88" s="7" t="s">
        <v>940</v>
      </c>
      <c r="C88" s="7" t="s">
        <v>256</v>
      </c>
      <c r="D88" s="7">
        <v>0</v>
      </c>
      <c r="E88" s="7">
        <f t="shared" si="1"/>
        <v>10.54</v>
      </c>
      <c r="F88" s="7" t="s">
        <v>1836</v>
      </c>
      <c r="G88" s="7" t="s">
        <v>1832</v>
      </c>
      <c r="H88" s="7" t="s">
        <v>1837</v>
      </c>
      <c r="I88" s="10">
        <v>46029</v>
      </c>
      <c r="K88" s="7" t="s">
        <v>943</v>
      </c>
      <c r="L88" s="7" t="s">
        <v>919</v>
      </c>
      <c r="M88" s="7" t="s">
        <v>920</v>
      </c>
      <c r="N88" s="7" t="s">
        <v>921</v>
      </c>
      <c r="O88" s="7" t="s">
        <v>922</v>
      </c>
      <c r="P88" s="7" t="s">
        <v>923</v>
      </c>
      <c r="Q88" s="7" t="s">
        <v>1838</v>
      </c>
      <c r="R88" s="7" t="s">
        <v>1839</v>
      </c>
      <c r="S88" s="7" t="s">
        <v>946</v>
      </c>
      <c r="T88" s="7" t="s">
        <v>947</v>
      </c>
      <c r="U88" s="7" t="s">
        <v>947</v>
      </c>
    </row>
    <row r="89" spans="1:21" x14ac:dyDescent="0.15">
      <c r="A89" s="7" t="s">
        <v>912</v>
      </c>
      <c r="B89" s="7" t="s">
        <v>940</v>
      </c>
      <c r="C89" s="7" t="s">
        <v>189</v>
      </c>
      <c r="D89" s="7">
        <v>0</v>
      </c>
      <c r="E89" s="7">
        <f t="shared" si="1"/>
        <v>5.27</v>
      </c>
      <c r="F89" s="7" t="s">
        <v>1832</v>
      </c>
      <c r="G89" s="7" t="s">
        <v>1830</v>
      </c>
      <c r="H89" s="7" t="s">
        <v>1833</v>
      </c>
      <c r="I89" s="10">
        <v>46029</v>
      </c>
      <c r="K89" s="7" t="s">
        <v>943</v>
      </c>
      <c r="L89" s="7" t="s">
        <v>919</v>
      </c>
      <c r="M89" s="7" t="s">
        <v>920</v>
      </c>
      <c r="N89" s="7" t="s">
        <v>921</v>
      </c>
      <c r="O89" s="7" t="s">
        <v>922</v>
      </c>
      <c r="P89" s="7" t="s">
        <v>923</v>
      </c>
      <c r="Q89" s="7" t="s">
        <v>1834</v>
      </c>
      <c r="R89" s="7" t="s">
        <v>1835</v>
      </c>
      <c r="S89" s="7" t="s">
        <v>953</v>
      </c>
      <c r="T89" s="7" t="s">
        <v>947</v>
      </c>
      <c r="U89" s="7" t="s">
        <v>947</v>
      </c>
    </row>
    <row r="90" spans="1:21" x14ac:dyDescent="0.15">
      <c r="A90" s="7" t="s">
        <v>912</v>
      </c>
      <c r="B90" s="7" t="s">
        <v>940</v>
      </c>
      <c r="C90" s="7" t="s">
        <v>800</v>
      </c>
      <c r="D90" s="7">
        <v>0</v>
      </c>
      <c r="E90" s="7">
        <f t="shared" si="1"/>
        <v>42.2</v>
      </c>
      <c r="F90" s="7" t="s">
        <v>1830</v>
      </c>
      <c r="G90" s="7" t="s">
        <v>1826</v>
      </c>
      <c r="H90" s="7" t="s">
        <v>1831</v>
      </c>
      <c r="I90" s="10">
        <v>46030</v>
      </c>
      <c r="K90" s="7" t="s">
        <v>943</v>
      </c>
      <c r="L90" s="7" t="s">
        <v>919</v>
      </c>
      <c r="M90" s="7" t="s">
        <v>920</v>
      </c>
      <c r="N90" s="7" t="s">
        <v>921</v>
      </c>
      <c r="O90" s="7" t="s">
        <v>922</v>
      </c>
      <c r="P90" s="7" t="s">
        <v>923</v>
      </c>
      <c r="Q90" s="7" t="s">
        <v>1828</v>
      </c>
      <c r="R90" s="7" t="s">
        <v>1829</v>
      </c>
      <c r="S90" s="7" t="s">
        <v>958</v>
      </c>
      <c r="T90" s="7" t="s">
        <v>947</v>
      </c>
      <c r="U90" s="7" t="s">
        <v>947</v>
      </c>
    </row>
    <row r="91" spans="1:21" x14ac:dyDescent="0.15">
      <c r="A91" s="7" t="s">
        <v>912</v>
      </c>
      <c r="B91" s="7" t="s">
        <v>940</v>
      </c>
      <c r="C91" s="7" t="s">
        <v>118</v>
      </c>
      <c r="D91" s="7">
        <v>0</v>
      </c>
      <c r="E91" s="7">
        <f t="shared" si="1"/>
        <v>63.27</v>
      </c>
      <c r="F91" s="7" t="s">
        <v>1826</v>
      </c>
      <c r="G91" s="7" t="s">
        <v>1824</v>
      </c>
      <c r="H91" s="7" t="s">
        <v>1827</v>
      </c>
      <c r="I91" s="10">
        <v>46030</v>
      </c>
      <c r="K91" s="7" t="s">
        <v>943</v>
      </c>
      <c r="L91" s="7" t="s">
        <v>919</v>
      </c>
      <c r="M91" s="7" t="s">
        <v>920</v>
      </c>
      <c r="N91" s="7" t="s">
        <v>921</v>
      </c>
      <c r="O91" s="7" t="s">
        <v>922</v>
      </c>
      <c r="P91" s="7" t="s">
        <v>923</v>
      </c>
      <c r="Q91" s="7" t="s">
        <v>1828</v>
      </c>
      <c r="R91" s="7" t="s">
        <v>1829</v>
      </c>
      <c r="S91" s="7" t="s">
        <v>958</v>
      </c>
      <c r="T91" s="7" t="s">
        <v>947</v>
      </c>
      <c r="U91" s="7" t="s">
        <v>947</v>
      </c>
    </row>
    <row r="92" spans="1:21" x14ac:dyDescent="0.15">
      <c r="A92" s="7" t="s">
        <v>912</v>
      </c>
      <c r="B92" s="7" t="s">
        <v>940</v>
      </c>
      <c r="C92" s="7" t="s">
        <v>225</v>
      </c>
      <c r="D92" s="7">
        <v>0</v>
      </c>
      <c r="E92" s="7">
        <f t="shared" si="1"/>
        <v>941</v>
      </c>
      <c r="F92" s="7" t="s">
        <v>1824</v>
      </c>
      <c r="G92" s="7" t="s">
        <v>1820</v>
      </c>
      <c r="H92" s="7" t="s">
        <v>1825</v>
      </c>
      <c r="I92" s="10">
        <v>46030</v>
      </c>
      <c r="K92" s="7" t="s">
        <v>943</v>
      </c>
      <c r="L92" s="7" t="s">
        <v>919</v>
      </c>
      <c r="M92" s="7" t="s">
        <v>920</v>
      </c>
      <c r="N92" s="7" t="s">
        <v>921</v>
      </c>
      <c r="O92" s="7" t="s">
        <v>922</v>
      </c>
      <c r="P92" s="7" t="s">
        <v>923</v>
      </c>
      <c r="Q92" s="7" t="s">
        <v>1822</v>
      </c>
      <c r="R92" s="7" t="s">
        <v>1823</v>
      </c>
      <c r="S92" s="7" t="s">
        <v>1016</v>
      </c>
      <c r="T92" s="7" t="s">
        <v>947</v>
      </c>
      <c r="U92" s="7" t="s">
        <v>947</v>
      </c>
    </row>
    <row r="93" spans="1:21" x14ac:dyDescent="0.15">
      <c r="A93" s="7" t="s">
        <v>912</v>
      </c>
      <c r="B93" s="7" t="s">
        <v>940</v>
      </c>
      <c r="C93" s="7" t="s">
        <v>566</v>
      </c>
      <c r="D93" s="7">
        <v>0</v>
      </c>
      <c r="E93" s="7">
        <f t="shared" si="1"/>
        <v>49.9</v>
      </c>
      <c r="F93" s="7" t="s">
        <v>1820</v>
      </c>
      <c r="G93" s="7" t="s">
        <v>1818</v>
      </c>
      <c r="H93" s="7" t="s">
        <v>1821</v>
      </c>
      <c r="I93" s="10">
        <v>46030</v>
      </c>
      <c r="K93" s="7" t="s">
        <v>943</v>
      </c>
      <c r="L93" s="7" t="s">
        <v>919</v>
      </c>
      <c r="M93" s="7" t="s">
        <v>920</v>
      </c>
      <c r="N93" s="7" t="s">
        <v>921</v>
      </c>
      <c r="O93" s="7" t="s">
        <v>922</v>
      </c>
      <c r="P93" s="7" t="s">
        <v>923</v>
      </c>
      <c r="Q93" s="7" t="s">
        <v>1822</v>
      </c>
      <c r="R93" s="7" t="s">
        <v>1823</v>
      </c>
      <c r="S93" s="7" t="s">
        <v>1016</v>
      </c>
      <c r="T93" s="7" t="s">
        <v>947</v>
      </c>
      <c r="U93" s="7" t="s">
        <v>947</v>
      </c>
    </row>
    <row r="94" spans="1:21" x14ac:dyDescent="0.15">
      <c r="A94" s="7" t="s">
        <v>912</v>
      </c>
      <c r="B94" s="7" t="s">
        <v>940</v>
      </c>
      <c r="C94" s="7" t="s">
        <v>125</v>
      </c>
      <c r="D94" s="7">
        <v>0</v>
      </c>
      <c r="E94" s="7">
        <f t="shared" si="1"/>
        <v>4000</v>
      </c>
      <c r="F94" s="7" t="s">
        <v>1818</v>
      </c>
      <c r="G94" s="7" t="s">
        <v>1813</v>
      </c>
      <c r="H94" s="7" t="s">
        <v>1819</v>
      </c>
      <c r="I94" s="10">
        <v>46031</v>
      </c>
      <c r="K94" s="7" t="s">
        <v>943</v>
      </c>
      <c r="L94" s="7" t="s">
        <v>919</v>
      </c>
      <c r="M94" s="7" t="s">
        <v>920</v>
      </c>
      <c r="N94" s="7" t="s">
        <v>921</v>
      </c>
      <c r="O94" s="7" t="s">
        <v>922</v>
      </c>
      <c r="P94" s="7" t="s">
        <v>923</v>
      </c>
      <c r="Q94" s="7" t="s">
        <v>944</v>
      </c>
      <c r="R94" s="7" t="s">
        <v>945</v>
      </c>
      <c r="S94" s="7" t="s">
        <v>946</v>
      </c>
      <c r="T94" s="7" t="s">
        <v>947</v>
      </c>
      <c r="U94" s="7" t="s">
        <v>947</v>
      </c>
    </row>
    <row r="95" spans="1:21" x14ac:dyDescent="0.15">
      <c r="A95" s="7" t="s">
        <v>948</v>
      </c>
      <c r="B95" s="7" t="s">
        <v>940</v>
      </c>
      <c r="C95" s="7" t="s">
        <v>154</v>
      </c>
      <c r="D95" s="7">
        <v>0</v>
      </c>
      <c r="E95" s="7">
        <f t="shared" si="1"/>
        <v>-5000</v>
      </c>
      <c r="F95" s="7" t="s">
        <v>1813</v>
      </c>
      <c r="G95" s="7" t="s">
        <v>1809</v>
      </c>
      <c r="H95" s="7" t="s">
        <v>1814</v>
      </c>
      <c r="I95" s="10">
        <v>46031</v>
      </c>
      <c r="K95" s="7" t="s">
        <v>951</v>
      </c>
      <c r="L95" s="7" t="s">
        <v>1815</v>
      </c>
      <c r="M95" s="7" t="s">
        <v>1816</v>
      </c>
      <c r="N95" s="7" t="s">
        <v>1817</v>
      </c>
      <c r="O95" s="7" t="s">
        <v>947</v>
      </c>
      <c r="P95" s="7" t="s">
        <v>947</v>
      </c>
      <c r="Q95" s="7" t="s">
        <v>919</v>
      </c>
      <c r="R95" s="7" t="s">
        <v>920</v>
      </c>
      <c r="S95" s="7" t="s">
        <v>921</v>
      </c>
      <c r="T95" s="7" t="s">
        <v>922</v>
      </c>
      <c r="U95" s="7" t="s">
        <v>923</v>
      </c>
    </row>
    <row r="96" spans="1:21" x14ac:dyDescent="0.15">
      <c r="A96" s="7" t="s">
        <v>912</v>
      </c>
      <c r="B96" s="7" t="s">
        <v>940</v>
      </c>
      <c r="C96" s="7" t="s">
        <v>420</v>
      </c>
      <c r="D96" s="7">
        <v>0</v>
      </c>
      <c r="E96" s="7">
        <f t="shared" si="1"/>
        <v>3290.5</v>
      </c>
      <c r="F96" s="7" t="s">
        <v>1809</v>
      </c>
      <c r="G96" s="7" t="s">
        <v>1807</v>
      </c>
      <c r="H96" s="7" t="s">
        <v>1810</v>
      </c>
      <c r="I96" s="10">
        <v>46032</v>
      </c>
      <c r="K96" s="7" t="s">
        <v>943</v>
      </c>
      <c r="L96" s="7" t="s">
        <v>919</v>
      </c>
      <c r="M96" s="7" t="s">
        <v>920</v>
      </c>
      <c r="N96" s="7" t="s">
        <v>921</v>
      </c>
      <c r="O96" s="7" t="s">
        <v>922</v>
      </c>
      <c r="P96" s="7" t="s">
        <v>923</v>
      </c>
      <c r="Q96" s="7" t="s">
        <v>1811</v>
      </c>
      <c r="R96" s="7" t="s">
        <v>1812</v>
      </c>
      <c r="S96" s="7" t="s">
        <v>1028</v>
      </c>
      <c r="T96" s="7" t="s">
        <v>947</v>
      </c>
      <c r="U96" s="7" t="s">
        <v>947</v>
      </c>
    </row>
    <row r="97" spans="1:21" x14ac:dyDescent="0.15">
      <c r="A97" s="7" t="s">
        <v>912</v>
      </c>
      <c r="B97" s="7" t="s">
        <v>940</v>
      </c>
      <c r="C97" s="7" t="s">
        <v>47</v>
      </c>
      <c r="D97" s="7">
        <v>0</v>
      </c>
      <c r="E97" s="7">
        <f t="shared" si="1"/>
        <v>1396.42</v>
      </c>
      <c r="F97" s="7" t="s">
        <v>1807</v>
      </c>
      <c r="G97" s="7" t="s">
        <v>1805</v>
      </c>
      <c r="H97" s="7" t="s">
        <v>1808</v>
      </c>
      <c r="I97" s="10">
        <v>46032</v>
      </c>
      <c r="K97" s="7" t="s">
        <v>943</v>
      </c>
      <c r="L97" s="7" t="s">
        <v>919</v>
      </c>
      <c r="M97" s="7" t="s">
        <v>920</v>
      </c>
      <c r="N97" s="7" t="s">
        <v>921</v>
      </c>
      <c r="O97" s="7" t="s">
        <v>922</v>
      </c>
      <c r="P97" s="7" t="s">
        <v>923</v>
      </c>
      <c r="Q97" s="7" t="s">
        <v>674</v>
      </c>
      <c r="R97" s="7" t="s">
        <v>1736</v>
      </c>
      <c r="S97" s="7" t="s">
        <v>953</v>
      </c>
      <c r="T97" s="7" t="s">
        <v>947</v>
      </c>
      <c r="U97" s="7" t="s">
        <v>947</v>
      </c>
    </row>
    <row r="98" spans="1:21" x14ac:dyDescent="0.15">
      <c r="A98" s="7" t="s">
        <v>912</v>
      </c>
      <c r="B98" s="7" t="s">
        <v>940</v>
      </c>
      <c r="C98" s="7" t="s">
        <v>468</v>
      </c>
      <c r="D98" s="7">
        <v>0</v>
      </c>
      <c r="E98" s="7">
        <f t="shared" si="1"/>
        <v>2000</v>
      </c>
      <c r="F98" s="7" t="s">
        <v>1805</v>
      </c>
      <c r="G98" s="7" t="s">
        <v>1801</v>
      </c>
      <c r="H98" s="7" t="s">
        <v>1806</v>
      </c>
      <c r="I98" s="10">
        <v>46032</v>
      </c>
      <c r="K98" s="7" t="s">
        <v>943</v>
      </c>
      <c r="L98" s="7" t="s">
        <v>919</v>
      </c>
      <c r="M98" s="7" t="s">
        <v>920</v>
      </c>
      <c r="N98" s="7" t="s">
        <v>921</v>
      </c>
      <c r="O98" s="7" t="s">
        <v>922</v>
      </c>
      <c r="P98" s="7" t="s">
        <v>923</v>
      </c>
      <c r="Q98" s="7" t="s">
        <v>674</v>
      </c>
      <c r="R98" s="7" t="s">
        <v>1736</v>
      </c>
      <c r="S98" s="7" t="s">
        <v>953</v>
      </c>
      <c r="T98" s="7" t="s">
        <v>947</v>
      </c>
      <c r="U98" s="7" t="s">
        <v>947</v>
      </c>
    </row>
    <row r="99" spans="1:21" x14ac:dyDescent="0.15">
      <c r="A99" s="7" t="s">
        <v>912</v>
      </c>
      <c r="B99" s="7" t="s">
        <v>940</v>
      </c>
      <c r="C99" s="7" t="s">
        <v>401</v>
      </c>
      <c r="D99" s="7">
        <v>0</v>
      </c>
      <c r="E99" s="7">
        <f t="shared" si="1"/>
        <v>52</v>
      </c>
      <c r="F99" s="7" t="s">
        <v>1801</v>
      </c>
      <c r="G99" s="7" t="s">
        <v>1795</v>
      </c>
      <c r="H99" s="7" t="s">
        <v>1802</v>
      </c>
      <c r="I99" s="10">
        <v>46032</v>
      </c>
      <c r="K99" s="7" t="s">
        <v>943</v>
      </c>
      <c r="L99" s="7" t="s">
        <v>919</v>
      </c>
      <c r="M99" s="7" t="s">
        <v>920</v>
      </c>
      <c r="N99" s="7" t="s">
        <v>921</v>
      </c>
      <c r="O99" s="7" t="s">
        <v>922</v>
      </c>
      <c r="P99" s="7" t="s">
        <v>923</v>
      </c>
      <c r="Q99" s="7" t="s">
        <v>1803</v>
      </c>
      <c r="R99" s="7" t="s">
        <v>1804</v>
      </c>
      <c r="S99" s="7" t="s">
        <v>953</v>
      </c>
      <c r="T99" s="7" t="s">
        <v>947</v>
      </c>
      <c r="U99" s="7" t="s">
        <v>947</v>
      </c>
    </row>
    <row r="100" spans="1:21" x14ac:dyDescent="0.15">
      <c r="A100" s="7" t="s">
        <v>912</v>
      </c>
      <c r="B100" s="7" t="s">
        <v>972</v>
      </c>
      <c r="C100" s="7" t="s">
        <v>1794</v>
      </c>
      <c r="D100" s="7" t="s">
        <v>1796</v>
      </c>
      <c r="E100" s="7">
        <f t="shared" si="1"/>
        <v>248.56</v>
      </c>
      <c r="F100" s="7" t="s">
        <v>1795</v>
      </c>
      <c r="G100" s="7" t="s">
        <v>1789</v>
      </c>
      <c r="H100" s="7" t="s">
        <v>1797</v>
      </c>
      <c r="I100" s="10">
        <v>46033</v>
      </c>
      <c r="K100" s="7" t="s">
        <v>962</v>
      </c>
      <c r="L100" s="7" t="s">
        <v>919</v>
      </c>
      <c r="M100" s="7" t="s">
        <v>920</v>
      </c>
      <c r="N100" s="7" t="s">
        <v>921</v>
      </c>
      <c r="O100" s="7" t="s">
        <v>922</v>
      </c>
      <c r="P100" s="7" t="s">
        <v>923</v>
      </c>
      <c r="Q100" s="7" t="s">
        <v>1798</v>
      </c>
      <c r="R100" s="7" t="s">
        <v>1799</v>
      </c>
      <c r="S100" s="7" t="s">
        <v>1800</v>
      </c>
      <c r="T100" s="7" t="s">
        <v>947</v>
      </c>
      <c r="U100" s="7" t="s">
        <v>947</v>
      </c>
    </row>
    <row r="101" spans="1:21" x14ac:dyDescent="0.15">
      <c r="A101" s="7" t="s">
        <v>912</v>
      </c>
      <c r="B101" s="7" t="s">
        <v>972</v>
      </c>
      <c r="C101" s="7" t="s">
        <v>1788</v>
      </c>
      <c r="D101" s="7" t="s">
        <v>1790</v>
      </c>
      <c r="E101" s="7">
        <f t="shared" si="1"/>
        <v>84.5</v>
      </c>
      <c r="F101" s="7" t="s">
        <v>1789</v>
      </c>
      <c r="G101" s="7" t="s">
        <v>1784</v>
      </c>
      <c r="H101" s="7" t="s">
        <v>1791</v>
      </c>
      <c r="I101" s="10">
        <v>46033</v>
      </c>
      <c r="K101" s="7" t="s">
        <v>962</v>
      </c>
      <c r="L101" s="7" t="s">
        <v>919</v>
      </c>
      <c r="M101" s="7" t="s">
        <v>920</v>
      </c>
      <c r="N101" s="7" t="s">
        <v>921</v>
      </c>
      <c r="O101" s="7" t="s">
        <v>922</v>
      </c>
      <c r="P101" s="7" t="s">
        <v>923</v>
      </c>
      <c r="Q101" s="7" t="s">
        <v>1792</v>
      </c>
      <c r="R101" s="7" t="s">
        <v>1793</v>
      </c>
      <c r="S101" s="7" t="s">
        <v>953</v>
      </c>
      <c r="T101" s="7" t="s">
        <v>947</v>
      </c>
      <c r="U101" s="7" t="s">
        <v>947</v>
      </c>
    </row>
    <row r="102" spans="1:21" x14ac:dyDescent="0.15">
      <c r="A102" s="7" t="s">
        <v>912</v>
      </c>
      <c r="B102" s="7" t="s">
        <v>972</v>
      </c>
      <c r="C102" s="7" t="s">
        <v>1777</v>
      </c>
      <c r="D102" s="7" t="s">
        <v>1779</v>
      </c>
      <c r="E102" s="7">
        <f t="shared" si="1"/>
        <v>76.03</v>
      </c>
      <c r="F102" s="7" t="s">
        <v>1778</v>
      </c>
      <c r="G102" s="7" t="s">
        <v>1773</v>
      </c>
      <c r="H102" s="7" t="s">
        <v>1780</v>
      </c>
      <c r="I102" s="10">
        <v>46033</v>
      </c>
      <c r="K102" s="7" t="s">
        <v>962</v>
      </c>
      <c r="L102" s="7" t="s">
        <v>919</v>
      </c>
      <c r="M102" s="7" t="s">
        <v>920</v>
      </c>
      <c r="N102" s="7" t="s">
        <v>921</v>
      </c>
      <c r="O102" s="7" t="s">
        <v>922</v>
      </c>
      <c r="P102" s="7" t="s">
        <v>923</v>
      </c>
      <c r="Q102" s="7" t="s">
        <v>1781</v>
      </c>
      <c r="R102" s="7" t="s">
        <v>1782</v>
      </c>
      <c r="S102" s="7" t="s">
        <v>958</v>
      </c>
      <c r="T102" s="7" t="s">
        <v>947</v>
      </c>
      <c r="U102" s="7" t="s">
        <v>947</v>
      </c>
    </row>
    <row r="103" spans="1:21" x14ac:dyDescent="0.15">
      <c r="A103" s="7" t="s">
        <v>912</v>
      </c>
      <c r="B103" s="7" t="s">
        <v>972</v>
      </c>
      <c r="C103" s="7" t="s">
        <v>1783</v>
      </c>
      <c r="D103" s="7" t="s">
        <v>1785</v>
      </c>
      <c r="E103" s="7">
        <f t="shared" si="1"/>
        <v>45.6</v>
      </c>
      <c r="F103" s="7" t="s">
        <v>1784</v>
      </c>
      <c r="G103" s="7" t="s">
        <v>1778</v>
      </c>
      <c r="H103" s="7" t="s">
        <v>1780</v>
      </c>
      <c r="I103" s="10">
        <v>46033</v>
      </c>
      <c r="K103" s="7" t="s">
        <v>962</v>
      </c>
      <c r="L103" s="7" t="s">
        <v>919</v>
      </c>
      <c r="M103" s="7" t="s">
        <v>920</v>
      </c>
      <c r="N103" s="7" t="s">
        <v>921</v>
      </c>
      <c r="O103" s="7" t="s">
        <v>922</v>
      </c>
      <c r="P103" s="7" t="s">
        <v>923</v>
      </c>
      <c r="Q103" s="7" t="s">
        <v>1786</v>
      </c>
      <c r="R103" s="7" t="s">
        <v>1787</v>
      </c>
      <c r="S103" s="7" t="s">
        <v>958</v>
      </c>
      <c r="T103" s="7" t="s">
        <v>947</v>
      </c>
      <c r="U103" s="7" t="s">
        <v>947</v>
      </c>
    </row>
    <row r="104" spans="1:21" x14ac:dyDescent="0.15">
      <c r="A104" s="7" t="s">
        <v>912</v>
      </c>
      <c r="B104" s="7" t="s">
        <v>972</v>
      </c>
      <c r="C104" s="7" t="s">
        <v>1772</v>
      </c>
      <c r="D104" s="7" t="s">
        <v>1266</v>
      </c>
      <c r="E104" s="7">
        <f t="shared" si="1"/>
        <v>155.13</v>
      </c>
      <c r="F104" s="7" t="s">
        <v>1773</v>
      </c>
      <c r="G104" s="7" t="s">
        <v>1771</v>
      </c>
      <c r="H104" s="7" t="s">
        <v>1774</v>
      </c>
      <c r="I104" s="10">
        <v>46033</v>
      </c>
      <c r="K104" s="7" t="s">
        <v>962</v>
      </c>
      <c r="L104" s="7" t="s">
        <v>919</v>
      </c>
      <c r="M104" s="7" t="s">
        <v>920</v>
      </c>
      <c r="N104" s="7" t="s">
        <v>921</v>
      </c>
      <c r="O104" s="7" t="s">
        <v>922</v>
      </c>
      <c r="P104" s="7" t="s">
        <v>923</v>
      </c>
      <c r="Q104" s="7" t="s">
        <v>1775</v>
      </c>
      <c r="R104" s="7" t="s">
        <v>1776</v>
      </c>
      <c r="S104" s="7" t="s">
        <v>953</v>
      </c>
      <c r="T104" s="7" t="s">
        <v>947</v>
      </c>
      <c r="U104" s="7" t="s">
        <v>947</v>
      </c>
    </row>
    <row r="105" spans="1:21" x14ac:dyDescent="0.15">
      <c r="A105" s="7" t="s">
        <v>912</v>
      </c>
      <c r="B105" s="7" t="s">
        <v>913</v>
      </c>
      <c r="C105" s="7" t="s">
        <v>121</v>
      </c>
      <c r="D105" s="7" t="s">
        <v>916</v>
      </c>
      <c r="E105" s="7">
        <f t="shared" si="1"/>
        <v>573.49</v>
      </c>
      <c r="F105" s="7" t="s">
        <v>1766</v>
      </c>
      <c r="G105" s="7" t="s">
        <v>1762</v>
      </c>
      <c r="H105" s="7" t="s">
        <v>1767</v>
      </c>
      <c r="I105" s="10">
        <v>46033</v>
      </c>
      <c r="K105" s="7" t="s">
        <v>918</v>
      </c>
      <c r="L105" s="7" t="s">
        <v>919</v>
      </c>
      <c r="M105" s="7" t="s">
        <v>920</v>
      </c>
      <c r="N105" s="7" t="s">
        <v>921</v>
      </c>
      <c r="O105" s="7" t="s">
        <v>922</v>
      </c>
      <c r="P105" s="7" t="s">
        <v>923</v>
      </c>
      <c r="Q105" s="7" t="s">
        <v>924</v>
      </c>
      <c r="R105" s="7" t="s">
        <v>925</v>
      </c>
      <c r="S105" s="7" t="s">
        <v>926</v>
      </c>
      <c r="T105" s="7" t="s">
        <v>922</v>
      </c>
      <c r="U105" s="7" t="s">
        <v>927</v>
      </c>
    </row>
    <row r="106" spans="1:21" x14ac:dyDescent="0.15">
      <c r="A106" s="7" t="s">
        <v>912</v>
      </c>
      <c r="B106" s="7" t="s">
        <v>913</v>
      </c>
      <c r="C106" s="7" t="s">
        <v>362</v>
      </c>
      <c r="D106" s="7" t="s">
        <v>916</v>
      </c>
      <c r="E106" s="7">
        <f t="shared" si="1"/>
        <v>504.05</v>
      </c>
      <c r="F106" s="7" t="s">
        <v>1768</v>
      </c>
      <c r="G106" s="7" t="s">
        <v>1766</v>
      </c>
      <c r="H106" s="7" t="s">
        <v>1767</v>
      </c>
      <c r="I106" s="10">
        <v>46033</v>
      </c>
      <c r="K106" s="7" t="s">
        <v>918</v>
      </c>
      <c r="L106" s="7" t="s">
        <v>919</v>
      </c>
      <c r="M106" s="7" t="s">
        <v>920</v>
      </c>
      <c r="N106" s="7" t="s">
        <v>921</v>
      </c>
      <c r="O106" s="7" t="s">
        <v>922</v>
      </c>
      <c r="P106" s="7" t="s">
        <v>923</v>
      </c>
      <c r="Q106" s="7" t="s">
        <v>924</v>
      </c>
      <c r="R106" s="7" t="s">
        <v>925</v>
      </c>
      <c r="S106" s="7" t="s">
        <v>926</v>
      </c>
      <c r="T106" s="7" t="s">
        <v>922</v>
      </c>
      <c r="U106" s="7" t="s">
        <v>927</v>
      </c>
    </row>
    <row r="107" spans="1:21" x14ac:dyDescent="0.15">
      <c r="A107" s="7" t="s">
        <v>912</v>
      </c>
      <c r="B107" s="7" t="s">
        <v>913</v>
      </c>
      <c r="C107" s="7" t="s">
        <v>680</v>
      </c>
      <c r="D107" s="7" t="s">
        <v>916</v>
      </c>
      <c r="E107" s="7">
        <f t="shared" si="1"/>
        <v>81.489999999999995</v>
      </c>
      <c r="F107" s="7" t="s">
        <v>1769</v>
      </c>
      <c r="G107" s="7" t="s">
        <v>1768</v>
      </c>
      <c r="H107" s="7" t="s">
        <v>1767</v>
      </c>
      <c r="I107" s="10">
        <v>46033</v>
      </c>
      <c r="K107" s="7" t="s">
        <v>918</v>
      </c>
      <c r="L107" s="7" t="s">
        <v>919</v>
      </c>
      <c r="M107" s="7" t="s">
        <v>920</v>
      </c>
      <c r="N107" s="7" t="s">
        <v>921</v>
      </c>
      <c r="O107" s="7" t="s">
        <v>922</v>
      </c>
      <c r="P107" s="7" t="s">
        <v>923</v>
      </c>
      <c r="Q107" s="7" t="s">
        <v>924</v>
      </c>
      <c r="R107" s="7" t="s">
        <v>925</v>
      </c>
      <c r="S107" s="7" t="s">
        <v>926</v>
      </c>
      <c r="T107" s="7" t="s">
        <v>922</v>
      </c>
      <c r="U107" s="7" t="s">
        <v>927</v>
      </c>
    </row>
    <row r="108" spans="1:21" x14ac:dyDescent="0.15">
      <c r="A108" s="7" t="s">
        <v>912</v>
      </c>
      <c r="B108" s="7" t="s">
        <v>913</v>
      </c>
      <c r="C108" s="7" t="s">
        <v>66</v>
      </c>
      <c r="D108" s="7" t="s">
        <v>916</v>
      </c>
      <c r="E108" s="7">
        <f t="shared" si="1"/>
        <v>167.85</v>
      </c>
      <c r="F108" s="7" t="s">
        <v>1770</v>
      </c>
      <c r="G108" s="7" t="s">
        <v>1769</v>
      </c>
      <c r="H108" s="7" t="s">
        <v>1767</v>
      </c>
      <c r="I108" s="10">
        <v>46033</v>
      </c>
      <c r="K108" s="7" t="s">
        <v>918</v>
      </c>
      <c r="L108" s="7" t="s">
        <v>919</v>
      </c>
      <c r="M108" s="7" t="s">
        <v>920</v>
      </c>
      <c r="N108" s="7" t="s">
        <v>921</v>
      </c>
      <c r="O108" s="7" t="s">
        <v>922</v>
      </c>
      <c r="P108" s="7" t="s">
        <v>923</v>
      </c>
      <c r="Q108" s="7" t="s">
        <v>924</v>
      </c>
      <c r="R108" s="7" t="s">
        <v>925</v>
      </c>
      <c r="S108" s="7" t="s">
        <v>926</v>
      </c>
      <c r="T108" s="7" t="s">
        <v>922</v>
      </c>
      <c r="U108" s="7" t="s">
        <v>927</v>
      </c>
    </row>
    <row r="109" spans="1:21" x14ac:dyDescent="0.15">
      <c r="A109" s="7" t="s">
        <v>912</v>
      </c>
      <c r="B109" s="7" t="s">
        <v>913</v>
      </c>
      <c r="C109" s="7" t="s">
        <v>565</v>
      </c>
      <c r="D109" s="7" t="s">
        <v>916</v>
      </c>
      <c r="E109" s="7">
        <f t="shared" si="1"/>
        <v>191.16</v>
      </c>
      <c r="F109" s="7" t="s">
        <v>1771</v>
      </c>
      <c r="G109" s="7" t="s">
        <v>1770</v>
      </c>
      <c r="H109" s="7" t="s">
        <v>1767</v>
      </c>
      <c r="I109" s="10">
        <v>46033</v>
      </c>
      <c r="K109" s="7" t="s">
        <v>918</v>
      </c>
      <c r="L109" s="7" t="s">
        <v>919</v>
      </c>
      <c r="M109" s="7" t="s">
        <v>920</v>
      </c>
      <c r="N109" s="7" t="s">
        <v>921</v>
      </c>
      <c r="O109" s="7" t="s">
        <v>922</v>
      </c>
      <c r="P109" s="7" t="s">
        <v>923</v>
      </c>
      <c r="Q109" s="7" t="s">
        <v>924</v>
      </c>
      <c r="R109" s="7" t="s">
        <v>925</v>
      </c>
      <c r="S109" s="7" t="s">
        <v>926</v>
      </c>
      <c r="T109" s="7" t="s">
        <v>922</v>
      </c>
      <c r="U109" s="7" t="s">
        <v>927</v>
      </c>
    </row>
    <row r="110" spans="1:21" x14ac:dyDescent="0.15">
      <c r="A110" s="7" t="s">
        <v>912</v>
      </c>
      <c r="B110" s="7" t="s">
        <v>972</v>
      </c>
      <c r="C110" s="7" t="s">
        <v>1561</v>
      </c>
      <c r="D110" s="7" t="s">
        <v>1563</v>
      </c>
      <c r="E110" s="7">
        <f t="shared" si="1"/>
        <v>37.22</v>
      </c>
      <c r="F110" s="7" t="s">
        <v>1762</v>
      </c>
      <c r="G110" s="7" t="s">
        <v>1759</v>
      </c>
      <c r="H110" s="7" t="s">
        <v>1763</v>
      </c>
      <c r="I110" s="10">
        <v>46033</v>
      </c>
      <c r="K110" s="7" t="s">
        <v>962</v>
      </c>
      <c r="L110" s="7" t="s">
        <v>919</v>
      </c>
      <c r="M110" s="7" t="s">
        <v>920</v>
      </c>
      <c r="N110" s="7" t="s">
        <v>921</v>
      </c>
      <c r="O110" s="7" t="s">
        <v>922</v>
      </c>
      <c r="P110" s="7" t="s">
        <v>923</v>
      </c>
      <c r="Q110" s="7" t="s">
        <v>1764</v>
      </c>
      <c r="R110" s="7" t="s">
        <v>1765</v>
      </c>
      <c r="S110" s="7" t="s">
        <v>958</v>
      </c>
      <c r="T110" s="7" t="s">
        <v>947</v>
      </c>
      <c r="U110" s="7" t="s">
        <v>947</v>
      </c>
    </row>
    <row r="111" spans="1:21" x14ac:dyDescent="0.15">
      <c r="A111" s="7" t="s">
        <v>912</v>
      </c>
      <c r="B111" s="7" t="s">
        <v>972</v>
      </c>
      <c r="C111" s="7" t="s">
        <v>1758</v>
      </c>
      <c r="D111" s="7" t="s">
        <v>1760</v>
      </c>
      <c r="E111" s="7">
        <f t="shared" si="1"/>
        <v>33.74</v>
      </c>
      <c r="F111" s="7" t="s">
        <v>1759</v>
      </c>
      <c r="G111" s="7" t="s">
        <v>1754</v>
      </c>
      <c r="H111" s="7" t="s">
        <v>1761</v>
      </c>
      <c r="I111" s="10">
        <v>46033</v>
      </c>
      <c r="K111" s="7" t="s">
        <v>962</v>
      </c>
      <c r="L111" s="7" t="s">
        <v>919</v>
      </c>
      <c r="M111" s="7" t="s">
        <v>920</v>
      </c>
      <c r="N111" s="7" t="s">
        <v>921</v>
      </c>
      <c r="O111" s="7" t="s">
        <v>922</v>
      </c>
      <c r="P111" s="7" t="s">
        <v>923</v>
      </c>
      <c r="Q111" s="7" t="s">
        <v>1388</v>
      </c>
      <c r="R111" s="7" t="s">
        <v>1389</v>
      </c>
      <c r="S111" s="7" t="s">
        <v>1028</v>
      </c>
      <c r="T111" s="7" t="s">
        <v>947</v>
      </c>
      <c r="U111" s="7" t="s">
        <v>947</v>
      </c>
    </row>
    <row r="112" spans="1:21" x14ac:dyDescent="0.15">
      <c r="A112" s="7" t="s">
        <v>912</v>
      </c>
      <c r="B112" s="7" t="s">
        <v>972</v>
      </c>
      <c r="C112" s="7" t="s">
        <v>566</v>
      </c>
      <c r="D112" s="7" t="s">
        <v>1260</v>
      </c>
      <c r="E112" s="7">
        <f t="shared" si="1"/>
        <v>49.66</v>
      </c>
      <c r="F112" s="7" t="s">
        <v>1754</v>
      </c>
      <c r="G112" s="7" t="s">
        <v>1750</v>
      </c>
      <c r="H112" s="7" t="s">
        <v>1755</v>
      </c>
      <c r="I112" s="10">
        <v>46033</v>
      </c>
      <c r="K112" s="7" t="s">
        <v>962</v>
      </c>
      <c r="L112" s="7" t="s">
        <v>919</v>
      </c>
      <c r="M112" s="7" t="s">
        <v>920</v>
      </c>
      <c r="N112" s="7" t="s">
        <v>921</v>
      </c>
      <c r="O112" s="7" t="s">
        <v>922</v>
      </c>
      <c r="P112" s="7" t="s">
        <v>923</v>
      </c>
      <c r="Q112" s="7" t="s">
        <v>1756</v>
      </c>
      <c r="R112" s="7" t="s">
        <v>1757</v>
      </c>
      <c r="S112" s="7" t="s">
        <v>1178</v>
      </c>
      <c r="T112" s="7" t="s">
        <v>947</v>
      </c>
      <c r="U112" s="7" t="s">
        <v>947</v>
      </c>
    </row>
    <row r="113" spans="1:21" x14ac:dyDescent="0.15">
      <c r="A113" s="7" t="s">
        <v>912</v>
      </c>
      <c r="B113" s="7" t="s">
        <v>972</v>
      </c>
      <c r="C113" s="7" t="s">
        <v>1749</v>
      </c>
      <c r="D113" s="7" t="s">
        <v>1751</v>
      </c>
      <c r="E113" s="7">
        <f t="shared" si="1"/>
        <v>53.64</v>
      </c>
      <c r="F113" s="7" t="s">
        <v>1750</v>
      </c>
      <c r="G113" s="7" t="s">
        <v>1747</v>
      </c>
      <c r="H113" s="7" t="s">
        <v>1752</v>
      </c>
      <c r="I113" s="10">
        <v>46033</v>
      </c>
      <c r="K113" s="7" t="s">
        <v>962</v>
      </c>
      <c r="L113" s="7" t="s">
        <v>919</v>
      </c>
      <c r="M113" s="7" t="s">
        <v>920</v>
      </c>
      <c r="N113" s="7" t="s">
        <v>921</v>
      </c>
      <c r="O113" s="7" t="s">
        <v>922</v>
      </c>
      <c r="P113" s="7" t="s">
        <v>923</v>
      </c>
      <c r="Q113" s="7" t="s">
        <v>290</v>
      </c>
      <c r="R113" s="7" t="s">
        <v>1753</v>
      </c>
      <c r="S113" s="7" t="s">
        <v>1028</v>
      </c>
      <c r="T113" s="7" t="s">
        <v>947</v>
      </c>
      <c r="U113" s="7" t="s">
        <v>947</v>
      </c>
    </row>
    <row r="114" spans="1:21" x14ac:dyDescent="0.15">
      <c r="A114" s="7" t="s">
        <v>912</v>
      </c>
      <c r="B114" s="7" t="s">
        <v>972</v>
      </c>
      <c r="C114" s="7" t="s">
        <v>1337</v>
      </c>
      <c r="D114" s="7" t="s">
        <v>1339</v>
      </c>
      <c r="E114" s="7">
        <f t="shared" si="1"/>
        <v>119.31</v>
      </c>
      <c r="F114" s="7" t="s">
        <v>1742</v>
      </c>
      <c r="G114" s="7" t="s">
        <v>1741</v>
      </c>
      <c r="H114" s="7" t="s">
        <v>1743</v>
      </c>
      <c r="I114" s="10">
        <v>46033</v>
      </c>
      <c r="K114" s="7" t="s">
        <v>962</v>
      </c>
      <c r="L114" s="7" t="s">
        <v>919</v>
      </c>
      <c r="M114" s="7" t="s">
        <v>920</v>
      </c>
      <c r="N114" s="7" t="s">
        <v>921</v>
      </c>
      <c r="O114" s="7" t="s">
        <v>922</v>
      </c>
      <c r="P114" s="7" t="s">
        <v>923</v>
      </c>
      <c r="Q114" s="7" t="s">
        <v>1744</v>
      </c>
      <c r="R114" s="7" t="s">
        <v>1745</v>
      </c>
      <c r="S114" s="7" t="s">
        <v>1028</v>
      </c>
      <c r="T114" s="7" t="s">
        <v>947</v>
      </c>
      <c r="U114" s="7" t="s">
        <v>947</v>
      </c>
    </row>
    <row r="115" spans="1:21" x14ac:dyDescent="0.15">
      <c r="A115" s="7" t="s">
        <v>912</v>
      </c>
      <c r="B115" s="7" t="s">
        <v>972</v>
      </c>
      <c r="C115" s="7" t="s">
        <v>1746</v>
      </c>
      <c r="D115" s="7" t="s">
        <v>1377</v>
      </c>
      <c r="E115" s="7">
        <f t="shared" si="1"/>
        <v>176.82</v>
      </c>
      <c r="F115" s="7" t="s">
        <v>1747</v>
      </c>
      <c r="G115" s="7" t="s">
        <v>1742</v>
      </c>
      <c r="H115" s="7" t="s">
        <v>1743</v>
      </c>
      <c r="I115" s="10">
        <v>46033</v>
      </c>
      <c r="K115" s="7" t="s">
        <v>962</v>
      </c>
      <c r="L115" s="7" t="s">
        <v>919</v>
      </c>
      <c r="M115" s="7" t="s">
        <v>920</v>
      </c>
      <c r="N115" s="7" t="s">
        <v>921</v>
      </c>
      <c r="O115" s="7" t="s">
        <v>922</v>
      </c>
      <c r="P115" s="7" t="s">
        <v>923</v>
      </c>
      <c r="Q115" s="7" t="s">
        <v>724</v>
      </c>
      <c r="R115" s="7" t="s">
        <v>1748</v>
      </c>
      <c r="S115" s="7" t="s">
        <v>1028</v>
      </c>
      <c r="T115" s="7" t="s">
        <v>947</v>
      </c>
      <c r="U115" s="7" t="s">
        <v>947</v>
      </c>
    </row>
    <row r="116" spans="1:21" x14ac:dyDescent="0.15">
      <c r="A116" s="7" t="s">
        <v>912</v>
      </c>
      <c r="B116" s="7" t="s">
        <v>913</v>
      </c>
      <c r="C116" s="7" t="s">
        <v>896</v>
      </c>
      <c r="D116" s="7" t="s">
        <v>916</v>
      </c>
      <c r="E116" s="7">
        <f t="shared" si="1"/>
        <v>855.25</v>
      </c>
      <c r="F116" s="7" t="s">
        <v>1737</v>
      </c>
      <c r="G116" s="7" t="s">
        <v>1734</v>
      </c>
      <c r="H116" s="7" t="s">
        <v>1738</v>
      </c>
      <c r="I116" s="10">
        <v>46033</v>
      </c>
      <c r="K116" s="7" t="s">
        <v>918</v>
      </c>
      <c r="L116" s="7" t="s">
        <v>919</v>
      </c>
      <c r="M116" s="7" t="s">
        <v>920</v>
      </c>
      <c r="N116" s="7" t="s">
        <v>921</v>
      </c>
      <c r="O116" s="7" t="s">
        <v>922</v>
      </c>
      <c r="P116" s="7" t="s">
        <v>923</v>
      </c>
      <c r="Q116" s="7" t="s">
        <v>924</v>
      </c>
      <c r="R116" s="7" t="s">
        <v>925</v>
      </c>
      <c r="S116" s="7" t="s">
        <v>926</v>
      </c>
      <c r="T116" s="7" t="s">
        <v>922</v>
      </c>
      <c r="U116" s="7" t="s">
        <v>927</v>
      </c>
    </row>
    <row r="117" spans="1:21" x14ac:dyDescent="0.15">
      <c r="A117" s="7" t="s">
        <v>912</v>
      </c>
      <c r="B117" s="7" t="s">
        <v>913</v>
      </c>
      <c r="C117" s="7" t="s">
        <v>892</v>
      </c>
      <c r="D117" s="7" t="s">
        <v>916</v>
      </c>
      <c r="E117" s="7">
        <f t="shared" si="1"/>
        <v>51.3</v>
      </c>
      <c r="F117" s="7" t="s">
        <v>1739</v>
      </c>
      <c r="G117" s="7" t="s">
        <v>1737</v>
      </c>
      <c r="H117" s="7" t="s">
        <v>1738</v>
      </c>
      <c r="I117" s="10">
        <v>46033</v>
      </c>
      <c r="K117" s="7" t="s">
        <v>918</v>
      </c>
      <c r="L117" s="7" t="s">
        <v>919</v>
      </c>
      <c r="M117" s="7" t="s">
        <v>920</v>
      </c>
      <c r="N117" s="7" t="s">
        <v>921</v>
      </c>
      <c r="O117" s="7" t="s">
        <v>922</v>
      </c>
      <c r="P117" s="7" t="s">
        <v>923</v>
      </c>
      <c r="Q117" s="7" t="s">
        <v>924</v>
      </c>
      <c r="R117" s="7" t="s">
        <v>925</v>
      </c>
      <c r="S117" s="7" t="s">
        <v>926</v>
      </c>
      <c r="T117" s="7" t="s">
        <v>922</v>
      </c>
      <c r="U117" s="7" t="s">
        <v>927</v>
      </c>
    </row>
    <row r="118" spans="1:21" x14ac:dyDescent="0.15">
      <c r="A118" s="7" t="s">
        <v>912</v>
      </c>
      <c r="B118" s="7" t="s">
        <v>913</v>
      </c>
      <c r="C118" s="7" t="s">
        <v>413</v>
      </c>
      <c r="D118" s="7" t="s">
        <v>916</v>
      </c>
      <c r="E118" s="7">
        <f t="shared" si="1"/>
        <v>2206.5300000000002</v>
      </c>
      <c r="F118" s="7" t="s">
        <v>1740</v>
      </c>
      <c r="G118" s="7" t="s">
        <v>1739</v>
      </c>
      <c r="H118" s="7" t="s">
        <v>1738</v>
      </c>
      <c r="I118" s="10">
        <v>46033</v>
      </c>
      <c r="K118" s="7" t="s">
        <v>918</v>
      </c>
      <c r="L118" s="7" t="s">
        <v>919</v>
      </c>
      <c r="M118" s="7" t="s">
        <v>920</v>
      </c>
      <c r="N118" s="7" t="s">
        <v>921</v>
      </c>
      <c r="O118" s="7" t="s">
        <v>922</v>
      </c>
      <c r="P118" s="7" t="s">
        <v>923</v>
      </c>
      <c r="Q118" s="7" t="s">
        <v>924</v>
      </c>
      <c r="R118" s="7" t="s">
        <v>925</v>
      </c>
      <c r="S118" s="7" t="s">
        <v>926</v>
      </c>
      <c r="T118" s="7" t="s">
        <v>922</v>
      </c>
      <c r="U118" s="7" t="s">
        <v>927</v>
      </c>
    </row>
    <row r="119" spans="1:21" x14ac:dyDescent="0.15">
      <c r="A119" s="7" t="s">
        <v>912</v>
      </c>
      <c r="B119" s="7" t="s">
        <v>913</v>
      </c>
      <c r="C119" s="7" t="s">
        <v>882</v>
      </c>
      <c r="D119" s="7" t="s">
        <v>916</v>
      </c>
      <c r="E119" s="7">
        <f t="shared" si="1"/>
        <v>64.7</v>
      </c>
      <c r="F119" s="7" t="s">
        <v>1741</v>
      </c>
      <c r="G119" s="7" t="s">
        <v>1740</v>
      </c>
      <c r="H119" s="7" t="s">
        <v>1738</v>
      </c>
      <c r="I119" s="10">
        <v>46033</v>
      </c>
      <c r="K119" s="7" t="s">
        <v>918</v>
      </c>
      <c r="L119" s="7" t="s">
        <v>919</v>
      </c>
      <c r="M119" s="7" t="s">
        <v>920</v>
      </c>
      <c r="N119" s="7" t="s">
        <v>921</v>
      </c>
      <c r="O119" s="7" t="s">
        <v>922</v>
      </c>
      <c r="P119" s="7" t="s">
        <v>923</v>
      </c>
      <c r="Q119" s="7" t="s">
        <v>924</v>
      </c>
      <c r="R119" s="7" t="s">
        <v>925</v>
      </c>
      <c r="S119" s="7" t="s">
        <v>926</v>
      </c>
      <c r="T119" s="7" t="s">
        <v>922</v>
      </c>
      <c r="U119" s="7" t="s">
        <v>927</v>
      </c>
    </row>
    <row r="120" spans="1:21" x14ac:dyDescent="0.15">
      <c r="A120" s="7" t="s">
        <v>912</v>
      </c>
      <c r="B120" s="7" t="s">
        <v>940</v>
      </c>
      <c r="C120" s="7" t="s">
        <v>468</v>
      </c>
      <c r="D120" s="7">
        <v>0</v>
      </c>
      <c r="E120" s="7">
        <f t="shared" si="1"/>
        <v>2000</v>
      </c>
      <c r="F120" s="7" t="s">
        <v>1734</v>
      </c>
      <c r="G120" s="7" t="s">
        <v>1733</v>
      </c>
      <c r="H120" s="7" t="s">
        <v>1735</v>
      </c>
      <c r="I120" s="10">
        <v>46033</v>
      </c>
      <c r="K120" s="7" t="s">
        <v>943</v>
      </c>
      <c r="L120" s="7" t="s">
        <v>919</v>
      </c>
      <c r="M120" s="7" t="s">
        <v>920</v>
      </c>
      <c r="N120" s="7" t="s">
        <v>921</v>
      </c>
      <c r="O120" s="7" t="s">
        <v>922</v>
      </c>
      <c r="P120" s="7" t="s">
        <v>923</v>
      </c>
      <c r="Q120" s="7" t="s">
        <v>674</v>
      </c>
      <c r="R120" s="7" t="s">
        <v>1736</v>
      </c>
      <c r="S120" s="7" t="s">
        <v>953</v>
      </c>
      <c r="T120" s="7" t="s">
        <v>947</v>
      </c>
      <c r="U120" s="7" t="s">
        <v>947</v>
      </c>
    </row>
    <row r="121" spans="1:21" x14ac:dyDescent="0.15">
      <c r="A121" s="7" t="s">
        <v>912</v>
      </c>
      <c r="B121" s="7" t="s">
        <v>913</v>
      </c>
      <c r="C121" s="7" t="s">
        <v>113</v>
      </c>
      <c r="D121" s="7" t="s">
        <v>916</v>
      </c>
      <c r="E121" s="7">
        <f t="shared" si="1"/>
        <v>40.25</v>
      </c>
      <c r="F121" s="7" t="s">
        <v>1727</v>
      </c>
      <c r="G121" s="7" t="s">
        <v>1722</v>
      </c>
      <c r="H121" s="7" t="s">
        <v>1728</v>
      </c>
      <c r="I121" s="10">
        <v>46033</v>
      </c>
      <c r="K121" s="7" t="s">
        <v>918</v>
      </c>
      <c r="L121" s="7" t="s">
        <v>919</v>
      </c>
      <c r="M121" s="7" t="s">
        <v>920</v>
      </c>
      <c r="N121" s="7" t="s">
        <v>921</v>
      </c>
      <c r="O121" s="7" t="s">
        <v>922</v>
      </c>
      <c r="P121" s="7" t="s">
        <v>923</v>
      </c>
      <c r="Q121" s="7" t="s">
        <v>924</v>
      </c>
      <c r="R121" s="7" t="s">
        <v>925</v>
      </c>
      <c r="S121" s="7" t="s">
        <v>926</v>
      </c>
      <c r="T121" s="7" t="s">
        <v>922</v>
      </c>
      <c r="U121" s="7" t="s">
        <v>927</v>
      </c>
    </row>
    <row r="122" spans="1:21" x14ac:dyDescent="0.15">
      <c r="A122" s="7" t="s">
        <v>912</v>
      </c>
      <c r="B122" s="7" t="s">
        <v>913</v>
      </c>
      <c r="C122" s="7" t="s">
        <v>133</v>
      </c>
      <c r="D122" s="7" t="s">
        <v>916</v>
      </c>
      <c r="E122" s="7">
        <f t="shared" si="1"/>
        <v>892.68</v>
      </c>
      <c r="F122" s="7" t="s">
        <v>1729</v>
      </c>
      <c r="G122" s="7" t="s">
        <v>1727</v>
      </c>
      <c r="H122" s="7" t="s">
        <v>1728</v>
      </c>
      <c r="I122" s="10">
        <v>46033</v>
      </c>
      <c r="K122" s="7" t="s">
        <v>918</v>
      </c>
      <c r="L122" s="7" t="s">
        <v>919</v>
      </c>
      <c r="M122" s="7" t="s">
        <v>920</v>
      </c>
      <c r="N122" s="7" t="s">
        <v>921</v>
      </c>
      <c r="O122" s="7" t="s">
        <v>922</v>
      </c>
      <c r="P122" s="7" t="s">
        <v>923</v>
      </c>
      <c r="Q122" s="7" t="s">
        <v>924</v>
      </c>
      <c r="R122" s="7" t="s">
        <v>925</v>
      </c>
      <c r="S122" s="7" t="s">
        <v>926</v>
      </c>
      <c r="T122" s="7" t="s">
        <v>922</v>
      </c>
      <c r="U122" s="7" t="s">
        <v>927</v>
      </c>
    </row>
    <row r="123" spans="1:21" x14ac:dyDescent="0.15">
      <c r="A123" s="7" t="s">
        <v>912</v>
      </c>
      <c r="B123" s="7" t="s">
        <v>913</v>
      </c>
      <c r="C123" s="7" t="s">
        <v>331</v>
      </c>
      <c r="D123" s="7" t="s">
        <v>916</v>
      </c>
      <c r="E123" s="7">
        <f t="shared" si="1"/>
        <v>660.38</v>
      </c>
      <c r="F123" s="7" t="s">
        <v>1730</v>
      </c>
      <c r="G123" s="7" t="s">
        <v>1729</v>
      </c>
      <c r="H123" s="7" t="s">
        <v>1728</v>
      </c>
      <c r="I123" s="10">
        <v>46033</v>
      </c>
      <c r="K123" s="7" t="s">
        <v>918</v>
      </c>
      <c r="L123" s="7" t="s">
        <v>919</v>
      </c>
      <c r="M123" s="7" t="s">
        <v>920</v>
      </c>
      <c r="N123" s="7" t="s">
        <v>921</v>
      </c>
      <c r="O123" s="7" t="s">
        <v>922</v>
      </c>
      <c r="P123" s="7" t="s">
        <v>923</v>
      </c>
      <c r="Q123" s="7" t="s">
        <v>924</v>
      </c>
      <c r="R123" s="7" t="s">
        <v>925</v>
      </c>
      <c r="S123" s="7" t="s">
        <v>926</v>
      </c>
      <c r="T123" s="7" t="s">
        <v>922</v>
      </c>
      <c r="U123" s="7" t="s">
        <v>927</v>
      </c>
    </row>
    <row r="124" spans="1:21" x14ac:dyDescent="0.15">
      <c r="A124" s="7" t="s">
        <v>912</v>
      </c>
      <c r="B124" s="7" t="s">
        <v>913</v>
      </c>
      <c r="C124" s="7" t="s">
        <v>311</v>
      </c>
      <c r="D124" s="7" t="s">
        <v>916</v>
      </c>
      <c r="E124" s="7">
        <f t="shared" si="1"/>
        <v>106.27</v>
      </c>
      <c r="F124" s="7" t="s">
        <v>1731</v>
      </c>
      <c r="G124" s="7" t="s">
        <v>1730</v>
      </c>
      <c r="H124" s="7" t="s">
        <v>1728</v>
      </c>
      <c r="I124" s="10">
        <v>46033</v>
      </c>
      <c r="K124" s="7" t="s">
        <v>918</v>
      </c>
      <c r="L124" s="7" t="s">
        <v>919</v>
      </c>
      <c r="M124" s="7" t="s">
        <v>920</v>
      </c>
      <c r="N124" s="7" t="s">
        <v>921</v>
      </c>
      <c r="O124" s="7" t="s">
        <v>922</v>
      </c>
      <c r="P124" s="7" t="s">
        <v>923</v>
      </c>
      <c r="Q124" s="7" t="s">
        <v>924</v>
      </c>
      <c r="R124" s="7" t="s">
        <v>925</v>
      </c>
      <c r="S124" s="7" t="s">
        <v>926</v>
      </c>
      <c r="T124" s="7" t="s">
        <v>922</v>
      </c>
      <c r="U124" s="7" t="s">
        <v>927</v>
      </c>
    </row>
    <row r="125" spans="1:21" x14ac:dyDescent="0.15">
      <c r="A125" s="7" t="s">
        <v>912</v>
      </c>
      <c r="B125" s="7" t="s">
        <v>913</v>
      </c>
      <c r="C125" s="7" t="s">
        <v>355</v>
      </c>
      <c r="D125" s="7" t="s">
        <v>916</v>
      </c>
      <c r="E125" s="7">
        <f t="shared" si="1"/>
        <v>506.71</v>
      </c>
      <c r="F125" s="7" t="s">
        <v>1732</v>
      </c>
      <c r="G125" s="7" t="s">
        <v>1731</v>
      </c>
      <c r="H125" s="7" t="s">
        <v>1728</v>
      </c>
      <c r="I125" s="10">
        <v>46033</v>
      </c>
      <c r="K125" s="7" t="s">
        <v>918</v>
      </c>
      <c r="L125" s="7" t="s">
        <v>919</v>
      </c>
      <c r="M125" s="7" t="s">
        <v>920</v>
      </c>
      <c r="N125" s="7" t="s">
        <v>921</v>
      </c>
      <c r="O125" s="7" t="s">
        <v>922</v>
      </c>
      <c r="P125" s="7" t="s">
        <v>923</v>
      </c>
      <c r="Q125" s="7" t="s">
        <v>924</v>
      </c>
      <c r="R125" s="7" t="s">
        <v>925</v>
      </c>
      <c r="S125" s="7" t="s">
        <v>926</v>
      </c>
      <c r="T125" s="7" t="s">
        <v>922</v>
      </c>
      <c r="U125" s="7" t="s">
        <v>927</v>
      </c>
    </row>
    <row r="126" spans="1:21" x14ac:dyDescent="0.15">
      <c r="A126" s="7" t="s">
        <v>912</v>
      </c>
      <c r="B126" s="7" t="s">
        <v>913</v>
      </c>
      <c r="C126" s="7" t="s">
        <v>33</v>
      </c>
      <c r="D126" s="7" t="s">
        <v>916</v>
      </c>
      <c r="E126" s="7">
        <f t="shared" si="1"/>
        <v>51.36</v>
      </c>
      <c r="F126" s="7" t="s">
        <v>1733</v>
      </c>
      <c r="G126" s="7" t="s">
        <v>1732</v>
      </c>
      <c r="H126" s="7" t="s">
        <v>1728</v>
      </c>
      <c r="I126" s="10">
        <v>46033</v>
      </c>
      <c r="K126" s="7" t="s">
        <v>918</v>
      </c>
      <c r="L126" s="7" t="s">
        <v>919</v>
      </c>
      <c r="M126" s="7" t="s">
        <v>920</v>
      </c>
      <c r="N126" s="7" t="s">
        <v>921</v>
      </c>
      <c r="O126" s="7" t="s">
        <v>922</v>
      </c>
      <c r="P126" s="7" t="s">
        <v>923</v>
      </c>
      <c r="Q126" s="7" t="s">
        <v>924</v>
      </c>
      <c r="R126" s="7" t="s">
        <v>925</v>
      </c>
      <c r="S126" s="7" t="s">
        <v>926</v>
      </c>
      <c r="T126" s="7" t="s">
        <v>922</v>
      </c>
      <c r="U126" s="7" t="s">
        <v>927</v>
      </c>
    </row>
    <row r="127" spans="1:21" x14ac:dyDescent="0.15">
      <c r="A127" s="7" t="s">
        <v>912</v>
      </c>
      <c r="B127" s="7" t="s">
        <v>972</v>
      </c>
      <c r="C127" s="7" t="s">
        <v>1721</v>
      </c>
      <c r="D127" s="7" t="s">
        <v>1723</v>
      </c>
      <c r="E127" s="7">
        <f t="shared" si="1"/>
        <v>270.57</v>
      </c>
      <c r="F127" s="7" t="s">
        <v>1722</v>
      </c>
      <c r="G127" s="7" t="s">
        <v>1716</v>
      </c>
      <c r="H127" s="7" t="s">
        <v>1724</v>
      </c>
      <c r="I127" s="10">
        <v>46033</v>
      </c>
      <c r="K127" s="7" t="s">
        <v>962</v>
      </c>
      <c r="L127" s="7" t="s">
        <v>919</v>
      </c>
      <c r="M127" s="7" t="s">
        <v>920</v>
      </c>
      <c r="N127" s="7" t="s">
        <v>921</v>
      </c>
      <c r="O127" s="7" t="s">
        <v>922</v>
      </c>
      <c r="P127" s="7" t="s">
        <v>923</v>
      </c>
      <c r="Q127" s="7" t="s">
        <v>1725</v>
      </c>
      <c r="R127" s="7" t="s">
        <v>1726</v>
      </c>
      <c r="S127" s="7" t="s">
        <v>1033</v>
      </c>
      <c r="T127" s="7" t="s">
        <v>947</v>
      </c>
      <c r="U127" s="7" t="s">
        <v>947</v>
      </c>
    </row>
    <row r="128" spans="1:21" x14ac:dyDescent="0.15">
      <c r="A128" s="7" t="s">
        <v>912</v>
      </c>
      <c r="B128" s="7" t="s">
        <v>972</v>
      </c>
      <c r="C128" s="7" t="s">
        <v>1715</v>
      </c>
      <c r="D128" s="7" t="s">
        <v>1717</v>
      </c>
      <c r="E128" s="7">
        <f t="shared" si="1"/>
        <v>467.36</v>
      </c>
      <c r="F128" s="7" t="s">
        <v>1716</v>
      </c>
      <c r="G128" s="7" t="s">
        <v>1714</v>
      </c>
      <c r="H128" s="7" t="s">
        <v>1718</v>
      </c>
      <c r="I128" s="10">
        <v>46033</v>
      </c>
      <c r="K128" s="7" t="s">
        <v>962</v>
      </c>
      <c r="L128" s="7" t="s">
        <v>919</v>
      </c>
      <c r="M128" s="7" t="s">
        <v>920</v>
      </c>
      <c r="N128" s="7" t="s">
        <v>921</v>
      </c>
      <c r="O128" s="7" t="s">
        <v>922</v>
      </c>
      <c r="P128" s="7" t="s">
        <v>923</v>
      </c>
      <c r="Q128" s="7" t="s">
        <v>1719</v>
      </c>
      <c r="R128" s="7" t="s">
        <v>1720</v>
      </c>
      <c r="S128" s="7" t="s">
        <v>1062</v>
      </c>
      <c r="T128" s="7" t="s">
        <v>947</v>
      </c>
      <c r="U128" s="7" t="s">
        <v>947</v>
      </c>
    </row>
    <row r="129" spans="1:21" x14ac:dyDescent="0.15">
      <c r="A129" s="7" t="s">
        <v>912</v>
      </c>
      <c r="B129" s="7" t="s">
        <v>913</v>
      </c>
      <c r="C129" s="7" t="s">
        <v>441</v>
      </c>
      <c r="D129" s="7" t="s">
        <v>916</v>
      </c>
      <c r="E129" s="7">
        <f t="shared" si="1"/>
        <v>49.72</v>
      </c>
      <c r="F129" s="7" t="s">
        <v>1712</v>
      </c>
      <c r="G129" s="7" t="s">
        <v>1708</v>
      </c>
      <c r="H129" s="7" t="s">
        <v>1713</v>
      </c>
      <c r="I129" s="10">
        <v>46033</v>
      </c>
      <c r="K129" s="7" t="s">
        <v>918</v>
      </c>
      <c r="L129" s="7" t="s">
        <v>919</v>
      </c>
      <c r="M129" s="7" t="s">
        <v>920</v>
      </c>
      <c r="N129" s="7" t="s">
        <v>921</v>
      </c>
      <c r="O129" s="7" t="s">
        <v>922</v>
      </c>
      <c r="P129" s="7" t="s">
        <v>923</v>
      </c>
      <c r="Q129" s="7" t="s">
        <v>924</v>
      </c>
      <c r="R129" s="7" t="s">
        <v>925</v>
      </c>
      <c r="S129" s="7" t="s">
        <v>926</v>
      </c>
      <c r="T129" s="7" t="s">
        <v>922</v>
      </c>
      <c r="U129" s="7" t="s">
        <v>927</v>
      </c>
    </row>
    <row r="130" spans="1:21" x14ac:dyDescent="0.15">
      <c r="A130" s="7" t="s">
        <v>912</v>
      </c>
      <c r="B130" s="7" t="s">
        <v>913</v>
      </c>
      <c r="C130" s="7" t="s">
        <v>226</v>
      </c>
      <c r="D130" s="7" t="s">
        <v>916</v>
      </c>
      <c r="E130" s="7">
        <f t="shared" ref="E130:E193" si="2">C130-D130</f>
        <v>958.52</v>
      </c>
      <c r="F130" s="7" t="s">
        <v>1714</v>
      </c>
      <c r="G130" s="7" t="s">
        <v>1712</v>
      </c>
      <c r="H130" s="7" t="s">
        <v>1713</v>
      </c>
      <c r="I130" s="10">
        <v>46033</v>
      </c>
      <c r="K130" s="7" t="s">
        <v>918</v>
      </c>
      <c r="L130" s="7" t="s">
        <v>919</v>
      </c>
      <c r="M130" s="7" t="s">
        <v>920</v>
      </c>
      <c r="N130" s="7" t="s">
        <v>921</v>
      </c>
      <c r="O130" s="7" t="s">
        <v>922</v>
      </c>
      <c r="P130" s="7" t="s">
        <v>923</v>
      </c>
      <c r="Q130" s="7" t="s">
        <v>924</v>
      </c>
      <c r="R130" s="7" t="s">
        <v>925</v>
      </c>
      <c r="S130" s="7" t="s">
        <v>926</v>
      </c>
      <c r="T130" s="7" t="s">
        <v>922</v>
      </c>
      <c r="U130" s="7" t="s">
        <v>927</v>
      </c>
    </row>
    <row r="131" spans="1:21" x14ac:dyDescent="0.15">
      <c r="A131" s="7" t="s">
        <v>912</v>
      </c>
      <c r="B131" s="7" t="s">
        <v>972</v>
      </c>
      <c r="C131" s="7" t="s">
        <v>997</v>
      </c>
      <c r="D131" s="7" t="s">
        <v>999</v>
      </c>
      <c r="E131" s="7">
        <f t="shared" si="2"/>
        <v>51.65</v>
      </c>
      <c r="F131" s="7" t="s">
        <v>1708</v>
      </c>
      <c r="G131" s="7" t="s">
        <v>1704</v>
      </c>
      <c r="H131" s="7" t="s">
        <v>1709</v>
      </c>
      <c r="I131" s="10">
        <v>46033</v>
      </c>
      <c r="K131" s="7" t="s">
        <v>962</v>
      </c>
      <c r="L131" s="7" t="s">
        <v>919</v>
      </c>
      <c r="M131" s="7" t="s">
        <v>920</v>
      </c>
      <c r="N131" s="7" t="s">
        <v>921</v>
      </c>
      <c r="O131" s="7" t="s">
        <v>922</v>
      </c>
      <c r="P131" s="7" t="s">
        <v>923</v>
      </c>
      <c r="Q131" s="7" t="s">
        <v>1710</v>
      </c>
      <c r="R131" s="7" t="s">
        <v>1711</v>
      </c>
      <c r="S131" s="7" t="s">
        <v>953</v>
      </c>
      <c r="T131" s="7" t="s">
        <v>947</v>
      </c>
      <c r="U131" s="7" t="s">
        <v>947</v>
      </c>
    </row>
    <row r="132" spans="1:21" x14ac:dyDescent="0.15">
      <c r="A132" s="7" t="s">
        <v>912</v>
      </c>
      <c r="B132" s="7" t="s">
        <v>972</v>
      </c>
      <c r="C132" s="7" t="s">
        <v>1697</v>
      </c>
      <c r="D132" s="7" t="s">
        <v>1699</v>
      </c>
      <c r="E132" s="7">
        <f t="shared" si="2"/>
        <v>71.56</v>
      </c>
      <c r="F132" s="7" t="s">
        <v>1698</v>
      </c>
      <c r="G132" s="7" t="s">
        <v>1692</v>
      </c>
      <c r="H132" s="7" t="s">
        <v>1700</v>
      </c>
      <c r="I132" s="10">
        <v>46033</v>
      </c>
      <c r="K132" s="7" t="s">
        <v>962</v>
      </c>
      <c r="L132" s="7" t="s">
        <v>919</v>
      </c>
      <c r="M132" s="7" t="s">
        <v>920</v>
      </c>
      <c r="N132" s="7" t="s">
        <v>921</v>
      </c>
      <c r="O132" s="7" t="s">
        <v>922</v>
      </c>
      <c r="P132" s="7" t="s">
        <v>923</v>
      </c>
      <c r="Q132" s="7" t="s">
        <v>1701</v>
      </c>
      <c r="R132" s="7" t="s">
        <v>1702</v>
      </c>
      <c r="S132" s="7" t="s">
        <v>1589</v>
      </c>
      <c r="T132" s="7" t="s">
        <v>947</v>
      </c>
      <c r="U132" s="7" t="s">
        <v>947</v>
      </c>
    </row>
    <row r="133" spans="1:21" x14ac:dyDescent="0.15">
      <c r="A133" s="7" t="s">
        <v>912</v>
      </c>
      <c r="B133" s="7" t="s">
        <v>972</v>
      </c>
      <c r="C133" s="7" t="s">
        <v>1703</v>
      </c>
      <c r="D133" s="7" t="s">
        <v>1249</v>
      </c>
      <c r="E133" s="7">
        <f t="shared" si="2"/>
        <v>20.22</v>
      </c>
      <c r="F133" s="7" t="s">
        <v>1704</v>
      </c>
      <c r="G133" s="7" t="s">
        <v>1698</v>
      </c>
      <c r="H133" s="7" t="s">
        <v>1700</v>
      </c>
      <c r="I133" s="10">
        <v>46033</v>
      </c>
      <c r="K133" s="7" t="s">
        <v>962</v>
      </c>
      <c r="L133" s="7" t="s">
        <v>919</v>
      </c>
      <c r="M133" s="7" t="s">
        <v>920</v>
      </c>
      <c r="N133" s="7" t="s">
        <v>921</v>
      </c>
      <c r="O133" s="7" t="s">
        <v>922</v>
      </c>
      <c r="P133" s="7" t="s">
        <v>923</v>
      </c>
      <c r="Q133" s="7" t="s">
        <v>1705</v>
      </c>
      <c r="R133" s="7" t="s">
        <v>1706</v>
      </c>
      <c r="S133" s="7" t="s">
        <v>1707</v>
      </c>
      <c r="T133" s="7" t="s">
        <v>947</v>
      </c>
      <c r="U133" s="7" t="s">
        <v>947</v>
      </c>
    </row>
    <row r="134" spans="1:21" x14ac:dyDescent="0.15">
      <c r="A134" s="7" t="s">
        <v>912</v>
      </c>
      <c r="B134" s="7" t="s">
        <v>972</v>
      </c>
      <c r="C134" s="7" t="s">
        <v>1691</v>
      </c>
      <c r="D134" s="7" t="s">
        <v>1693</v>
      </c>
      <c r="E134" s="7">
        <f t="shared" si="2"/>
        <v>166.97</v>
      </c>
      <c r="F134" s="7" t="s">
        <v>1692</v>
      </c>
      <c r="G134" s="7" t="s">
        <v>1690</v>
      </c>
      <c r="H134" s="7" t="s">
        <v>1694</v>
      </c>
      <c r="I134" s="10">
        <v>46033</v>
      </c>
      <c r="K134" s="7" t="s">
        <v>962</v>
      </c>
      <c r="L134" s="7" t="s">
        <v>919</v>
      </c>
      <c r="M134" s="7" t="s">
        <v>920</v>
      </c>
      <c r="N134" s="7" t="s">
        <v>921</v>
      </c>
      <c r="O134" s="7" t="s">
        <v>922</v>
      </c>
      <c r="P134" s="7" t="s">
        <v>923</v>
      </c>
      <c r="Q134" s="7" t="s">
        <v>1695</v>
      </c>
      <c r="R134" s="7" t="s">
        <v>1696</v>
      </c>
      <c r="S134" s="7" t="s">
        <v>1028</v>
      </c>
      <c r="T134" s="7" t="s">
        <v>947</v>
      </c>
      <c r="U134" s="7" t="s">
        <v>947</v>
      </c>
    </row>
    <row r="135" spans="1:21" x14ac:dyDescent="0.15">
      <c r="A135" s="7" t="s">
        <v>912</v>
      </c>
      <c r="B135" s="7" t="s">
        <v>913</v>
      </c>
      <c r="C135" s="7" t="s">
        <v>646</v>
      </c>
      <c r="D135" s="7" t="s">
        <v>916</v>
      </c>
      <c r="E135" s="7">
        <f t="shared" si="2"/>
        <v>179.61</v>
      </c>
      <c r="F135" s="7" t="s">
        <v>1688</v>
      </c>
      <c r="G135" s="7" t="s">
        <v>1687</v>
      </c>
      <c r="H135" s="7" t="s">
        <v>1689</v>
      </c>
      <c r="I135" s="10">
        <v>46033</v>
      </c>
      <c r="K135" s="7" t="s">
        <v>918</v>
      </c>
      <c r="L135" s="7" t="s">
        <v>919</v>
      </c>
      <c r="M135" s="7" t="s">
        <v>920</v>
      </c>
      <c r="N135" s="7" t="s">
        <v>921</v>
      </c>
      <c r="O135" s="7" t="s">
        <v>922</v>
      </c>
      <c r="P135" s="7" t="s">
        <v>923</v>
      </c>
      <c r="Q135" s="7" t="s">
        <v>924</v>
      </c>
      <c r="R135" s="7" t="s">
        <v>925</v>
      </c>
      <c r="S135" s="7" t="s">
        <v>926</v>
      </c>
      <c r="T135" s="7" t="s">
        <v>922</v>
      </c>
      <c r="U135" s="7" t="s">
        <v>927</v>
      </c>
    </row>
    <row r="136" spans="1:21" x14ac:dyDescent="0.15">
      <c r="A136" s="7" t="s">
        <v>912</v>
      </c>
      <c r="B136" s="7" t="s">
        <v>913</v>
      </c>
      <c r="C136" s="7" t="s">
        <v>597</v>
      </c>
      <c r="D136" s="7" t="s">
        <v>916</v>
      </c>
      <c r="E136" s="7">
        <f t="shared" si="2"/>
        <v>1140.42</v>
      </c>
      <c r="F136" s="7" t="s">
        <v>1690</v>
      </c>
      <c r="G136" s="7" t="s">
        <v>1688</v>
      </c>
      <c r="H136" s="7" t="s">
        <v>1689</v>
      </c>
      <c r="I136" s="10">
        <v>46033</v>
      </c>
      <c r="K136" s="7" t="s">
        <v>918</v>
      </c>
      <c r="L136" s="7" t="s">
        <v>919</v>
      </c>
      <c r="M136" s="7" t="s">
        <v>920</v>
      </c>
      <c r="N136" s="7" t="s">
        <v>921</v>
      </c>
      <c r="O136" s="7" t="s">
        <v>922</v>
      </c>
      <c r="P136" s="7" t="s">
        <v>923</v>
      </c>
      <c r="Q136" s="7" t="s">
        <v>924</v>
      </c>
      <c r="R136" s="7" t="s">
        <v>925</v>
      </c>
      <c r="S136" s="7" t="s">
        <v>926</v>
      </c>
      <c r="T136" s="7" t="s">
        <v>922</v>
      </c>
      <c r="U136" s="7" t="s">
        <v>927</v>
      </c>
    </row>
    <row r="137" spans="1:21" x14ac:dyDescent="0.15">
      <c r="A137" s="7" t="s">
        <v>912</v>
      </c>
      <c r="B137" s="7" t="s">
        <v>913</v>
      </c>
      <c r="C137" s="7" t="s">
        <v>631</v>
      </c>
      <c r="D137" s="7" t="s">
        <v>916</v>
      </c>
      <c r="E137" s="7">
        <f t="shared" si="2"/>
        <v>244.95</v>
      </c>
      <c r="F137" s="7" t="s">
        <v>1684</v>
      </c>
      <c r="G137" s="7" t="s">
        <v>1683</v>
      </c>
      <c r="H137" s="7" t="s">
        <v>1685</v>
      </c>
      <c r="I137" s="10">
        <v>46033</v>
      </c>
      <c r="K137" s="7" t="s">
        <v>918</v>
      </c>
      <c r="L137" s="7" t="s">
        <v>919</v>
      </c>
      <c r="M137" s="7" t="s">
        <v>920</v>
      </c>
      <c r="N137" s="7" t="s">
        <v>921</v>
      </c>
      <c r="O137" s="7" t="s">
        <v>922</v>
      </c>
      <c r="P137" s="7" t="s">
        <v>923</v>
      </c>
      <c r="Q137" s="7" t="s">
        <v>924</v>
      </c>
      <c r="R137" s="7" t="s">
        <v>925</v>
      </c>
      <c r="S137" s="7" t="s">
        <v>926</v>
      </c>
      <c r="T137" s="7" t="s">
        <v>922</v>
      </c>
      <c r="U137" s="7" t="s">
        <v>927</v>
      </c>
    </row>
    <row r="138" spans="1:21" x14ac:dyDescent="0.15">
      <c r="A138" s="7" t="s">
        <v>912</v>
      </c>
      <c r="B138" s="7" t="s">
        <v>913</v>
      </c>
      <c r="C138" s="7" t="s">
        <v>683</v>
      </c>
      <c r="D138" s="7" t="s">
        <v>916</v>
      </c>
      <c r="E138" s="7">
        <f t="shared" si="2"/>
        <v>175.81</v>
      </c>
      <c r="F138" s="7" t="s">
        <v>1686</v>
      </c>
      <c r="G138" s="7" t="s">
        <v>1684</v>
      </c>
      <c r="H138" s="7" t="s">
        <v>1685</v>
      </c>
      <c r="I138" s="10">
        <v>46033</v>
      </c>
      <c r="K138" s="7" t="s">
        <v>918</v>
      </c>
      <c r="L138" s="7" t="s">
        <v>919</v>
      </c>
      <c r="M138" s="7" t="s">
        <v>920</v>
      </c>
      <c r="N138" s="7" t="s">
        <v>921</v>
      </c>
      <c r="O138" s="7" t="s">
        <v>922</v>
      </c>
      <c r="P138" s="7" t="s">
        <v>923</v>
      </c>
      <c r="Q138" s="7" t="s">
        <v>924</v>
      </c>
      <c r="R138" s="7" t="s">
        <v>925</v>
      </c>
      <c r="S138" s="7" t="s">
        <v>926</v>
      </c>
      <c r="T138" s="7" t="s">
        <v>922</v>
      </c>
      <c r="U138" s="7" t="s">
        <v>927</v>
      </c>
    </row>
    <row r="139" spans="1:21" x14ac:dyDescent="0.15">
      <c r="A139" s="7" t="s">
        <v>912</v>
      </c>
      <c r="B139" s="7" t="s">
        <v>913</v>
      </c>
      <c r="C139" s="7" t="s">
        <v>451</v>
      </c>
      <c r="D139" s="7" t="s">
        <v>916</v>
      </c>
      <c r="E139" s="7">
        <f t="shared" si="2"/>
        <v>51.11</v>
      </c>
      <c r="F139" s="7" t="s">
        <v>1687</v>
      </c>
      <c r="G139" s="7" t="s">
        <v>1686</v>
      </c>
      <c r="H139" s="7" t="s">
        <v>1685</v>
      </c>
      <c r="I139" s="10">
        <v>46033</v>
      </c>
      <c r="K139" s="7" t="s">
        <v>918</v>
      </c>
      <c r="L139" s="7" t="s">
        <v>919</v>
      </c>
      <c r="M139" s="7" t="s">
        <v>920</v>
      </c>
      <c r="N139" s="7" t="s">
        <v>921</v>
      </c>
      <c r="O139" s="7" t="s">
        <v>922</v>
      </c>
      <c r="P139" s="7" t="s">
        <v>923</v>
      </c>
      <c r="Q139" s="7" t="s">
        <v>924</v>
      </c>
      <c r="R139" s="7" t="s">
        <v>925</v>
      </c>
      <c r="S139" s="7" t="s">
        <v>926</v>
      </c>
      <c r="T139" s="7" t="s">
        <v>922</v>
      </c>
      <c r="U139" s="7" t="s">
        <v>927</v>
      </c>
    </row>
    <row r="140" spans="1:21" x14ac:dyDescent="0.15">
      <c r="A140" s="7" t="s">
        <v>912</v>
      </c>
      <c r="B140" s="7" t="s">
        <v>913</v>
      </c>
      <c r="C140" s="7" t="s">
        <v>589</v>
      </c>
      <c r="D140" s="7" t="s">
        <v>916</v>
      </c>
      <c r="E140" s="7">
        <f t="shared" si="2"/>
        <v>556.79999999999995</v>
      </c>
      <c r="F140" s="7" t="s">
        <v>1678</v>
      </c>
      <c r="G140" s="7" t="s">
        <v>1676</v>
      </c>
      <c r="H140" s="7" t="s">
        <v>1679</v>
      </c>
      <c r="I140" s="10">
        <v>46033</v>
      </c>
      <c r="K140" s="7" t="s">
        <v>918</v>
      </c>
      <c r="L140" s="7" t="s">
        <v>919</v>
      </c>
      <c r="M140" s="7" t="s">
        <v>920</v>
      </c>
      <c r="N140" s="7" t="s">
        <v>921</v>
      </c>
      <c r="O140" s="7" t="s">
        <v>922</v>
      </c>
      <c r="P140" s="7" t="s">
        <v>923</v>
      </c>
      <c r="Q140" s="7" t="s">
        <v>924</v>
      </c>
      <c r="R140" s="7" t="s">
        <v>925</v>
      </c>
      <c r="S140" s="7" t="s">
        <v>926</v>
      </c>
      <c r="T140" s="7" t="s">
        <v>922</v>
      </c>
      <c r="U140" s="7" t="s">
        <v>927</v>
      </c>
    </row>
    <row r="141" spans="1:21" x14ac:dyDescent="0.15">
      <c r="A141" s="7" t="s">
        <v>912</v>
      </c>
      <c r="B141" s="7" t="s">
        <v>913</v>
      </c>
      <c r="C141" s="7" t="s">
        <v>793</v>
      </c>
      <c r="D141" s="7" t="s">
        <v>916</v>
      </c>
      <c r="E141" s="7">
        <f t="shared" si="2"/>
        <v>256.45999999999998</v>
      </c>
      <c r="F141" s="7" t="s">
        <v>1680</v>
      </c>
      <c r="G141" s="7" t="s">
        <v>1678</v>
      </c>
      <c r="H141" s="7" t="s">
        <v>1679</v>
      </c>
      <c r="I141" s="10">
        <v>46033</v>
      </c>
      <c r="K141" s="7" t="s">
        <v>918</v>
      </c>
      <c r="L141" s="7" t="s">
        <v>919</v>
      </c>
      <c r="M141" s="7" t="s">
        <v>920</v>
      </c>
      <c r="N141" s="7" t="s">
        <v>921</v>
      </c>
      <c r="O141" s="7" t="s">
        <v>922</v>
      </c>
      <c r="P141" s="7" t="s">
        <v>923</v>
      </c>
      <c r="Q141" s="7" t="s">
        <v>924</v>
      </c>
      <c r="R141" s="7" t="s">
        <v>925</v>
      </c>
      <c r="S141" s="7" t="s">
        <v>926</v>
      </c>
      <c r="T141" s="7" t="s">
        <v>922</v>
      </c>
      <c r="U141" s="7" t="s">
        <v>927</v>
      </c>
    </row>
    <row r="142" spans="1:21" x14ac:dyDescent="0.15">
      <c r="A142" s="7" t="s">
        <v>912</v>
      </c>
      <c r="B142" s="7" t="s">
        <v>913</v>
      </c>
      <c r="C142" s="7" t="s">
        <v>813</v>
      </c>
      <c r="D142" s="7" t="s">
        <v>916</v>
      </c>
      <c r="E142" s="7">
        <f t="shared" si="2"/>
        <v>312.07</v>
      </c>
      <c r="F142" s="7" t="s">
        <v>1681</v>
      </c>
      <c r="G142" s="7" t="s">
        <v>1680</v>
      </c>
      <c r="H142" s="7" t="s">
        <v>1679</v>
      </c>
      <c r="I142" s="10">
        <v>46033</v>
      </c>
      <c r="K142" s="7" t="s">
        <v>918</v>
      </c>
      <c r="L142" s="7" t="s">
        <v>919</v>
      </c>
      <c r="M142" s="7" t="s">
        <v>920</v>
      </c>
      <c r="N142" s="7" t="s">
        <v>921</v>
      </c>
      <c r="O142" s="7" t="s">
        <v>922</v>
      </c>
      <c r="P142" s="7" t="s">
        <v>923</v>
      </c>
      <c r="Q142" s="7" t="s">
        <v>924</v>
      </c>
      <c r="R142" s="7" t="s">
        <v>925</v>
      </c>
      <c r="S142" s="7" t="s">
        <v>926</v>
      </c>
      <c r="T142" s="7" t="s">
        <v>922</v>
      </c>
      <c r="U142" s="7" t="s">
        <v>927</v>
      </c>
    </row>
    <row r="143" spans="1:21" x14ac:dyDescent="0.15">
      <c r="A143" s="7" t="s">
        <v>912</v>
      </c>
      <c r="B143" s="7" t="s">
        <v>913</v>
      </c>
      <c r="C143" s="7" t="s">
        <v>870</v>
      </c>
      <c r="D143" s="7" t="s">
        <v>916</v>
      </c>
      <c r="E143" s="7">
        <f t="shared" si="2"/>
        <v>82.14</v>
      </c>
      <c r="F143" s="7" t="s">
        <v>1682</v>
      </c>
      <c r="G143" s="7" t="s">
        <v>1681</v>
      </c>
      <c r="H143" s="7" t="s">
        <v>1679</v>
      </c>
      <c r="I143" s="10">
        <v>46033</v>
      </c>
      <c r="K143" s="7" t="s">
        <v>918</v>
      </c>
      <c r="L143" s="7" t="s">
        <v>919</v>
      </c>
      <c r="M143" s="7" t="s">
        <v>920</v>
      </c>
      <c r="N143" s="7" t="s">
        <v>921</v>
      </c>
      <c r="O143" s="7" t="s">
        <v>922</v>
      </c>
      <c r="P143" s="7" t="s">
        <v>923</v>
      </c>
      <c r="Q143" s="7" t="s">
        <v>924</v>
      </c>
      <c r="R143" s="7" t="s">
        <v>925</v>
      </c>
      <c r="S143" s="7" t="s">
        <v>926</v>
      </c>
      <c r="T143" s="7" t="s">
        <v>922</v>
      </c>
      <c r="U143" s="7" t="s">
        <v>927</v>
      </c>
    </row>
    <row r="144" spans="1:21" x14ac:dyDescent="0.15">
      <c r="A144" s="7" t="s">
        <v>912</v>
      </c>
      <c r="B144" s="7" t="s">
        <v>913</v>
      </c>
      <c r="C144" s="7" t="s">
        <v>274</v>
      </c>
      <c r="D144" s="7" t="s">
        <v>916</v>
      </c>
      <c r="E144" s="7">
        <f t="shared" si="2"/>
        <v>266.07</v>
      </c>
      <c r="F144" s="7" t="s">
        <v>1683</v>
      </c>
      <c r="G144" s="7" t="s">
        <v>1682</v>
      </c>
      <c r="H144" s="7" t="s">
        <v>1679</v>
      </c>
      <c r="I144" s="10">
        <v>46033</v>
      </c>
      <c r="K144" s="7" t="s">
        <v>918</v>
      </c>
      <c r="L144" s="7" t="s">
        <v>919</v>
      </c>
      <c r="M144" s="7" t="s">
        <v>920</v>
      </c>
      <c r="N144" s="7" t="s">
        <v>921</v>
      </c>
      <c r="O144" s="7" t="s">
        <v>922</v>
      </c>
      <c r="P144" s="7" t="s">
        <v>923</v>
      </c>
      <c r="Q144" s="7" t="s">
        <v>924</v>
      </c>
      <c r="R144" s="7" t="s">
        <v>925</v>
      </c>
      <c r="S144" s="7" t="s">
        <v>926</v>
      </c>
      <c r="T144" s="7" t="s">
        <v>922</v>
      </c>
      <c r="U144" s="7" t="s">
        <v>927</v>
      </c>
    </row>
    <row r="145" spans="1:21" x14ac:dyDescent="0.15">
      <c r="A145" s="7" t="s">
        <v>912</v>
      </c>
      <c r="B145" s="7" t="s">
        <v>913</v>
      </c>
      <c r="C145" s="7" t="s">
        <v>183</v>
      </c>
      <c r="D145" s="7" t="s">
        <v>916</v>
      </c>
      <c r="E145" s="7">
        <f t="shared" si="2"/>
        <v>229.82</v>
      </c>
      <c r="F145" s="7" t="s">
        <v>1676</v>
      </c>
      <c r="G145" s="7" t="s">
        <v>1674</v>
      </c>
      <c r="H145" s="7" t="s">
        <v>1677</v>
      </c>
      <c r="I145" s="10">
        <v>46034</v>
      </c>
      <c r="K145" s="7" t="s">
        <v>918</v>
      </c>
      <c r="L145" s="7" t="s">
        <v>919</v>
      </c>
      <c r="M145" s="7" t="s">
        <v>920</v>
      </c>
      <c r="N145" s="7" t="s">
        <v>921</v>
      </c>
      <c r="O145" s="7" t="s">
        <v>922</v>
      </c>
      <c r="P145" s="7" t="s">
        <v>923</v>
      </c>
      <c r="Q145" s="7" t="s">
        <v>924</v>
      </c>
      <c r="R145" s="7" t="s">
        <v>925</v>
      </c>
      <c r="S145" s="7" t="s">
        <v>926</v>
      </c>
      <c r="T145" s="7" t="s">
        <v>922</v>
      </c>
      <c r="U145" s="7" t="s">
        <v>927</v>
      </c>
    </row>
    <row r="146" spans="1:21" x14ac:dyDescent="0.15">
      <c r="A146" s="7" t="s">
        <v>912</v>
      </c>
      <c r="B146" s="7" t="s">
        <v>940</v>
      </c>
      <c r="C146" s="7" t="s">
        <v>125</v>
      </c>
      <c r="D146" s="7">
        <v>0</v>
      </c>
      <c r="E146" s="7">
        <f t="shared" si="2"/>
        <v>4000</v>
      </c>
      <c r="F146" s="7" t="s">
        <v>1674</v>
      </c>
      <c r="G146" s="7" t="s">
        <v>1670</v>
      </c>
      <c r="H146" s="7" t="s">
        <v>1675</v>
      </c>
      <c r="I146" s="10">
        <v>46034</v>
      </c>
      <c r="K146" s="7" t="s">
        <v>943</v>
      </c>
      <c r="L146" s="7" t="s">
        <v>919</v>
      </c>
      <c r="M146" s="7" t="s">
        <v>920</v>
      </c>
      <c r="N146" s="7" t="s">
        <v>921</v>
      </c>
      <c r="O146" s="7" t="s">
        <v>922</v>
      </c>
      <c r="P146" s="7" t="s">
        <v>923</v>
      </c>
      <c r="Q146" s="7" t="s">
        <v>944</v>
      </c>
      <c r="R146" s="7" t="s">
        <v>945</v>
      </c>
      <c r="S146" s="7" t="s">
        <v>946</v>
      </c>
      <c r="T146" s="7" t="s">
        <v>947</v>
      </c>
      <c r="U146" s="7" t="s">
        <v>947</v>
      </c>
    </row>
    <row r="147" spans="1:21" x14ac:dyDescent="0.15">
      <c r="A147" s="7" t="s">
        <v>912</v>
      </c>
      <c r="B147" s="7" t="s">
        <v>940</v>
      </c>
      <c r="C147" s="7" t="s">
        <v>629</v>
      </c>
      <c r="D147" s="7">
        <v>0</v>
      </c>
      <c r="E147" s="7">
        <f t="shared" si="2"/>
        <v>3628.36</v>
      </c>
      <c r="F147" s="7" t="s">
        <v>1670</v>
      </c>
      <c r="G147" s="7" t="s">
        <v>1666</v>
      </c>
      <c r="H147" s="7" t="s">
        <v>1671</v>
      </c>
      <c r="I147" s="10">
        <v>46034</v>
      </c>
      <c r="K147" s="7" t="s">
        <v>943</v>
      </c>
      <c r="L147" s="7" t="s">
        <v>919</v>
      </c>
      <c r="M147" s="7" t="s">
        <v>920</v>
      </c>
      <c r="N147" s="7" t="s">
        <v>921</v>
      </c>
      <c r="O147" s="7" t="s">
        <v>922</v>
      </c>
      <c r="P147" s="7" t="s">
        <v>923</v>
      </c>
      <c r="Q147" s="7" t="s">
        <v>1672</v>
      </c>
      <c r="R147" s="7" t="s">
        <v>1673</v>
      </c>
      <c r="S147" s="7" t="s">
        <v>985</v>
      </c>
      <c r="T147" s="7" t="s">
        <v>947</v>
      </c>
      <c r="U147" s="7" t="s">
        <v>947</v>
      </c>
    </row>
    <row r="148" spans="1:21" x14ac:dyDescent="0.15">
      <c r="A148" s="7" t="s">
        <v>912</v>
      </c>
      <c r="B148" s="7" t="s">
        <v>940</v>
      </c>
      <c r="C148" s="7" t="s">
        <v>593</v>
      </c>
      <c r="D148" s="7">
        <v>0</v>
      </c>
      <c r="E148" s="7">
        <f t="shared" si="2"/>
        <v>2885</v>
      </c>
      <c r="F148" s="7" t="s">
        <v>1666</v>
      </c>
      <c r="G148" s="7" t="s">
        <v>1664</v>
      </c>
      <c r="H148" s="7" t="s">
        <v>1667</v>
      </c>
      <c r="I148" s="10">
        <v>46034</v>
      </c>
      <c r="K148" s="7" t="s">
        <v>943</v>
      </c>
      <c r="L148" s="7" t="s">
        <v>919</v>
      </c>
      <c r="M148" s="7" t="s">
        <v>920</v>
      </c>
      <c r="N148" s="7" t="s">
        <v>921</v>
      </c>
      <c r="O148" s="7" t="s">
        <v>922</v>
      </c>
      <c r="P148" s="7" t="s">
        <v>923</v>
      </c>
      <c r="Q148" s="7" t="s">
        <v>1668</v>
      </c>
      <c r="R148" s="7" t="s">
        <v>1669</v>
      </c>
      <c r="S148" s="7" t="s">
        <v>985</v>
      </c>
      <c r="T148" s="7" t="s">
        <v>947</v>
      </c>
      <c r="U148" s="7" t="s">
        <v>947</v>
      </c>
    </row>
    <row r="149" spans="1:21" x14ac:dyDescent="0.15">
      <c r="A149" s="7" t="s">
        <v>912</v>
      </c>
      <c r="B149" s="7" t="s">
        <v>913</v>
      </c>
      <c r="C149" s="7" t="s">
        <v>52</v>
      </c>
      <c r="D149" s="7" t="s">
        <v>916</v>
      </c>
      <c r="E149" s="7">
        <f t="shared" si="2"/>
        <v>342.36</v>
      </c>
      <c r="F149" s="7" t="s">
        <v>1664</v>
      </c>
      <c r="G149" s="7" t="s">
        <v>1662</v>
      </c>
      <c r="H149" s="7" t="s">
        <v>1665</v>
      </c>
      <c r="I149" s="10">
        <v>46034</v>
      </c>
      <c r="K149" s="7" t="s">
        <v>918</v>
      </c>
      <c r="L149" s="7" t="s">
        <v>919</v>
      </c>
      <c r="M149" s="7" t="s">
        <v>920</v>
      </c>
      <c r="N149" s="7" t="s">
        <v>921</v>
      </c>
      <c r="O149" s="7" t="s">
        <v>922</v>
      </c>
      <c r="P149" s="7" t="s">
        <v>923</v>
      </c>
      <c r="Q149" s="7" t="s">
        <v>924</v>
      </c>
      <c r="R149" s="7" t="s">
        <v>925</v>
      </c>
      <c r="S149" s="7" t="s">
        <v>926</v>
      </c>
      <c r="T149" s="7" t="s">
        <v>922</v>
      </c>
      <c r="U149" s="7" t="s">
        <v>927</v>
      </c>
    </row>
    <row r="150" spans="1:21" x14ac:dyDescent="0.15">
      <c r="A150" s="7" t="s">
        <v>912</v>
      </c>
      <c r="B150" s="7" t="s">
        <v>940</v>
      </c>
      <c r="C150" s="7" t="s">
        <v>889</v>
      </c>
      <c r="D150" s="7">
        <v>0</v>
      </c>
      <c r="E150" s="7">
        <f t="shared" si="2"/>
        <v>5508</v>
      </c>
      <c r="F150" s="7" t="s">
        <v>1662</v>
      </c>
      <c r="G150" s="7" t="s">
        <v>1660</v>
      </c>
      <c r="H150" s="7" t="s">
        <v>1663</v>
      </c>
      <c r="I150" s="10">
        <v>46035</v>
      </c>
      <c r="K150" s="7" t="s">
        <v>943</v>
      </c>
      <c r="L150" s="7" t="s">
        <v>919</v>
      </c>
      <c r="M150" s="7" t="s">
        <v>920</v>
      </c>
      <c r="N150" s="7" t="s">
        <v>921</v>
      </c>
      <c r="O150" s="7" t="s">
        <v>922</v>
      </c>
      <c r="P150" s="7" t="s">
        <v>923</v>
      </c>
      <c r="Q150" s="7" t="s">
        <v>1629</v>
      </c>
      <c r="R150" s="7" t="s">
        <v>1630</v>
      </c>
      <c r="S150" s="7" t="s">
        <v>992</v>
      </c>
      <c r="T150" s="7" t="s">
        <v>947</v>
      </c>
      <c r="U150" s="7" t="s">
        <v>947</v>
      </c>
    </row>
    <row r="151" spans="1:21" x14ac:dyDescent="0.15">
      <c r="A151" s="7" t="s">
        <v>912</v>
      </c>
      <c r="B151" s="7" t="s">
        <v>940</v>
      </c>
      <c r="C151" s="7" t="s">
        <v>9</v>
      </c>
      <c r="D151" s="7">
        <v>0</v>
      </c>
      <c r="E151" s="7">
        <f t="shared" si="2"/>
        <v>814</v>
      </c>
      <c r="F151" s="7" t="s">
        <v>1660</v>
      </c>
      <c r="G151" s="7" t="s">
        <v>1658</v>
      </c>
      <c r="H151" s="7" t="s">
        <v>1661</v>
      </c>
      <c r="I151" s="10">
        <v>46035</v>
      </c>
      <c r="K151" s="7" t="s">
        <v>943</v>
      </c>
      <c r="L151" s="7" t="s">
        <v>919</v>
      </c>
      <c r="M151" s="7" t="s">
        <v>920</v>
      </c>
      <c r="N151" s="7" t="s">
        <v>921</v>
      </c>
      <c r="O151" s="7" t="s">
        <v>922</v>
      </c>
      <c r="P151" s="7" t="s">
        <v>923</v>
      </c>
      <c r="Q151" s="7" t="s">
        <v>1629</v>
      </c>
      <c r="R151" s="7" t="s">
        <v>1630</v>
      </c>
      <c r="S151" s="7" t="s">
        <v>992</v>
      </c>
      <c r="T151" s="7" t="s">
        <v>947</v>
      </c>
      <c r="U151" s="7" t="s">
        <v>947</v>
      </c>
    </row>
    <row r="152" spans="1:21" x14ac:dyDescent="0.15">
      <c r="A152" s="7" t="s">
        <v>912</v>
      </c>
      <c r="B152" s="7" t="s">
        <v>913</v>
      </c>
      <c r="C152" s="7" t="s">
        <v>596</v>
      </c>
      <c r="D152" s="7" t="s">
        <v>916</v>
      </c>
      <c r="E152" s="7">
        <f t="shared" si="2"/>
        <v>29.51</v>
      </c>
      <c r="F152" s="7" t="s">
        <v>1658</v>
      </c>
      <c r="G152" s="7" t="s">
        <v>1656</v>
      </c>
      <c r="H152" s="7" t="s">
        <v>1659</v>
      </c>
      <c r="I152" s="10">
        <v>46035</v>
      </c>
      <c r="K152" s="7" t="s">
        <v>918</v>
      </c>
      <c r="L152" s="7" t="s">
        <v>919</v>
      </c>
      <c r="M152" s="7" t="s">
        <v>920</v>
      </c>
      <c r="N152" s="7" t="s">
        <v>921</v>
      </c>
      <c r="O152" s="7" t="s">
        <v>922</v>
      </c>
      <c r="P152" s="7" t="s">
        <v>923</v>
      </c>
      <c r="Q152" s="7" t="s">
        <v>924</v>
      </c>
      <c r="R152" s="7" t="s">
        <v>925</v>
      </c>
      <c r="S152" s="7" t="s">
        <v>926</v>
      </c>
      <c r="T152" s="7" t="s">
        <v>922</v>
      </c>
      <c r="U152" s="7" t="s">
        <v>927</v>
      </c>
    </row>
    <row r="153" spans="1:21" x14ac:dyDescent="0.15">
      <c r="A153" s="7" t="s">
        <v>912</v>
      </c>
      <c r="B153" s="7" t="s">
        <v>940</v>
      </c>
      <c r="C153" s="7" t="s">
        <v>237</v>
      </c>
      <c r="D153" s="7">
        <v>0</v>
      </c>
      <c r="E153" s="7">
        <f t="shared" si="2"/>
        <v>3000</v>
      </c>
      <c r="F153" s="7" t="s">
        <v>1656</v>
      </c>
      <c r="G153" s="7" t="s">
        <v>1652</v>
      </c>
      <c r="H153" s="7" t="s">
        <v>1657</v>
      </c>
      <c r="I153" s="10">
        <v>46035</v>
      </c>
      <c r="K153" s="7" t="s">
        <v>943</v>
      </c>
      <c r="L153" s="7" t="s">
        <v>919</v>
      </c>
      <c r="M153" s="7" t="s">
        <v>920</v>
      </c>
      <c r="N153" s="7" t="s">
        <v>921</v>
      </c>
      <c r="O153" s="7" t="s">
        <v>922</v>
      </c>
      <c r="P153" s="7" t="s">
        <v>923</v>
      </c>
      <c r="Q153" s="7" t="s">
        <v>1486</v>
      </c>
      <c r="R153" s="7" t="s">
        <v>1487</v>
      </c>
      <c r="S153" s="7" t="s">
        <v>946</v>
      </c>
      <c r="T153" s="7" t="s">
        <v>947</v>
      </c>
      <c r="U153" s="7" t="s">
        <v>947</v>
      </c>
    </row>
    <row r="154" spans="1:21" x14ac:dyDescent="0.15">
      <c r="A154" s="7" t="s">
        <v>912</v>
      </c>
      <c r="B154" s="7" t="s">
        <v>940</v>
      </c>
      <c r="C154" s="7" t="s">
        <v>237</v>
      </c>
      <c r="D154" s="7">
        <v>0</v>
      </c>
      <c r="E154" s="7">
        <f t="shared" si="2"/>
        <v>3000</v>
      </c>
      <c r="F154" s="7" t="s">
        <v>1652</v>
      </c>
      <c r="G154" s="7" t="s">
        <v>1650</v>
      </c>
      <c r="H154" s="7" t="s">
        <v>1653</v>
      </c>
      <c r="I154" s="10">
        <v>46036</v>
      </c>
      <c r="K154" s="7" t="s">
        <v>943</v>
      </c>
      <c r="L154" s="7" t="s">
        <v>919</v>
      </c>
      <c r="M154" s="7" t="s">
        <v>920</v>
      </c>
      <c r="N154" s="7" t="s">
        <v>921</v>
      </c>
      <c r="O154" s="7" t="s">
        <v>922</v>
      </c>
      <c r="P154" s="7" t="s">
        <v>923</v>
      </c>
      <c r="Q154" s="7" t="s">
        <v>1654</v>
      </c>
      <c r="R154" s="7" t="s">
        <v>1655</v>
      </c>
      <c r="S154" s="7" t="s">
        <v>946</v>
      </c>
      <c r="T154" s="7" t="s">
        <v>947</v>
      </c>
      <c r="U154" s="7" t="s">
        <v>947</v>
      </c>
    </row>
    <row r="155" spans="1:21" x14ac:dyDescent="0.15">
      <c r="A155" s="7" t="s">
        <v>912</v>
      </c>
      <c r="B155" s="7" t="s">
        <v>940</v>
      </c>
      <c r="C155" s="7" t="s">
        <v>710</v>
      </c>
      <c r="D155" s="7">
        <v>0</v>
      </c>
      <c r="E155" s="7">
        <f t="shared" si="2"/>
        <v>1985.33</v>
      </c>
      <c r="F155" s="7" t="s">
        <v>1650</v>
      </c>
      <c r="G155" s="7" t="s">
        <v>1648</v>
      </c>
      <c r="H155" s="7" t="s">
        <v>1651</v>
      </c>
      <c r="I155" s="10">
        <v>46036</v>
      </c>
      <c r="K155" s="7" t="s">
        <v>943</v>
      </c>
      <c r="L155" s="7" t="s">
        <v>919</v>
      </c>
      <c r="M155" s="7" t="s">
        <v>920</v>
      </c>
      <c r="N155" s="7" t="s">
        <v>921</v>
      </c>
      <c r="O155" s="7" t="s">
        <v>922</v>
      </c>
      <c r="P155" s="7" t="s">
        <v>923</v>
      </c>
      <c r="Q155" s="7" t="s">
        <v>1486</v>
      </c>
      <c r="R155" s="7" t="s">
        <v>1487</v>
      </c>
      <c r="S155" s="7" t="s">
        <v>946</v>
      </c>
      <c r="T155" s="7" t="s">
        <v>947</v>
      </c>
      <c r="U155" s="7" t="s">
        <v>947</v>
      </c>
    </row>
    <row r="156" spans="1:21" x14ac:dyDescent="0.15">
      <c r="A156" s="7" t="s">
        <v>912</v>
      </c>
      <c r="B156" s="7" t="s">
        <v>940</v>
      </c>
      <c r="C156" s="7" t="s">
        <v>374</v>
      </c>
      <c r="D156" s="7">
        <v>0</v>
      </c>
      <c r="E156" s="7">
        <f t="shared" si="2"/>
        <v>612</v>
      </c>
      <c r="F156" s="7" t="s">
        <v>1648</v>
      </c>
      <c r="G156" s="7" t="s">
        <v>1646</v>
      </c>
      <c r="H156" s="7" t="s">
        <v>1649</v>
      </c>
      <c r="I156" s="10">
        <v>46036</v>
      </c>
      <c r="K156" s="7" t="s">
        <v>943</v>
      </c>
      <c r="L156" s="7" t="s">
        <v>919</v>
      </c>
      <c r="M156" s="7" t="s">
        <v>920</v>
      </c>
      <c r="N156" s="7" t="s">
        <v>921</v>
      </c>
      <c r="O156" s="7" t="s">
        <v>922</v>
      </c>
      <c r="P156" s="7" t="s">
        <v>923</v>
      </c>
      <c r="Q156" s="7" t="s">
        <v>1629</v>
      </c>
      <c r="R156" s="7" t="s">
        <v>1630</v>
      </c>
      <c r="S156" s="7" t="s">
        <v>992</v>
      </c>
      <c r="T156" s="7" t="s">
        <v>947</v>
      </c>
      <c r="U156" s="7" t="s">
        <v>947</v>
      </c>
    </row>
    <row r="157" spans="1:21" x14ac:dyDescent="0.15">
      <c r="A157" s="7" t="s">
        <v>912</v>
      </c>
      <c r="B157" s="7" t="s">
        <v>913</v>
      </c>
      <c r="C157" s="7" t="s">
        <v>860</v>
      </c>
      <c r="D157" s="7" t="s">
        <v>916</v>
      </c>
      <c r="E157" s="7">
        <f t="shared" si="2"/>
        <v>110.87</v>
      </c>
      <c r="F157" s="7" t="s">
        <v>1646</v>
      </c>
      <c r="G157" s="7" t="s">
        <v>1642</v>
      </c>
      <c r="H157" s="7" t="s">
        <v>1647</v>
      </c>
      <c r="I157" s="10">
        <v>46036</v>
      </c>
      <c r="K157" s="7" t="s">
        <v>918</v>
      </c>
      <c r="L157" s="7" t="s">
        <v>919</v>
      </c>
      <c r="M157" s="7" t="s">
        <v>920</v>
      </c>
      <c r="N157" s="7" t="s">
        <v>921</v>
      </c>
      <c r="O157" s="7" t="s">
        <v>922</v>
      </c>
      <c r="P157" s="7" t="s">
        <v>923</v>
      </c>
      <c r="Q157" s="7" t="s">
        <v>924</v>
      </c>
      <c r="R157" s="7" t="s">
        <v>925</v>
      </c>
      <c r="S157" s="7" t="s">
        <v>926</v>
      </c>
      <c r="T157" s="7" t="s">
        <v>922</v>
      </c>
      <c r="U157" s="7" t="s">
        <v>927</v>
      </c>
    </row>
    <row r="158" spans="1:21" x14ac:dyDescent="0.15">
      <c r="A158" s="7" t="s">
        <v>948</v>
      </c>
      <c r="B158" s="7" t="s">
        <v>940</v>
      </c>
      <c r="C158" s="7" t="s">
        <v>781</v>
      </c>
      <c r="D158" s="7">
        <v>0</v>
      </c>
      <c r="E158" s="7">
        <f t="shared" si="2"/>
        <v>-500</v>
      </c>
      <c r="F158" s="7" t="s">
        <v>1642</v>
      </c>
      <c r="G158" s="7" t="s">
        <v>1640</v>
      </c>
      <c r="H158" s="7" t="s">
        <v>1643</v>
      </c>
      <c r="I158" s="10">
        <v>46036</v>
      </c>
      <c r="K158" s="7" t="s">
        <v>951</v>
      </c>
      <c r="L158" s="7" t="s">
        <v>1644</v>
      </c>
      <c r="M158" s="7" t="s">
        <v>1645</v>
      </c>
      <c r="N158" s="7" t="s">
        <v>1178</v>
      </c>
      <c r="O158" s="7" t="s">
        <v>947</v>
      </c>
      <c r="P158" s="7" t="s">
        <v>947</v>
      </c>
      <c r="Q158" s="7" t="s">
        <v>919</v>
      </c>
      <c r="R158" s="7" t="s">
        <v>920</v>
      </c>
      <c r="S158" s="7" t="s">
        <v>921</v>
      </c>
      <c r="T158" s="7" t="s">
        <v>922</v>
      </c>
      <c r="U158" s="7" t="s">
        <v>923</v>
      </c>
    </row>
    <row r="159" spans="1:21" x14ac:dyDescent="0.15">
      <c r="A159" s="7" t="s">
        <v>948</v>
      </c>
      <c r="B159" s="7" t="s">
        <v>940</v>
      </c>
      <c r="C159" s="7" t="s">
        <v>493</v>
      </c>
      <c r="D159" s="7">
        <v>0</v>
      </c>
      <c r="E159" s="7">
        <f t="shared" si="2"/>
        <v>-50000</v>
      </c>
      <c r="F159" s="7" t="s">
        <v>1640</v>
      </c>
      <c r="G159" s="7" t="s">
        <v>1636</v>
      </c>
      <c r="H159" s="7" t="s">
        <v>1641</v>
      </c>
      <c r="I159" s="10">
        <v>46036</v>
      </c>
      <c r="K159" s="7" t="s">
        <v>951</v>
      </c>
      <c r="L159" s="7" t="s">
        <v>1021</v>
      </c>
      <c r="M159" s="7" t="s">
        <v>920</v>
      </c>
      <c r="N159" s="7" t="s">
        <v>1016</v>
      </c>
      <c r="O159" s="7" t="s">
        <v>947</v>
      </c>
      <c r="P159" s="7" t="s">
        <v>947</v>
      </c>
      <c r="Q159" s="7" t="s">
        <v>919</v>
      </c>
      <c r="R159" s="7" t="s">
        <v>920</v>
      </c>
      <c r="S159" s="7" t="s">
        <v>921</v>
      </c>
      <c r="T159" s="7" t="s">
        <v>922</v>
      </c>
      <c r="U159" s="7" t="s">
        <v>923</v>
      </c>
    </row>
    <row r="160" spans="1:21" x14ac:dyDescent="0.15">
      <c r="A160" s="7" t="s">
        <v>912</v>
      </c>
      <c r="B160" s="7" t="s">
        <v>940</v>
      </c>
      <c r="C160" s="7" t="s">
        <v>807</v>
      </c>
      <c r="D160" s="7">
        <v>0</v>
      </c>
      <c r="E160" s="7">
        <f t="shared" si="2"/>
        <v>1379.22</v>
      </c>
      <c r="F160" s="7" t="s">
        <v>1636</v>
      </c>
      <c r="G160" s="7" t="s">
        <v>1635</v>
      </c>
      <c r="H160" s="7" t="s">
        <v>1637</v>
      </c>
      <c r="I160" s="10">
        <v>46036</v>
      </c>
      <c r="K160" s="7" t="s">
        <v>943</v>
      </c>
      <c r="L160" s="7" t="s">
        <v>919</v>
      </c>
      <c r="M160" s="7" t="s">
        <v>920</v>
      </c>
      <c r="N160" s="7" t="s">
        <v>921</v>
      </c>
      <c r="O160" s="7" t="s">
        <v>922</v>
      </c>
      <c r="P160" s="7" t="s">
        <v>923</v>
      </c>
      <c r="Q160" s="7" t="s">
        <v>1638</v>
      </c>
      <c r="R160" s="7" t="s">
        <v>1639</v>
      </c>
      <c r="S160" s="7" t="s">
        <v>946</v>
      </c>
      <c r="T160" s="7" t="s">
        <v>947</v>
      </c>
      <c r="U160" s="7" t="s">
        <v>947</v>
      </c>
    </row>
    <row r="161" spans="1:21" x14ac:dyDescent="0.15">
      <c r="A161" s="7" t="s">
        <v>912</v>
      </c>
      <c r="B161" s="7" t="s">
        <v>913</v>
      </c>
      <c r="C161" s="7" t="s">
        <v>68</v>
      </c>
      <c r="D161" s="7" t="s">
        <v>916</v>
      </c>
      <c r="E161" s="7">
        <f t="shared" si="2"/>
        <v>119.3</v>
      </c>
      <c r="F161" s="7" t="s">
        <v>1633</v>
      </c>
      <c r="G161" s="7" t="s">
        <v>1631</v>
      </c>
      <c r="H161" s="7" t="s">
        <v>1634</v>
      </c>
      <c r="I161" s="10">
        <v>46036</v>
      </c>
      <c r="K161" s="7" t="s">
        <v>918</v>
      </c>
      <c r="L161" s="7" t="s">
        <v>919</v>
      </c>
      <c r="M161" s="7" t="s">
        <v>920</v>
      </c>
      <c r="N161" s="7" t="s">
        <v>921</v>
      </c>
      <c r="O161" s="7" t="s">
        <v>922</v>
      </c>
      <c r="P161" s="7" t="s">
        <v>923</v>
      </c>
      <c r="Q161" s="7" t="s">
        <v>924</v>
      </c>
      <c r="R161" s="7" t="s">
        <v>925</v>
      </c>
      <c r="S161" s="7" t="s">
        <v>926</v>
      </c>
      <c r="T161" s="7" t="s">
        <v>922</v>
      </c>
      <c r="U161" s="7" t="s">
        <v>927</v>
      </c>
    </row>
    <row r="162" spans="1:21" x14ac:dyDescent="0.15">
      <c r="A162" s="7" t="s">
        <v>912</v>
      </c>
      <c r="B162" s="7" t="s">
        <v>913</v>
      </c>
      <c r="C162" s="7" t="s">
        <v>508</v>
      </c>
      <c r="D162" s="7" t="s">
        <v>916</v>
      </c>
      <c r="E162" s="7">
        <f t="shared" si="2"/>
        <v>192.73</v>
      </c>
      <c r="F162" s="7" t="s">
        <v>1635</v>
      </c>
      <c r="G162" s="7" t="s">
        <v>1633</v>
      </c>
      <c r="H162" s="7" t="s">
        <v>1634</v>
      </c>
      <c r="I162" s="10">
        <v>46036</v>
      </c>
      <c r="K162" s="7" t="s">
        <v>918</v>
      </c>
      <c r="L162" s="7" t="s">
        <v>919</v>
      </c>
      <c r="M162" s="7" t="s">
        <v>920</v>
      </c>
      <c r="N162" s="7" t="s">
        <v>921</v>
      </c>
      <c r="O162" s="7" t="s">
        <v>922</v>
      </c>
      <c r="P162" s="7" t="s">
        <v>923</v>
      </c>
      <c r="Q162" s="7" t="s">
        <v>924</v>
      </c>
      <c r="R162" s="7" t="s">
        <v>925</v>
      </c>
      <c r="S162" s="7" t="s">
        <v>926</v>
      </c>
      <c r="T162" s="7" t="s">
        <v>922</v>
      </c>
      <c r="U162" s="7" t="s">
        <v>927</v>
      </c>
    </row>
    <row r="163" spans="1:21" x14ac:dyDescent="0.15">
      <c r="A163" s="7" t="s">
        <v>912</v>
      </c>
      <c r="B163" s="7" t="s">
        <v>913</v>
      </c>
      <c r="C163" s="7" t="s">
        <v>555</v>
      </c>
      <c r="D163" s="7" t="s">
        <v>916</v>
      </c>
      <c r="E163" s="7">
        <f t="shared" si="2"/>
        <v>79.73</v>
      </c>
      <c r="F163" s="7" t="s">
        <v>1631</v>
      </c>
      <c r="G163" s="7" t="s">
        <v>1627</v>
      </c>
      <c r="H163" s="7" t="s">
        <v>1632</v>
      </c>
      <c r="I163" s="10">
        <v>46036</v>
      </c>
      <c r="K163" s="7" t="s">
        <v>918</v>
      </c>
      <c r="L163" s="7" t="s">
        <v>919</v>
      </c>
      <c r="M163" s="7" t="s">
        <v>920</v>
      </c>
      <c r="N163" s="7" t="s">
        <v>921</v>
      </c>
      <c r="O163" s="7" t="s">
        <v>922</v>
      </c>
      <c r="P163" s="7" t="s">
        <v>923</v>
      </c>
      <c r="Q163" s="7" t="s">
        <v>924</v>
      </c>
      <c r="R163" s="7" t="s">
        <v>925</v>
      </c>
      <c r="S163" s="7" t="s">
        <v>926</v>
      </c>
      <c r="T163" s="7" t="s">
        <v>922</v>
      </c>
      <c r="U163" s="7" t="s">
        <v>927</v>
      </c>
    </row>
    <row r="164" spans="1:21" x14ac:dyDescent="0.15">
      <c r="A164" s="7" t="s">
        <v>912</v>
      </c>
      <c r="B164" s="7" t="s">
        <v>940</v>
      </c>
      <c r="C164" s="7" t="s">
        <v>405</v>
      </c>
      <c r="D164" s="7">
        <v>0</v>
      </c>
      <c r="E164" s="7">
        <f t="shared" si="2"/>
        <v>68</v>
      </c>
      <c r="F164" s="7" t="s">
        <v>1627</v>
      </c>
      <c r="G164" s="7" t="s">
        <v>1622</v>
      </c>
      <c r="H164" s="7" t="s">
        <v>1628</v>
      </c>
      <c r="I164" s="10">
        <v>46036</v>
      </c>
      <c r="K164" s="7" t="s">
        <v>943</v>
      </c>
      <c r="L164" s="7" t="s">
        <v>919</v>
      </c>
      <c r="M164" s="7" t="s">
        <v>920</v>
      </c>
      <c r="N164" s="7" t="s">
        <v>921</v>
      </c>
      <c r="O164" s="7" t="s">
        <v>922</v>
      </c>
      <c r="P164" s="7" t="s">
        <v>923</v>
      </c>
      <c r="Q164" s="7" t="s">
        <v>1629</v>
      </c>
      <c r="R164" s="7" t="s">
        <v>1630</v>
      </c>
      <c r="S164" s="7" t="s">
        <v>992</v>
      </c>
      <c r="T164" s="7" t="s">
        <v>947</v>
      </c>
      <c r="U164" s="7" t="s">
        <v>947</v>
      </c>
    </row>
    <row r="165" spans="1:21" x14ac:dyDescent="0.15">
      <c r="A165" s="7" t="s">
        <v>912</v>
      </c>
      <c r="B165" s="7" t="s">
        <v>972</v>
      </c>
      <c r="C165" s="7" t="s">
        <v>1621</v>
      </c>
      <c r="D165" s="7" t="s">
        <v>1623</v>
      </c>
      <c r="E165" s="7">
        <f t="shared" si="2"/>
        <v>72.540000000000006</v>
      </c>
      <c r="F165" s="7" t="s">
        <v>1622</v>
      </c>
      <c r="G165" s="7" t="s">
        <v>1617</v>
      </c>
      <c r="H165" s="7" t="s">
        <v>1624</v>
      </c>
      <c r="I165" s="10">
        <v>46037</v>
      </c>
      <c r="K165" s="7" t="s">
        <v>962</v>
      </c>
      <c r="L165" s="7" t="s">
        <v>919</v>
      </c>
      <c r="M165" s="7" t="s">
        <v>920</v>
      </c>
      <c r="N165" s="7" t="s">
        <v>921</v>
      </c>
      <c r="O165" s="7" t="s">
        <v>922</v>
      </c>
      <c r="P165" s="7" t="s">
        <v>923</v>
      </c>
      <c r="Q165" s="7" t="s">
        <v>1625</v>
      </c>
      <c r="R165" s="7" t="s">
        <v>1626</v>
      </c>
      <c r="S165" s="7" t="s">
        <v>1028</v>
      </c>
      <c r="T165" s="7" t="s">
        <v>947</v>
      </c>
      <c r="U165" s="7" t="s">
        <v>947</v>
      </c>
    </row>
    <row r="166" spans="1:21" x14ac:dyDescent="0.15">
      <c r="A166" s="7" t="s">
        <v>912</v>
      </c>
      <c r="B166" s="7" t="s">
        <v>940</v>
      </c>
      <c r="C166" s="7" t="s">
        <v>42</v>
      </c>
      <c r="D166" s="7">
        <v>0</v>
      </c>
      <c r="E166" s="7">
        <f t="shared" si="2"/>
        <v>99.9</v>
      </c>
      <c r="F166" s="7" t="s">
        <v>1617</v>
      </c>
      <c r="G166" s="7" t="s">
        <v>1616</v>
      </c>
      <c r="H166" s="7" t="s">
        <v>1618</v>
      </c>
      <c r="I166" s="10">
        <v>46037</v>
      </c>
      <c r="K166" s="7" t="s">
        <v>943</v>
      </c>
      <c r="L166" s="7" t="s">
        <v>919</v>
      </c>
      <c r="M166" s="7" t="s">
        <v>920</v>
      </c>
      <c r="N166" s="7" t="s">
        <v>921</v>
      </c>
      <c r="O166" s="7" t="s">
        <v>922</v>
      </c>
      <c r="P166" s="7" t="s">
        <v>923</v>
      </c>
      <c r="Q166" s="7" t="s">
        <v>1619</v>
      </c>
      <c r="R166" s="7" t="s">
        <v>1620</v>
      </c>
      <c r="S166" s="7" t="s">
        <v>953</v>
      </c>
      <c r="T166" s="7" t="s">
        <v>947</v>
      </c>
      <c r="U166" s="7" t="s">
        <v>947</v>
      </c>
    </row>
    <row r="167" spans="1:21" x14ac:dyDescent="0.15">
      <c r="A167" s="7" t="s">
        <v>912</v>
      </c>
      <c r="B167" s="7" t="s">
        <v>913</v>
      </c>
      <c r="C167" s="7" t="s">
        <v>5</v>
      </c>
      <c r="D167" s="7" t="s">
        <v>916</v>
      </c>
      <c r="E167" s="7">
        <f t="shared" si="2"/>
        <v>226.5</v>
      </c>
      <c r="F167" s="7" t="s">
        <v>1614</v>
      </c>
      <c r="G167" s="7" t="s">
        <v>1610</v>
      </c>
      <c r="H167" s="7" t="s">
        <v>1615</v>
      </c>
      <c r="I167" s="10">
        <v>46037</v>
      </c>
      <c r="K167" s="7" t="s">
        <v>918</v>
      </c>
      <c r="L167" s="7" t="s">
        <v>919</v>
      </c>
      <c r="M167" s="7" t="s">
        <v>920</v>
      </c>
      <c r="N167" s="7" t="s">
        <v>921</v>
      </c>
      <c r="O167" s="7" t="s">
        <v>922</v>
      </c>
      <c r="P167" s="7" t="s">
        <v>923</v>
      </c>
      <c r="Q167" s="7" t="s">
        <v>924</v>
      </c>
      <c r="R167" s="7" t="s">
        <v>925</v>
      </c>
      <c r="S167" s="7" t="s">
        <v>926</v>
      </c>
      <c r="T167" s="7" t="s">
        <v>922</v>
      </c>
      <c r="U167" s="7" t="s">
        <v>927</v>
      </c>
    </row>
    <row r="168" spans="1:21" x14ac:dyDescent="0.15">
      <c r="A168" s="7" t="s">
        <v>912</v>
      </c>
      <c r="B168" s="7" t="s">
        <v>913</v>
      </c>
      <c r="C168" s="7" t="s">
        <v>613</v>
      </c>
      <c r="D168" s="7" t="s">
        <v>916</v>
      </c>
      <c r="E168" s="7">
        <f t="shared" si="2"/>
        <v>215.41</v>
      </c>
      <c r="F168" s="7" t="s">
        <v>1616</v>
      </c>
      <c r="G168" s="7" t="s">
        <v>1614</v>
      </c>
      <c r="H168" s="7" t="s">
        <v>1615</v>
      </c>
      <c r="I168" s="10">
        <v>46037</v>
      </c>
      <c r="K168" s="7" t="s">
        <v>918</v>
      </c>
      <c r="L168" s="7" t="s">
        <v>919</v>
      </c>
      <c r="M168" s="7" t="s">
        <v>920</v>
      </c>
      <c r="N168" s="7" t="s">
        <v>921</v>
      </c>
      <c r="O168" s="7" t="s">
        <v>922</v>
      </c>
      <c r="P168" s="7" t="s">
        <v>923</v>
      </c>
      <c r="Q168" s="7" t="s">
        <v>924</v>
      </c>
      <c r="R168" s="7" t="s">
        <v>925</v>
      </c>
      <c r="S168" s="7" t="s">
        <v>926</v>
      </c>
      <c r="T168" s="7" t="s">
        <v>922</v>
      </c>
      <c r="U168" s="7" t="s">
        <v>927</v>
      </c>
    </row>
    <row r="169" spans="1:21" x14ac:dyDescent="0.15">
      <c r="A169" s="7" t="s">
        <v>912</v>
      </c>
      <c r="B169" s="7" t="s">
        <v>940</v>
      </c>
      <c r="C169" s="7" t="s">
        <v>403</v>
      </c>
      <c r="D169" s="7">
        <v>0</v>
      </c>
      <c r="E169" s="7">
        <f t="shared" si="2"/>
        <v>1655.47</v>
      </c>
      <c r="F169" s="7" t="s">
        <v>1610</v>
      </c>
      <c r="G169" s="7" t="s">
        <v>1607</v>
      </c>
      <c r="H169" s="7" t="s">
        <v>1611</v>
      </c>
      <c r="I169" s="10">
        <v>46037</v>
      </c>
      <c r="K169" s="7" t="s">
        <v>943</v>
      </c>
      <c r="L169" s="7" t="s">
        <v>919</v>
      </c>
      <c r="M169" s="7" t="s">
        <v>920</v>
      </c>
      <c r="N169" s="7" t="s">
        <v>921</v>
      </c>
      <c r="O169" s="7" t="s">
        <v>922</v>
      </c>
      <c r="P169" s="7" t="s">
        <v>923</v>
      </c>
      <c r="Q169" s="7" t="s">
        <v>1612</v>
      </c>
      <c r="R169" s="7" t="s">
        <v>1613</v>
      </c>
      <c r="S169" s="7" t="s">
        <v>985</v>
      </c>
      <c r="T169" s="7" t="s">
        <v>947</v>
      </c>
      <c r="U169" s="7" t="s">
        <v>947</v>
      </c>
    </row>
    <row r="170" spans="1:21" x14ac:dyDescent="0.15">
      <c r="A170" s="7" t="s">
        <v>912</v>
      </c>
      <c r="B170" s="7" t="s">
        <v>940</v>
      </c>
      <c r="C170" s="7" t="s">
        <v>566</v>
      </c>
      <c r="D170" s="7">
        <v>0</v>
      </c>
      <c r="E170" s="7">
        <f t="shared" si="2"/>
        <v>49.9</v>
      </c>
      <c r="F170" s="7" t="s">
        <v>1607</v>
      </c>
      <c r="G170" s="7" t="s">
        <v>1606</v>
      </c>
      <c r="H170" s="7" t="s">
        <v>1608</v>
      </c>
      <c r="I170" s="10">
        <v>46037</v>
      </c>
      <c r="K170" s="7" t="s">
        <v>943</v>
      </c>
      <c r="L170" s="7" t="s">
        <v>919</v>
      </c>
      <c r="M170" s="7" t="s">
        <v>920</v>
      </c>
      <c r="N170" s="7" t="s">
        <v>921</v>
      </c>
      <c r="O170" s="7" t="s">
        <v>922</v>
      </c>
      <c r="P170" s="7" t="s">
        <v>923</v>
      </c>
      <c r="Q170" s="7" t="s">
        <v>1609</v>
      </c>
      <c r="R170" s="7" t="s">
        <v>1394</v>
      </c>
      <c r="S170" s="7" t="s">
        <v>992</v>
      </c>
      <c r="T170" s="7" t="s">
        <v>947</v>
      </c>
      <c r="U170" s="7" t="s">
        <v>947</v>
      </c>
    </row>
    <row r="171" spans="1:21" x14ac:dyDescent="0.15">
      <c r="A171" s="7" t="s">
        <v>912</v>
      </c>
      <c r="B171" s="7" t="s">
        <v>913</v>
      </c>
      <c r="C171" s="7" t="s">
        <v>288</v>
      </c>
      <c r="D171" s="7" t="s">
        <v>916</v>
      </c>
      <c r="E171" s="7">
        <f t="shared" si="2"/>
        <v>98.85</v>
      </c>
      <c r="F171" s="7" t="s">
        <v>1604</v>
      </c>
      <c r="G171" s="7" t="s">
        <v>1602</v>
      </c>
      <c r="H171" s="7" t="s">
        <v>1605</v>
      </c>
      <c r="I171" s="10">
        <v>46037</v>
      </c>
      <c r="K171" s="7" t="s">
        <v>918</v>
      </c>
      <c r="L171" s="7" t="s">
        <v>919</v>
      </c>
      <c r="M171" s="7" t="s">
        <v>920</v>
      </c>
      <c r="N171" s="7" t="s">
        <v>921</v>
      </c>
      <c r="O171" s="7" t="s">
        <v>922</v>
      </c>
      <c r="P171" s="7" t="s">
        <v>923</v>
      </c>
      <c r="Q171" s="7" t="s">
        <v>924</v>
      </c>
      <c r="R171" s="7" t="s">
        <v>925</v>
      </c>
      <c r="S171" s="7" t="s">
        <v>926</v>
      </c>
      <c r="T171" s="7" t="s">
        <v>922</v>
      </c>
      <c r="U171" s="7" t="s">
        <v>927</v>
      </c>
    </row>
    <row r="172" spans="1:21" x14ac:dyDescent="0.15">
      <c r="A172" s="7" t="s">
        <v>912</v>
      </c>
      <c r="B172" s="7" t="s">
        <v>913</v>
      </c>
      <c r="C172" s="7" t="s">
        <v>349</v>
      </c>
      <c r="D172" s="7" t="s">
        <v>916</v>
      </c>
      <c r="E172" s="7">
        <f t="shared" si="2"/>
        <v>86.12</v>
      </c>
      <c r="F172" s="7" t="s">
        <v>1606</v>
      </c>
      <c r="G172" s="7" t="s">
        <v>1604</v>
      </c>
      <c r="H172" s="7" t="s">
        <v>1605</v>
      </c>
      <c r="I172" s="10">
        <v>46037</v>
      </c>
      <c r="K172" s="7" t="s">
        <v>918</v>
      </c>
      <c r="L172" s="7" t="s">
        <v>919</v>
      </c>
      <c r="M172" s="7" t="s">
        <v>920</v>
      </c>
      <c r="N172" s="7" t="s">
        <v>921</v>
      </c>
      <c r="O172" s="7" t="s">
        <v>922</v>
      </c>
      <c r="P172" s="7" t="s">
        <v>923</v>
      </c>
      <c r="Q172" s="7" t="s">
        <v>924</v>
      </c>
      <c r="R172" s="7" t="s">
        <v>925</v>
      </c>
      <c r="S172" s="7" t="s">
        <v>926</v>
      </c>
      <c r="T172" s="7" t="s">
        <v>922</v>
      </c>
      <c r="U172" s="7" t="s">
        <v>927</v>
      </c>
    </row>
    <row r="173" spans="1:21" x14ac:dyDescent="0.15">
      <c r="A173" s="7" t="s">
        <v>912</v>
      </c>
      <c r="B173" s="7" t="s">
        <v>913</v>
      </c>
      <c r="C173" s="7" t="s">
        <v>259</v>
      </c>
      <c r="D173" s="7" t="s">
        <v>916</v>
      </c>
      <c r="E173" s="7">
        <f t="shared" si="2"/>
        <v>99.53</v>
      </c>
      <c r="F173" s="7" t="s">
        <v>1602</v>
      </c>
      <c r="G173" s="7" t="s">
        <v>1598</v>
      </c>
      <c r="H173" s="7" t="s">
        <v>1603</v>
      </c>
      <c r="I173" s="10">
        <v>46038</v>
      </c>
      <c r="K173" s="7" t="s">
        <v>918</v>
      </c>
      <c r="L173" s="7" t="s">
        <v>919</v>
      </c>
      <c r="M173" s="7" t="s">
        <v>920</v>
      </c>
      <c r="N173" s="7" t="s">
        <v>921</v>
      </c>
      <c r="O173" s="7" t="s">
        <v>922</v>
      </c>
      <c r="P173" s="7" t="s">
        <v>923</v>
      </c>
      <c r="Q173" s="7" t="s">
        <v>924</v>
      </c>
      <c r="R173" s="7" t="s">
        <v>925</v>
      </c>
      <c r="S173" s="7" t="s">
        <v>926</v>
      </c>
      <c r="T173" s="7" t="s">
        <v>922</v>
      </c>
      <c r="U173" s="7" t="s">
        <v>927</v>
      </c>
    </row>
    <row r="174" spans="1:21" x14ac:dyDescent="0.15">
      <c r="A174" s="7" t="s">
        <v>912</v>
      </c>
      <c r="B174" s="7" t="s">
        <v>940</v>
      </c>
      <c r="C174" s="7" t="s">
        <v>774</v>
      </c>
      <c r="D174" s="7">
        <v>0</v>
      </c>
      <c r="E174" s="7">
        <f t="shared" si="2"/>
        <v>245.32</v>
      </c>
      <c r="F174" s="7" t="s">
        <v>1598</v>
      </c>
      <c r="G174" s="7" t="s">
        <v>1594</v>
      </c>
      <c r="H174" s="7" t="s">
        <v>1599</v>
      </c>
      <c r="I174" s="10">
        <v>46038</v>
      </c>
      <c r="K174" s="7" t="s">
        <v>943</v>
      </c>
      <c r="L174" s="7" t="s">
        <v>919</v>
      </c>
      <c r="M174" s="7" t="s">
        <v>920</v>
      </c>
      <c r="N174" s="7" t="s">
        <v>921</v>
      </c>
      <c r="O174" s="7" t="s">
        <v>922</v>
      </c>
      <c r="P174" s="7" t="s">
        <v>923</v>
      </c>
      <c r="Q174" s="7" t="s">
        <v>1600</v>
      </c>
      <c r="R174" s="7" t="s">
        <v>1601</v>
      </c>
      <c r="S174" s="7" t="s">
        <v>958</v>
      </c>
      <c r="T174" s="7" t="s">
        <v>947</v>
      </c>
      <c r="U174" s="7" t="s">
        <v>947</v>
      </c>
    </row>
    <row r="175" spans="1:21" x14ac:dyDescent="0.15">
      <c r="A175" s="7" t="s">
        <v>912</v>
      </c>
      <c r="B175" s="7" t="s">
        <v>940</v>
      </c>
      <c r="C175" s="7" t="s">
        <v>544</v>
      </c>
      <c r="D175" s="7">
        <v>0</v>
      </c>
      <c r="E175" s="7">
        <f t="shared" si="2"/>
        <v>137.21</v>
      </c>
      <c r="F175" s="7" t="s">
        <v>1594</v>
      </c>
      <c r="G175" s="7" t="s">
        <v>1592</v>
      </c>
      <c r="H175" s="7" t="s">
        <v>1595</v>
      </c>
      <c r="I175" s="10">
        <v>46038</v>
      </c>
      <c r="K175" s="7" t="s">
        <v>943</v>
      </c>
      <c r="L175" s="7" t="s">
        <v>919</v>
      </c>
      <c r="M175" s="7" t="s">
        <v>920</v>
      </c>
      <c r="N175" s="7" t="s">
        <v>921</v>
      </c>
      <c r="O175" s="7" t="s">
        <v>922</v>
      </c>
      <c r="P175" s="7" t="s">
        <v>923</v>
      </c>
      <c r="Q175" s="7" t="s">
        <v>1596</v>
      </c>
      <c r="R175" s="7" t="s">
        <v>1597</v>
      </c>
      <c r="S175" s="7" t="s">
        <v>992</v>
      </c>
      <c r="T175" s="7" t="s">
        <v>947</v>
      </c>
      <c r="U175" s="7" t="s">
        <v>947</v>
      </c>
    </row>
    <row r="176" spans="1:21" x14ac:dyDescent="0.15">
      <c r="A176" s="7" t="s">
        <v>912</v>
      </c>
      <c r="B176" s="7" t="s">
        <v>913</v>
      </c>
      <c r="C176" s="7" t="s">
        <v>442</v>
      </c>
      <c r="D176" s="7" t="s">
        <v>916</v>
      </c>
      <c r="E176" s="7">
        <f t="shared" si="2"/>
        <v>48.37</v>
      </c>
      <c r="F176" s="7" t="s">
        <v>1592</v>
      </c>
      <c r="G176" s="7" t="s">
        <v>1590</v>
      </c>
      <c r="H176" s="7" t="s">
        <v>1593</v>
      </c>
      <c r="I176" s="10">
        <v>46038</v>
      </c>
      <c r="K176" s="7" t="s">
        <v>918</v>
      </c>
      <c r="L176" s="7" t="s">
        <v>919</v>
      </c>
      <c r="M176" s="7" t="s">
        <v>920</v>
      </c>
      <c r="N176" s="7" t="s">
        <v>921</v>
      </c>
      <c r="O176" s="7" t="s">
        <v>922</v>
      </c>
      <c r="P176" s="7" t="s">
        <v>923</v>
      </c>
      <c r="Q176" s="7" t="s">
        <v>924</v>
      </c>
      <c r="R176" s="7" t="s">
        <v>925</v>
      </c>
      <c r="S176" s="7" t="s">
        <v>926</v>
      </c>
      <c r="T176" s="7" t="s">
        <v>922</v>
      </c>
      <c r="U176" s="7" t="s">
        <v>927</v>
      </c>
    </row>
    <row r="177" spans="1:21" x14ac:dyDescent="0.15">
      <c r="A177" s="7" t="s">
        <v>912</v>
      </c>
      <c r="B177" s="7" t="s">
        <v>913</v>
      </c>
      <c r="C177" s="7" t="s">
        <v>317</v>
      </c>
      <c r="D177" s="7" t="s">
        <v>916</v>
      </c>
      <c r="E177" s="7">
        <f t="shared" si="2"/>
        <v>68.98</v>
      </c>
      <c r="F177" s="7" t="s">
        <v>1590</v>
      </c>
      <c r="G177" s="7" t="s">
        <v>1585</v>
      </c>
      <c r="H177" s="7" t="s">
        <v>1591</v>
      </c>
      <c r="I177" s="10">
        <v>46038</v>
      </c>
      <c r="K177" s="7" t="s">
        <v>918</v>
      </c>
      <c r="L177" s="7" t="s">
        <v>919</v>
      </c>
      <c r="M177" s="7" t="s">
        <v>920</v>
      </c>
      <c r="N177" s="7" t="s">
        <v>921</v>
      </c>
      <c r="O177" s="7" t="s">
        <v>922</v>
      </c>
      <c r="P177" s="7" t="s">
        <v>923</v>
      </c>
      <c r="Q177" s="7" t="s">
        <v>924</v>
      </c>
      <c r="R177" s="7" t="s">
        <v>925</v>
      </c>
      <c r="S177" s="7" t="s">
        <v>926</v>
      </c>
      <c r="T177" s="7" t="s">
        <v>922</v>
      </c>
      <c r="U177" s="7" t="s">
        <v>927</v>
      </c>
    </row>
    <row r="178" spans="1:21" x14ac:dyDescent="0.15">
      <c r="A178" s="7" t="s">
        <v>912</v>
      </c>
      <c r="B178" s="7" t="s">
        <v>972</v>
      </c>
      <c r="C178" s="7" t="s">
        <v>979</v>
      </c>
      <c r="D178" s="7" t="s">
        <v>981</v>
      </c>
      <c r="E178" s="7">
        <f t="shared" si="2"/>
        <v>59.61</v>
      </c>
      <c r="F178" s="7" t="s">
        <v>1585</v>
      </c>
      <c r="G178" s="7" t="s">
        <v>1580</v>
      </c>
      <c r="H178" s="7" t="s">
        <v>1586</v>
      </c>
      <c r="I178" s="10">
        <v>46040</v>
      </c>
      <c r="K178" s="7" t="s">
        <v>962</v>
      </c>
      <c r="L178" s="7" t="s">
        <v>919</v>
      </c>
      <c r="M178" s="7" t="s">
        <v>920</v>
      </c>
      <c r="N178" s="7" t="s">
        <v>921</v>
      </c>
      <c r="O178" s="7" t="s">
        <v>922</v>
      </c>
      <c r="P178" s="7" t="s">
        <v>923</v>
      </c>
      <c r="Q178" s="7" t="s">
        <v>1587</v>
      </c>
      <c r="R178" s="7" t="s">
        <v>1588</v>
      </c>
      <c r="S178" s="7" t="s">
        <v>1589</v>
      </c>
      <c r="T178" s="7" t="s">
        <v>947</v>
      </c>
      <c r="U178" s="7" t="s">
        <v>947</v>
      </c>
    </row>
    <row r="179" spans="1:21" x14ac:dyDescent="0.15">
      <c r="A179" s="7" t="s">
        <v>912</v>
      </c>
      <c r="B179" s="7" t="s">
        <v>972</v>
      </c>
      <c r="C179" s="7" t="s">
        <v>1579</v>
      </c>
      <c r="D179" s="7" t="s">
        <v>1581</v>
      </c>
      <c r="E179" s="7">
        <f t="shared" si="2"/>
        <v>9.8600000000000012</v>
      </c>
      <c r="F179" s="7" t="s">
        <v>1580</v>
      </c>
      <c r="G179" s="7" t="s">
        <v>1574</v>
      </c>
      <c r="H179" s="7" t="s">
        <v>1582</v>
      </c>
      <c r="I179" s="10">
        <v>46040</v>
      </c>
      <c r="K179" s="7" t="s">
        <v>962</v>
      </c>
      <c r="L179" s="7" t="s">
        <v>919</v>
      </c>
      <c r="M179" s="7" t="s">
        <v>920</v>
      </c>
      <c r="N179" s="7" t="s">
        <v>921</v>
      </c>
      <c r="O179" s="7" t="s">
        <v>922</v>
      </c>
      <c r="P179" s="7" t="s">
        <v>923</v>
      </c>
      <c r="Q179" s="7" t="s">
        <v>1583</v>
      </c>
      <c r="R179" s="7" t="s">
        <v>1584</v>
      </c>
      <c r="S179" s="7" t="s">
        <v>958</v>
      </c>
      <c r="T179" s="7" t="s">
        <v>947</v>
      </c>
      <c r="U179" s="7" t="s">
        <v>947</v>
      </c>
    </row>
    <row r="180" spans="1:21" x14ac:dyDescent="0.15">
      <c r="A180" s="7" t="s">
        <v>912</v>
      </c>
      <c r="B180" s="7" t="s">
        <v>972</v>
      </c>
      <c r="C180" s="7" t="s">
        <v>1573</v>
      </c>
      <c r="D180" s="7" t="s">
        <v>1575</v>
      </c>
      <c r="E180" s="7">
        <f t="shared" si="2"/>
        <v>67.59</v>
      </c>
      <c r="F180" s="7" t="s">
        <v>1574</v>
      </c>
      <c r="G180" s="7" t="s">
        <v>1568</v>
      </c>
      <c r="H180" s="7" t="s">
        <v>1576</v>
      </c>
      <c r="I180" s="10">
        <v>46040</v>
      </c>
      <c r="K180" s="7" t="s">
        <v>962</v>
      </c>
      <c r="L180" s="7" t="s">
        <v>919</v>
      </c>
      <c r="M180" s="7" t="s">
        <v>920</v>
      </c>
      <c r="N180" s="7" t="s">
        <v>921</v>
      </c>
      <c r="O180" s="7" t="s">
        <v>922</v>
      </c>
      <c r="P180" s="7" t="s">
        <v>923</v>
      </c>
      <c r="Q180" s="7" t="s">
        <v>1577</v>
      </c>
      <c r="R180" s="7" t="s">
        <v>1578</v>
      </c>
      <c r="S180" s="7" t="s">
        <v>1028</v>
      </c>
      <c r="T180" s="7" t="s">
        <v>947</v>
      </c>
      <c r="U180" s="7" t="s">
        <v>947</v>
      </c>
    </row>
    <row r="181" spans="1:21" x14ac:dyDescent="0.15">
      <c r="A181" s="7" t="s">
        <v>912</v>
      </c>
      <c r="B181" s="7" t="s">
        <v>972</v>
      </c>
      <c r="C181" s="7" t="s">
        <v>1567</v>
      </c>
      <c r="D181" s="7" t="s">
        <v>1569</v>
      </c>
      <c r="E181" s="7">
        <f t="shared" si="2"/>
        <v>218.71</v>
      </c>
      <c r="F181" s="7" t="s">
        <v>1568</v>
      </c>
      <c r="G181" s="7" t="s">
        <v>1562</v>
      </c>
      <c r="H181" s="7" t="s">
        <v>1570</v>
      </c>
      <c r="I181" s="10">
        <v>46040</v>
      </c>
      <c r="K181" s="7" t="s">
        <v>962</v>
      </c>
      <c r="L181" s="7" t="s">
        <v>919</v>
      </c>
      <c r="M181" s="7" t="s">
        <v>920</v>
      </c>
      <c r="N181" s="7" t="s">
        <v>921</v>
      </c>
      <c r="O181" s="7" t="s">
        <v>922</v>
      </c>
      <c r="P181" s="7" t="s">
        <v>923</v>
      </c>
      <c r="Q181" s="7" t="s">
        <v>1571</v>
      </c>
      <c r="R181" s="7" t="s">
        <v>1572</v>
      </c>
      <c r="S181" s="7" t="s">
        <v>992</v>
      </c>
      <c r="T181" s="7" t="s">
        <v>947</v>
      </c>
      <c r="U181" s="7" t="s">
        <v>947</v>
      </c>
    </row>
    <row r="182" spans="1:21" x14ac:dyDescent="0.15">
      <c r="A182" s="7" t="s">
        <v>912</v>
      </c>
      <c r="B182" s="7" t="s">
        <v>972</v>
      </c>
      <c r="C182" s="7" t="s">
        <v>1561</v>
      </c>
      <c r="D182" s="7" t="s">
        <v>1563</v>
      </c>
      <c r="E182" s="7">
        <f t="shared" si="2"/>
        <v>37.22</v>
      </c>
      <c r="F182" s="7" t="s">
        <v>1562</v>
      </c>
      <c r="G182" s="7" t="s">
        <v>1560</v>
      </c>
      <c r="H182" s="7" t="s">
        <v>1564</v>
      </c>
      <c r="I182" s="10">
        <v>46040</v>
      </c>
      <c r="K182" s="7" t="s">
        <v>962</v>
      </c>
      <c r="L182" s="7" t="s">
        <v>919</v>
      </c>
      <c r="M182" s="7" t="s">
        <v>920</v>
      </c>
      <c r="N182" s="7" t="s">
        <v>921</v>
      </c>
      <c r="O182" s="7" t="s">
        <v>922</v>
      </c>
      <c r="P182" s="7" t="s">
        <v>923</v>
      </c>
      <c r="Q182" s="7" t="s">
        <v>1565</v>
      </c>
      <c r="R182" s="7" t="s">
        <v>1566</v>
      </c>
      <c r="S182" s="7" t="s">
        <v>1033</v>
      </c>
      <c r="T182" s="7" t="s">
        <v>947</v>
      </c>
      <c r="U182" s="7" t="s">
        <v>947</v>
      </c>
    </row>
    <row r="183" spans="1:21" x14ac:dyDescent="0.15">
      <c r="A183" s="7" t="s">
        <v>912</v>
      </c>
      <c r="B183" s="7" t="s">
        <v>913</v>
      </c>
      <c r="C183" s="7" t="s">
        <v>618</v>
      </c>
      <c r="D183" s="7" t="s">
        <v>916</v>
      </c>
      <c r="E183" s="7">
        <f t="shared" si="2"/>
        <v>363.27</v>
      </c>
      <c r="F183" s="7" t="s">
        <v>1556</v>
      </c>
      <c r="G183" s="7" t="s">
        <v>1552</v>
      </c>
      <c r="H183" s="7" t="s">
        <v>1557</v>
      </c>
      <c r="I183" s="10">
        <v>46040</v>
      </c>
      <c r="K183" s="7" t="s">
        <v>918</v>
      </c>
      <c r="L183" s="7" t="s">
        <v>919</v>
      </c>
      <c r="M183" s="7" t="s">
        <v>920</v>
      </c>
      <c r="N183" s="7" t="s">
        <v>921</v>
      </c>
      <c r="O183" s="7" t="s">
        <v>922</v>
      </c>
      <c r="P183" s="7" t="s">
        <v>923</v>
      </c>
      <c r="Q183" s="7" t="s">
        <v>924</v>
      </c>
      <c r="R183" s="7" t="s">
        <v>925</v>
      </c>
      <c r="S183" s="7" t="s">
        <v>926</v>
      </c>
      <c r="T183" s="7" t="s">
        <v>922</v>
      </c>
      <c r="U183" s="7" t="s">
        <v>927</v>
      </c>
    </row>
    <row r="184" spans="1:21" x14ac:dyDescent="0.15">
      <c r="A184" s="7" t="s">
        <v>912</v>
      </c>
      <c r="B184" s="7" t="s">
        <v>913</v>
      </c>
      <c r="C184" s="7" t="s">
        <v>892</v>
      </c>
      <c r="D184" s="7" t="s">
        <v>916</v>
      </c>
      <c r="E184" s="7">
        <f t="shared" si="2"/>
        <v>51.3</v>
      </c>
      <c r="F184" s="7" t="s">
        <v>1558</v>
      </c>
      <c r="G184" s="7" t="s">
        <v>1556</v>
      </c>
      <c r="H184" s="7" t="s">
        <v>1557</v>
      </c>
      <c r="I184" s="10">
        <v>46040</v>
      </c>
      <c r="K184" s="7" t="s">
        <v>918</v>
      </c>
      <c r="L184" s="7" t="s">
        <v>919</v>
      </c>
      <c r="M184" s="7" t="s">
        <v>920</v>
      </c>
      <c r="N184" s="7" t="s">
        <v>921</v>
      </c>
      <c r="O184" s="7" t="s">
        <v>922</v>
      </c>
      <c r="P184" s="7" t="s">
        <v>923</v>
      </c>
      <c r="Q184" s="7" t="s">
        <v>924</v>
      </c>
      <c r="R184" s="7" t="s">
        <v>925</v>
      </c>
      <c r="S184" s="7" t="s">
        <v>926</v>
      </c>
      <c r="T184" s="7" t="s">
        <v>922</v>
      </c>
      <c r="U184" s="7" t="s">
        <v>927</v>
      </c>
    </row>
    <row r="185" spans="1:21" x14ac:dyDescent="0.15">
      <c r="A185" s="7" t="s">
        <v>912</v>
      </c>
      <c r="B185" s="7" t="s">
        <v>913</v>
      </c>
      <c r="C185" s="7" t="s">
        <v>78</v>
      </c>
      <c r="D185" s="7" t="s">
        <v>916</v>
      </c>
      <c r="E185" s="7">
        <f t="shared" si="2"/>
        <v>626.65</v>
      </c>
      <c r="F185" s="7" t="s">
        <v>1559</v>
      </c>
      <c r="G185" s="7" t="s">
        <v>1558</v>
      </c>
      <c r="H185" s="7" t="s">
        <v>1557</v>
      </c>
      <c r="I185" s="10">
        <v>46040</v>
      </c>
      <c r="K185" s="7" t="s">
        <v>918</v>
      </c>
      <c r="L185" s="7" t="s">
        <v>919</v>
      </c>
      <c r="M185" s="7" t="s">
        <v>920</v>
      </c>
      <c r="N185" s="7" t="s">
        <v>921</v>
      </c>
      <c r="O185" s="7" t="s">
        <v>922</v>
      </c>
      <c r="P185" s="7" t="s">
        <v>923</v>
      </c>
      <c r="Q185" s="7" t="s">
        <v>924</v>
      </c>
      <c r="R185" s="7" t="s">
        <v>925</v>
      </c>
      <c r="S185" s="7" t="s">
        <v>926</v>
      </c>
      <c r="T185" s="7" t="s">
        <v>922</v>
      </c>
      <c r="U185" s="7" t="s">
        <v>927</v>
      </c>
    </row>
    <row r="186" spans="1:21" x14ac:dyDescent="0.15">
      <c r="A186" s="7" t="s">
        <v>912</v>
      </c>
      <c r="B186" s="7" t="s">
        <v>913</v>
      </c>
      <c r="C186" s="7" t="s">
        <v>642</v>
      </c>
      <c r="D186" s="7" t="s">
        <v>916</v>
      </c>
      <c r="E186" s="7">
        <f t="shared" si="2"/>
        <v>581.45000000000005</v>
      </c>
      <c r="F186" s="7" t="s">
        <v>1560</v>
      </c>
      <c r="G186" s="7" t="s">
        <v>1559</v>
      </c>
      <c r="H186" s="7" t="s">
        <v>1557</v>
      </c>
      <c r="I186" s="10">
        <v>46040</v>
      </c>
      <c r="K186" s="7" t="s">
        <v>918</v>
      </c>
      <c r="L186" s="7" t="s">
        <v>919</v>
      </c>
      <c r="M186" s="7" t="s">
        <v>920</v>
      </c>
      <c r="N186" s="7" t="s">
        <v>921</v>
      </c>
      <c r="O186" s="7" t="s">
        <v>922</v>
      </c>
      <c r="P186" s="7" t="s">
        <v>923</v>
      </c>
      <c r="Q186" s="7" t="s">
        <v>924</v>
      </c>
      <c r="R186" s="7" t="s">
        <v>925</v>
      </c>
      <c r="S186" s="7" t="s">
        <v>926</v>
      </c>
      <c r="T186" s="7" t="s">
        <v>922</v>
      </c>
      <c r="U186" s="7" t="s">
        <v>927</v>
      </c>
    </row>
    <row r="187" spans="1:21" x14ac:dyDescent="0.15">
      <c r="A187" s="7" t="s">
        <v>912</v>
      </c>
      <c r="B187" s="7" t="s">
        <v>972</v>
      </c>
      <c r="C187" s="7" t="s">
        <v>997</v>
      </c>
      <c r="D187" s="7" t="s">
        <v>999</v>
      </c>
      <c r="E187" s="7">
        <f t="shared" si="2"/>
        <v>51.65</v>
      </c>
      <c r="F187" s="7" t="s">
        <v>1552</v>
      </c>
      <c r="G187" s="7" t="s">
        <v>1551</v>
      </c>
      <c r="H187" s="7" t="s">
        <v>1553</v>
      </c>
      <c r="I187" s="10">
        <v>46040</v>
      </c>
      <c r="K187" s="7" t="s">
        <v>962</v>
      </c>
      <c r="L187" s="7" t="s">
        <v>919</v>
      </c>
      <c r="M187" s="7" t="s">
        <v>920</v>
      </c>
      <c r="N187" s="7" t="s">
        <v>921</v>
      </c>
      <c r="O187" s="7" t="s">
        <v>922</v>
      </c>
      <c r="P187" s="7" t="s">
        <v>923</v>
      </c>
      <c r="Q187" s="7" t="s">
        <v>1554</v>
      </c>
      <c r="R187" s="7" t="s">
        <v>1555</v>
      </c>
      <c r="S187" s="7" t="s">
        <v>953</v>
      </c>
      <c r="T187" s="7" t="s">
        <v>947</v>
      </c>
      <c r="U187" s="7" t="s">
        <v>947</v>
      </c>
    </row>
    <row r="188" spans="1:21" x14ac:dyDescent="0.15">
      <c r="A188" s="7" t="s">
        <v>912</v>
      </c>
      <c r="B188" s="7" t="s">
        <v>913</v>
      </c>
      <c r="C188" s="7" t="s">
        <v>343</v>
      </c>
      <c r="D188" s="7" t="s">
        <v>916</v>
      </c>
      <c r="E188" s="7">
        <f t="shared" si="2"/>
        <v>1805.47</v>
      </c>
      <c r="F188" s="7" t="s">
        <v>1545</v>
      </c>
      <c r="G188" s="7" t="s">
        <v>1544</v>
      </c>
      <c r="H188" s="7" t="s">
        <v>1546</v>
      </c>
      <c r="I188" s="10">
        <v>46040</v>
      </c>
      <c r="K188" s="7" t="s">
        <v>918</v>
      </c>
      <c r="L188" s="7" t="s">
        <v>919</v>
      </c>
      <c r="M188" s="7" t="s">
        <v>920</v>
      </c>
      <c r="N188" s="7" t="s">
        <v>921</v>
      </c>
      <c r="O188" s="7" t="s">
        <v>922</v>
      </c>
      <c r="P188" s="7" t="s">
        <v>923</v>
      </c>
      <c r="Q188" s="7" t="s">
        <v>924</v>
      </c>
      <c r="R188" s="7" t="s">
        <v>925</v>
      </c>
      <c r="S188" s="7" t="s">
        <v>926</v>
      </c>
      <c r="T188" s="7" t="s">
        <v>922</v>
      </c>
      <c r="U188" s="7" t="s">
        <v>927</v>
      </c>
    </row>
    <row r="189" spans="1:21" x14ac:dyDescent="0.15">
      <c r="A189" s="7" t="s">
        <v>912</v>
      </c>
      <c r="B189" s="7" t="s">
        <v>913</v>
      </c>
      <c r="C189" s="7" t="s">
        <v>573</v>
      </c>
      <c r="D189" s="7" t="s">
        <v>916</v>
      </c>
      <c r="E189" s="7">
        <f t="shared" si="2"/>
        <v>380.23</v>
      </c>
      <c r="F189" s="7" t="s">
        <v>1547</v>
      </c>
      <c r="G189" s="7" t="s">
        <v>1545</v>
      </c>
      <c r="H189" s="7" t="s">
        <v>1546</v>
      </c>
      <c r="I189" s="10">
        <v>46040</v>
      </c>
      <c r="K189" s="7" t="s">
        <v>918</v>
      </c>
      <c r="L189" s="7" t="s">
        <v>919</v>
      </c>
      <c r="M189" s="7" t="s">
        <v>920</v>
      </c>
      <c r="N189" s="7" t="s">
        <v>921</v>
      </c>
      <c r="O189" s="7" t="s">
        <v>922</v>
      </c>
      <c r="P189" s="7" t="s">
        <v>923</v>
      </c>
      <c r="Q189" s="7" t="s">
        <v>924</v>
      </c>
      <c r="R189" s="7" t="s">
        <v>925</v>
      </c>
      <c r="S189" s="7" t="s">
        <v>926</v>
      </c>
      <c r="T189" s="7" t="s">
        <v>922</v>
      </c>
      <c r="U189" s="7" t="s">
        <v>927</v>
      </c>
    </row>
    <row r="190" spans="1:21" x14ac:dyDescent="0.15">
      <c r="A190" s="7" t="s">
        <v>912</v>
      </c>
      <c r="B190" s="7" t="s">
        <v>913</v>
      </c>
      <c r="C190" s="7" t="s">
        <v>684</v>
      </c>
      <c r="D190" s="7" t="s">
        <v>916</v>
      </c>
      <c r="E190" s="7">
        <f t="shared" si="2"/>
        <v>79.599999999999994</v>
      </c>
      <c r="F190" s="7" t="s">
        <v>1548</v>
      </c>
      <c r="G190" s="7" t="s">
        <v>1547</v>
      </c>
      <c r="H190" s="7" t="s">
        <v>1546</v>
      </c>
      <c r="I190" s="10">
        <v>46040</v>
      </c>
      <c r="K190" s="7" t="s">
        <v>918</v>
      </c>
      <c r="L190" s="7" t="s">
        <v>919</v>
      </c>
      <c r="M190" s="7" t="s">
        <v>920</v>
      </c>
      <c r="N190" s="7" t="s">
        <v>921</v>
      </c>
      <c r="O190" s="7" t="s">
        <v>922</v>
      </c>
      <c r="P190" s="7" t="s">
        <v>923</v>
      </c>
      <c r="Q190" s="7" t="s">
        <v>924</v>
      </c>
      <c r="R190" s="7" t="s">
        <v>925</v>
      </c>
      <c r="S190" s="7" t="s">
        <v>926</v>
      </c>
      <c r="T190" s="7" t="s">
        <v>922</v>
      </c>
      <c r="U190" s="7" t="s">
        <v>927</v>
      </c>
    </row>
    <row r="191" spans="1:21" x14ac:dyDescent="0.15">
      <c r="A191" s="7" t="s">
        <v>912</v>
      </c>
      <c r="B191" s="7" t="s">
        <v>913</v>
      </c>
      <c r="C191" s="7" t="s">
        <v>98</v>
      </c>
      <c r="D191" s="7" t="s">
        <v>916</v>
      </c>
      <c r="E191" s="7">
        <f t="shared" si="2"/>
        <v>28.67</v>
      </c>
      <c r="F191" s="7" t="s">
        <v>1549</v>
      </c>
      <c r="G191" s="7" t="s">
        <v>1548</v>
      </c>
      <c r="H191" s="7" t="s">
        <v>1546</v>
      </c>
      <c r="I191" s="10">
        <v>46040</v>
      </c>
      <c r="K191" s="7" t="s">
        <v>918</v>
      </c>
      <c r="L191" s="7" t="s">
        <v>919</v>
      </c>
      <c r="M191" s="7" t="s">
        <v>920</v>
      </c>
      <c r="N191" s="7" t="s">
        <v>921</v>
      </c>
      <c r="O191" s="7" t="s">
        <v>922</v>
      </c>
      <c r="P191" s="7" t="s">
        <v>923</v>
      </c>
      <c r="Q191" s="7" t="s">
        <v>924</v>
      </c>
      <c r="R191" s="7" t="s">
        <v>925</v>
      </c>
      <c r="S191" s="7" t="s">
        <v>926</v>
      </c>
      <c r="T191" s="7" t="s">
        <v>922</v>
      </c>
      <c r="U191" s="7" t="s">
        <v>927</v>
      </c>
    </row>
    <row r="192" spans="1:21" x14ac:dyDescent="0.15">
      <c r="A192" s="7" t="s">
        <v>912</v>
      </c>
      <c r="B192" s="7" t="s">
        <v>913</v>
      </c>
      <c r="C192" s="7" t="s">
        <v>687</v>
      </c>
      <c r="D192" s="7" t="s">
        <v>916</v>
      </c>
      <c r="E192" s="7">
        <f t="shared" si="2"/>
        <v>41.92</v>
      </c>
      <c r="F192" s="7" t="s">
        <v>1550</v>
      </c>
      <c r="G192" s="7" t="s">
        <v>1549</v>
      </c>
      <c r="H192" s="7" t="s">
        <v>1546</v>
      </c>
      <c r="I192" s="10">
        <v>46040</v>
      </c>
      <c r="K192" s="7" t="s">
        <v>918</v>
      </c>
      <c r="L192" s="7" t="s">
        <v>919</v>
      </c>
      <c r="M192" s="7" t="s">
        <v>920</v>
      </c>
      <c r="N192" s="7" t="s">
        <v>921</v>
      </c>
      <c r="O192" s="7" t="s">
        <v>922</v>
      </c>
      <c r="P192" s="7" t="s">
        <v>923</v>
      </c>
      <c r="Q192" s="7" t="s">
        <v>924</v>
      </c>
      <c r="R192" s="7" t="s">
        <v>925</v>
      </c>
      <c r="S192" s="7" t="s">
        <v>926</v>
      </c>
      <c r="T192" s="7" t="s">
        <v>922</v>
      </c>
      <c r="U192" s="7" t="s">
        <v>927</v>
      </c>
    </row>
    <row r="193" spans="1:21" x14ac:dyDescent="0.15">
      <c r="A193" s="7" t="s">
        <v>912</v>
      </c>
      <c r="B193" s="7" t="s">
        <v>913</v>
      </c>
      <c r="C193" s="7" t="s">
        <v>193</v>
      </c>
      <c r="D193" s="7" t="s">
        <v>916</v>
      </c>
      <c r="E193" s="7">
        <f t="shared" si="2"/>
        <v>332.04</v>
      </c>
      <c r="F193" s="7" t="s">
        <v>1551</v>
      </c>
      <c r="G193" s="7" t="s">
        <v>1550</v>
      </c>
      <c r="H193" s="7" t="s">
        <v>1546</v>
      </c>
      <c r="I193" s="10">
        <v>46040</v>
      </c>
      <c r="K193" s="7" t="s">
        <v>918</v>
      </c>
      <c r="L193" s="7" t="s">
        <v>919</v>
      </c>
      <c r="M193" s="7" t="s">
        <v>920</v>
      </c>
      <c r="N193" s="7" t="s">
        <v>921</v>
      </c>
      <c r="O193" s="7" t="s">
        <v>922</v>
      </c>
      <c r="P193" s="7" t="s">
        <v>923</v>
      </c>
      <c r="Q193" s="7" t="s">
        <v>924</v>
      </c>
      <c r="R193" s="7" t="s">
        <v>925</v>
      </c>
      <c r="S193" s="7" t="s">
        <v>926</v>
      </c>
      <c r="T193" s="7" t="s">
        <v>922</v>
      </c>
      <c r="U193" s="7" t="s">
        <v>927</v>
      </c>
    </row>
    <row r="194" spans="1:21" x14ac:dyDescent="0.15">
      <c r="A194" s="7" t="s">
        <v>912</v>
      </c>
      <c r="B194" s="7" t="s">
        <v>913</v>
      </c>
      <c r="C194" s="7" t="s">
        <v>732</v>
      </c>
      <c r="D194" s="7" t="s">
        <v>916</v>
      </c>
      <c r="E194" s="7">
        <f t="shared" ref="E194:E257" si="3">C194-D194</f>
        <v>91.32</v>
      </c>
      <c r="F194" s="7" t="s">
        <v>1538</v>
      </c>
      <c r="G194" s="7" t="s">
        <v>1533</v>
      </c>
      <c r="H194" s="7" t="s">
        <v>1539</v>
      </c>
      <c r="I194" s="10">
        <v>46040</v>
      </c>
      <c r="K194" s="7" t="s">
        <v>918</v>
      </c>
      <c r="L194" s="7" t="s">
        <v>919</v>
      </c>
      <c r="M194" s="7" t="s">
        <v>920</v>
      </c>
      <c r="N194" s="7" t="s">
        <v>921</v>
      </c>
      <c r="O194" s="7" t="s">
        <v>922</v>
      </c>
      <c r="P194" s="7" t="s">
        <v>923</v>
      </c>
      <c r="Q194" s="7" t="s">
        <v>924</v>
      </c>
      <c r="R194" s="7" t="s">
        <v>925</v>
      </c>
      <c r="S194" s="7" t="s">
        <v>926</v>
      </c>
      <c r="T194" s="7" t="s">
        <v>922</v>
      </c>
      <c r="U194" s="7" t="s">
        <v>927</v>
      </c>
    </row>
    <row r="195" spans="1:21" x14ac:dyDescent="0.15">
      <c r="A195" s="7" t="s">
        <v>912</v>
      </c>
      <c r="B195" s="7" t="s">
        <v>913</v>
      </c>
      <c r="C195" s="7" t="s">
        <v>686</v>
      </c>
      <c r="D195" s="7" t="s">
        <v>916</v>
      </c>
      <c r="E195" s="7">
        <f t="shared" si="3"/>
        <v>142.05000000000001</v>
      </c>
      <c r="F195" s="7" t="s">
        <v>1540</v>
      </c>
      <c r="G195" s="7" t="s">
        <v>1538</v>
      </c>
      <c r="H195" s="7" t="s">
        <v>1539</v>
      </c>
      <c r="I195" s="10">
        <v>46040</v>
      </c>
      <c r="K195" s="7" t="s">
        <v>918</v>
      </c>
      <c r="L195" s="7" t="s">
        <v>919</v>
      </c>
      <c r="M195" s="7" t="s">
        <v>920</v>
      </c>
      <c r="N195" s="7" t="s">
        <v>921</v>
      </c>
      <c r="O195" s="7" t="s">
        <v>922</v>
      </c>
      <c r="P195" s="7" t="s">
        <v>923</v>
      </c>
      <c r="Q195" s="7" t="s">
        <v>924</v>
      </c>
      <c r="R195" s="7" t="s">
        <v>925</v>
      </c>
      <c r="S195" s="7" t="s">
        <v>926</v>
      </c>
      <c r="T195" s="7" t="s">
        <v>922</v>
      </c>
      <c r="U195" s="7" t="s">
        <v>927</v>
      </c>
    </row>
    <row r="196" spans="1:21" x14ac:dyDescent="0.15">
      <c r="A196" s="7" t="s">
        <v>912</v>
      </c>
      <c r="B196" s="7" t="s">
        <v>913</v>
      </c>
      <c r="C196" s="7" t="s">
        <v>70</v>
      </c>
      <c r="D196" s="7" t="s">
        <v>916</v>
      </c>
      <c r="E196" s="7">
        <f t="shared" si="3"/>
        <v>108.23</v>
      </c>
      <c r="F196" s="7" t="s">
        <v>1541</v>
      </c>
      <c r="G196" s="7" t="s">
        <v>1540</v>
      </c>
      <c r="H196" s="7" t="s">
        <v>1539</v>
      </c>
      <c r="I196" s="10">
        <v>46040</v>
      </c>
      <c r="K196" s="7" t="s">
        <v>918</v>
      </c>
      <c r="L196" s="7" t="s">
        <v>919</v>
      </c>
      <c r="M196" s="7" t="s">
        <v>920</v>
      </c>
      <c r="N196" s="7" t="s">
        <v>921</v>
      </c>
      <c r="O196" s="7" t="s">
        <v>922</v>
      </c>
      <c r="P196" s="7" t="s">
        <v>923</v>
      </c>
      <c r="Q196" s="7" t="s">
        <v>924</v>
      </c>
      <c r="R196" s="7" t="s">
        <v>925</v>
      </c>
      <c r="S196" s="7" t="s">
        <v>926</v>
      </c>
      <c r="T196" s="7" t="s">
        <v>922</v>
      </c>
      <c r="U196" s="7" t="s">
        <v>927</v>
      </c>
    </row>
    <row r="197" spans="1:21" x14ac:dyDescent="0.15">
      <c r="A197" s="7" t="s">
        <v>912</v>
      </c>
      <c r="B197" s="7" t="s">
        <v>913</v>
      </c>
      <c r="C197" s="7" t="s">
        <v>411</v>
      </c>
      <c r="D197" s="7" t="s">
        <v>916</v>
      </c>
      <c r="E197" s="7">
        <f t="shared" si="3"/>
        <v>576.48</v>
      </c>
      <c r="F197" s="7" t="s">
        <v>1542</v>
      </c>
      <c r="G197" s="7" t="s">
        <v>1541</v>
      </c>
      <c r="H197" s="7" t="s">
        <v>1539</v>
      </c>
      <c r="I197" s="10">
        <v>46040</v>
      </c>
      <c r="K197" s="7" t="s">
        <v>918</v>
      </c>
      <c r="L197" s="7" t="s">
        <v>919</v>
      </c>
      <c r="M197" s="7" t="s">
        <v>920</v>
      </c>
      <c r="N197" s="7" t="s">
        <v>921</v>
      </c>
      <c r="O197" s="7" t="s">
        <v>922</v>
      </c>
      <c r="P197" s="7" t="s">
        <v>923</v>
      </c>
      <c r="Q197" s="7" t="s">
        <v>924</v>
      </c>
      <c r="R197" s="7" t="s">
        <v>925</v>
      </c>
      <c r="S197" s="7" t="s">
        <v>926</v>
      </c>
      <c r="T197" s="7" t="s">
        <v>922</v>
      </c>
      <c r="U197" s="7" t="s">
        <v>927</v>
      </c>
    </row>
    <row r="198" spans="1:21" x14ac:dyDescent="0.15">
      <c r="A198" s="7" t="s">
        <v>912</v>
      </c>
      <c r="B198" s="7" t="s">
        <v>913</v>
      </c>
      <c r="C198" s="7" t="s">
        <v>574</v>
      </c>
      <c r="D198" s="7" t="s">
        <v>916</v>
      </c>
      <c r="E198" s="7">
        <f t="shared" si="3"/>
        <v>179.2</v>
      </c>
      <c r="F198" s="7" t="s">
        <v>1543</v>
      </c>
      <c r="G198" s="7" t="s">
        <v>1542</v>
      </c>
      <c r="H198" s="7" t="s">
        <v>1539</v>
      </c>
      <c r="I198" s="10">
        <v>46040</v>
      </c>
      <c r="K198" s="7" t="s">
        <v>918</v>
      </c>
      <c r="L198" s="7" t="s">
        <v>919</v>
      </c>
      <c r="M198" s="7" t="s">
        <v>920</v>
      </c>
      <c r="N198" s="7" t="s">
        <v>921</v>
      </c>
      <c r="O198" s="7" t="s">
        <v>922</v>
      </c>
      <c r="P198" s="7" t="s">
        <v>923</v>
      </c>
      <c r="Q198" s="7" t="s">
        <v>924</v>
      </c>
      <c r="R198" s="7" t="s">
        <v>925</v>
      </c>
      <c r="S198" s="7" t="s">
        <v>926</v>
      </c>
      <c r="T198" s="7" t="s">
        <v>922</v>
      </c>
      <c r="U198" s="7" t="s">
        <v>927</v>
      </c>
    </row>
    <row r="199" spans="1:21" x14ac:dyDescent="0.15">
      <c r="A199" s="7" t="s">
        <v>912</v>
      </c>
      <c r="B199" s="7" t="s">
        <v>913</v>
      </c>
      <c r="C199" s="7" t="s">
        <v>423</v>
      </c>
      <c r="D199" s="7" t="s">
        <v>916</v>
      </c>
      <c r="E199" s="7">
        <f t="shared" si="3"/>
        <v>206.15</v>
      </c>
      <c r="F199" s="7" t="s">
        <v>1544</v>
      </c>
      <c r="G199" s="7" t="s">
        <v>1543</v>
      </c>
      <c r="H199" s="7" t="s">
        <v>1539</v>
      </c>
      <c r="I199" s="10">
        <v>46040</v>
      </c>
      <c r="K199" s="7" t="s">
        <v>918</v>
      </c>
      <c r="L199" s="7" t="s">
        <v>919</v>
      </c>
      <c r="M199" s="7" t="s">
        <v>920</v>
      </c>
      <c r="N199" s="7" t="s">
        <v>921</v>
      </c>
      <c r="O199" s="7" t="s">
        <v>922</v>
      </c>
      <c r="P199" s="7" t="s">
        <v>923</v>
      </c>
      <c r="Q199" s="7" t="s">
        <v>924</v>
      </c>
      <c r="R199" s="7" t="s">
        <v>925</v>
      </c>
      <c r="S199" s="7" t="s">
        <v>926</v>
      </c>
      <c r="T199" s="7" t="s">
        <v>922</v>
      </c>
      <c r="U199" s="7" t="s">
        <v>927</v>
      </c>
    </row>
    <row r="200" spans="1:21" x14ac:dyDescent="0.15">
      <c r="A200" s="7" t="s">
        <v>912</v>
      </c>
      <c r="B200" s="7" t="s">
        <v>972</v>
      </c>
      <c r="C200" s="7" t="s">
        <v>1532</v>
      </c>
      <c r="D200" s="7" t="s">
        <v>1534</v>
      </c>
      <c r="E200" s="7">
        <f t="shared" si="3"/>
        <v>386.97</v>
      </c>
      <c r="F200" s="7" t="s">
        <v>1533</v>
      </c>
      <c r="G200" s="7" t="s">
        <v>1528</v>
      </c>
      <c r="H200" s="7" t="s">
        <v>1535</v>
      </c>
      <c r="I200" s="10">
        <v>46040</v>
      </c>
      <c r="K200" s="7" t="s">
        <v>962</v>
      </c>
      <c r="L200" s="7" t="s">
        <v>919</v>
      </c>
      <c r="M200" s="7" t="s">
        <v>920</v>
      </c>
      <c r="N200" s="7" t="s">
        <v>921</v>
      </c>
      <c r="O200" s="7" t="s">
        <v>922</v>
      </c>
      <c r="P200" s="7" t="s">
        <v>923</v>
      </c>
      <c r="Q200" s="7" t="s">
        <v>1536</v>
      </c>
      <c r="R200" s="7" t="s">
        <v>1537</v>
      </c>
      <c r="S200" s="7" t="s">
        <v>1016</v>
      </c>
      <c r="T200" s="7" t="s">
        <v>947</v>
      </c>
      <c r="U200" s="7" t="s">
        <v>947</v>
      </c>
    </row>
    <row r="201" spans="1:21" x14ac:dyDescent="0.15">
      <c r="A201" s="7" t="s">
        <v>912</v>
      </c>
      <c r="B201" s="7" t="s">
        <v>972</v>
      </c>
      <c r="C201" s="7" t="s">
        <v>1300</v>
      </c>
      <c r="D201" s="7" t="s">
        <v>1302</v>
      </c>
      <c r="E201" s="7">
        <f t="shared" si="3"/>
        <v>139.30000000000001</v>
      </c>
      <c r="F201" s="7" t="s">
        <v>1528</v>
      </c>
      <c r="G201" s="7" t="s">
        <v>1526</v>
      </c>
      <c r="H201" s="7" t="s">
        <v>1529</v>
      </c>
      <c r="I201" s="10">
        <v>46040</v>
      </c>
      <c r="K201" s="7" t="s">
        <v>962</v>
      </c>
      <c r="L201" s="7" t="s">
        <v>919</v>
      </c>
      <c r="M201" s="7" t="s">
        <v>920</v>
      </c>
      <c r="N201" s="7" t="s">
        <v>921</v>
      </c>
      <c r="O201" s="7" t="s">
        <v>922</v>
      </c>
      <c r="P201" s="7" t="s">
        <v>923</v>
      </c>
      <c r="Q201" s="7" t="s">
        <v>1530</v>
      </c>
      <c r="R201" s="7" t="s">
        <v>1531</v>
      </c>
      <c r="S201" s="7" t="s">
        <v>1033</v>
      </c>
      <c r="T201" s="7" t="s">
        <v>947</v>
      </c>
      <c r="U201" s="7" t="s">
        <v>947</v>
      </c>
    </row>
    <row r="202" spans="1:21" x14ac:dyDescent="0.15">
      <c r="A202" s="7" t="s">
        <v>912</v>
      </c>
      <c r="B202" s="7" t="s">
        <v>913</v>
      </c>
      <c r="C202" s="7" t="s">
        <v>750</v>
      </c>
      <c r="D202" s="7" t="s">
        <v>916</v>
      </c>
      <c r="E202" s="7">
        <f t="shared" si="3"/>
        <v>140.82</v>
      </c>
      <c r="F202" s="7" t="s">
        <v>1526</v>
      </c>
      <c r="G202" s="7" t="s">
        <v>1523</v>
      </c>
      <c r="H202" s="7" t="s">
        <v>1527</v>
      </c>
      <c r="I202" s="10">
        <v>46040</v>
      </c>
      <c r="K202" s="7" t="s">
        <v>918</v>
      </c>
      <c r="L202" s="7" t="s">
        <v>919</v>
      </c>
      <c r="M202" s="7" t="s">
        <v>920</v>
      </c>
      <c r="N202" s="7" t="s">
        <v>921</v>
      </c>
      <c r="O202" s="7" t="s">
        <v>922</v>
      </c>
      <c r="P202" s="7" t="s">
        <v>923</v>
      </c>
      <c r="Q202" s="7" t="s">
        <v>924</v>
      </c>
      <c r="R202" s="7" t="s">
        <v>925</v>
      </c>
      <c r="S202" s="7" t="s">
        <v>926</v>
      </c>
      <c r="T202" s="7" t="s">
        <v>922</v>
      </c>
      <c r="U202" s="7" t="s">
        <v>927</v>
      </c>
    </row>
    <row r="203" spans="1:21" x14ac:dyDescent="0.15">
      <c r="A203" s="7" t="s">
        <v>912</v>
      </c>
      <c r="B203" s="7" t="s">
        <v>972</v>
      </c>
      <c r="C203" s="7" t="s">
        <v>979</v>
      </c>
      <c r="D203" s="7" t="s">
        <v>981</v>
      </c>
      <c r="E203" s="7">
        <f t="shared" si="3"/>
        <v>59.61</v>
      </c>
      <c r="F203" s="7" t="s">
        <v>1518</v>
      </c>
      <c r="G203" s="7" t="s">
        <v>1513</v>
      </c>
      <c r="H203" s="7" t="s">
        <v>1519</v>
      </c>
      <c r="I203" s="10">
        <v>46040</v>
      </c>
      <c r="K203" s="7" t="s">
        <v>962</v>
      </c>
      <c r="L203" s="7" t="s">
        <v>919</v>
      </c>
      <c r="M203" s="7" t="s">
        <v>920</v>
      </c>
      <c r="N203" s="7" t="s">
        <v>921</v>
      </c>
      <c r="O203" s="7" t="s">
        <v>922</v>
      </c>
      <c r="P203" s="7" t="s">
        <v>923</v>
      </c>
      <c r="Q203" s="7" t="s">
        <v>1520</v>
      </c>
      <c r="R203" s="7" t="s">
        <v>1521</v>
      </c>
      <c r="S203" s="7" t="s">
        <v>953</v>
      </c>
      <c r="T203" s="7" t="s">
        <v>947</v>
      </c>
      <c r="U203" s="7" t="s">
        <v>947</v>
      </c>
    </row>
    <row r="204" spans="1:21" x14ac:dyDescent="0.15">
      <c r="A204" s="7" t="s">
        <v>912</v>
      </c>
      <c r="B204" s="7" t="s">
        <v>972</v>
      </c>
      <c r="C204" s="7" t="s">
        <v>1522</v>
      </c>
      <c r="D204" s="7" t="s">
        <v>1143</v>
      </c>
      <c r="E204" s="7">
        <f t="shared" si="3"/>
        <v>30.580000000000002</v>
      </c>
      <c r="F204" s="7" t="s">
        <v>1523</v>
      </c>
      <c r="G204" s="7" t="s">
        <v>1518</v>
      </c>
      <c r="H204" s="7" t="s">
        <v>1519</v>
      </c>
      <c r="I204" s="10">
        <v>46040</v>
      </c>
      <c r="K204" s="7" t="s">
        <v>962</v>
      </c>
      <c r="L204" s="7" t="s">
        <v>919</v>
      </c>
      <c r="M204" s="7" t="s">
        <v>920</v>
      </c>
      <c r="N204" s="7" t="s">
        <v>921</v>
      </c>
      <c r="O204" s="7" t="s">
        <v>922</v>
      </c>
      <c r="P204" s="7" t="s">
        <v>923</v>
      </c>
      <c r="Q204" s="7" t="s">
        <v>1524</v>
      </c>
      <c r="R204" s="7" t="s">
        <v>1525</v>
      </c>
      <c r="S204" s="7" t="s">
        <v>958</v>
      </c>
      <c r="T204" s="7" t="s">
        <v>947</v>
      </c>
      <c r="U204" s="7" t="s">
        <v>947</v>
      </c>
    </row>
    <row r="205" spans="1:21" x14ac:dyDescent="0.15">
      <c r="A205" s="7" t="s">
        <v>912</v>
      </c>
      <c r="B205" s="7" t="s">
        <v>972</v>
      </c>
      <c r="C205" s="7" t="s">
        <v>1512</v>
      </c>
      <c r="D205" s="7" t="s">
        <v>1514</v>
      </c>
      <c r="E205" s="7">
        <f t="shared" si="3"/>
        <v>69.56</v>
      </c>
      <c r="F205" s="7" t="s">
        <v>1513</v>
      </c>
      <c r="G205" s="7" t="s">
        <v>1511</v>
      </c>
      <c r="H205" s="7" t="s">
        <v>1515</v>
      </c>
      <c r="I205" s="10">
        <v>46040</v>
      </c>
      <c r="K205" s="7" t="s">
        <v>962</v>
      </c>
      <c r="L205" s="7" t="s">
        <v>919</v>
      </c>
      <c r="M205" s="7" t="s">
        <v>920</v>
      </c>
      <c r="N205" s="7" t="s">
        <v>921</v>
      </c>
      <c r="O205" s="7" t="s">
        <v>922</v>
      </c>
      <c r="P205" s="7" t="s">
        <v>923</v>
      </c>
      <c r="Q205" s="7" t="s">
        <v>1516</v>
      </c>
      <c r="R205" s="7" t="s">
        <v>1517</v>
      </c>
      <c r="S205" s="7" t="s">
        <v>1016</v>
      </c>
      <c r="T205" s="7" t="s">
        <v>947</v>
      </c>
      <c r="U205" s="7" t="s">
        <v>947</v>
      </c>
    </row>
    <row r="206" spans="1:21" x14ac:dyDescent="0.15">
      <c r="A206" s="7" t="s">
        <v>912</v>
      </c>
      <c r="B206" s="7" t="s">
        <v>913</v>
      </c>
      <c r="C206" s="7" t="s">
        <v>602</v>
      </c>
      <c r="D206" s="7" t="s">
        <v>916</v>
      </c>
      <c r="E206" s="7">
        <f t="shared" si="3"/>
        <v>235.07</v>
      </c>
      <c r="F206" s="7" t="s">
        <v>1506</v>
      </c>
      <c r="G206" s="7" t="s">
        <v>1505</v>
      </c>
      <c r="H206" s="7" t="s">
        <v>1507</v>
      </c>
      <c r="I206" s="10">
        <v>46040</v>
      </c>
      <c r="K206" s="7" t="s">
        <v>918</v>
      </c>
      <c r="L206" s="7" t="s">
        <v>919</v>
      </c>
      <c r="M206" s="7" t="s">
        <v>920</v>
      </c>
      <c r="N206" s="7" t="s">
        <v>921</v>
      </c>
      <c r="O206" s="7" t="s">
        <v>922</v>
      </c>
      <c r="P206" s="7" t="s">
        <v>923</v>
      </c>
      <c r="Q206" s="7" t="s">
        <v>924</v>
      </c>
      <c r="R206" s="7" t="s">
        <v>925</v>
      </c>
      <c r="S206" s="7" t="s">
        <v>926</v>
      </c>
      <c r="T206" s="7" t="s">
        <v>922</v>
      </c>
      <c r="U206" s="7" t="s">
        <v>927</v>
      </c>
    </row>
    <row r="207" spans="1:21" x14ac:dyDescent="0.15">
      <c r="A207" s="7" t="s">
        <v>912</v>
      </c>
      <c r="B207" s="7" t="s">
        <v>913</v>
      </c>
      <c r="C207" s="7" t="s">
        <v>456</v>
      </c>
      <c r="D207" s="7" t="s">
        <v>916</v>
      </c>
      <c r="E207" s="7">
        <f t="shared" si="3"/>
        <v>433.35</v>
      </c>
      <c r="F207" s="7" t="s">
        <v>1508</v>
      </c>
      <c r="G207" s="7" t="s">
        <v>1506</v>
      </c>
      <c r="H207" s="7" t="s">
        <v>1507</v>
      </c>
      <c r="I207" s="10">
        <v>46040</v>
      </c>
      <c r="K207" s="7" t="s">
        <v>918</v>
      </c>
      <c r="L207" s="7" t="s">
        <v>919</v>
      </c>
      <c r="M207" s="7" t="s">
        <v>920</v>
      </c>
      <c r="N207" s="7" t="s">
        <v>921</v>
      </c>
      <c r="O207" s="7" t="s">
        <v>922</v>
      </c>
      <c r="P207" s="7" t="s">
        <v>923</v>
      </c>
      <c r="Q207" s="7" t="s">
        <v>924</v>
      </c>
      <c r="R207" s="7" t="s">
        <v>925</v>
      </c>
      <c r="S207" s="7" t="s">
        <v>926</v>
      </c>
      <c r="T207" s="7" t="s">
        <v>922</v>
      </c>
      <c r="U207" s="7" t="s">
        <v>927</v>
      </c>
    </row>
    <row r="208" spans="1:21" x14ac:dyDescent="0.15">
      <c r="A208" s="7" t="s">
        <v>912</v>
      </c>
      <c r="B208" s="7" t="s">
        <v>913</v>
      </c>
      <c r="C208" s="7" t="s">
        <v>60</v>
      </c>
      <c r="D208" s="7" t="s">
        <v>916</v>
      </c>
      <c r="E208" s="7">
        <f t="shared" si="3"/>
        <v>503</v>
      </c>
      <c r="F208" s="7" t="s">
        <v>1509</v>
      </c>
      <c r="G208" s="7" t="s">
        <v>1508</v>
      </c>
      <c r="H208" s="7" t="s">
        <v>1507</v>
      </c>
      <c r="I208" s="10">
        <v>46040</v>
      </c>
      <c r="K208" s="7" t="s">
        <v>918</v>
      </c>
      <c r="L208" s="7" t="s">
        <v>919</v>
      </c>
      <c r="M208" s="7" t="s">
        <v>920</v>
      </c>
      <c r="N208" s="7" t="s">
        <v>921</v>
      </c>
      <c r="O208" s="7" t="s">
        <v>922</v>
      </c>
      <c r="P208" s="7" t="s">
        <v>923</v>
      </c>
      <c r="Q208" s="7" t="s">
        <v>924</v>
      </c>
      <c r="R208" s="7" t="s">
        <v>925</v>
      </c>
      <c r="S208" s="7" t="s">
        <v>926</v>
      </c>
      <c r="T208" s="7" t="s">
        <v>922</v>
      </c>
      <c r="U208" s="7" t="s">
        <v>927</v>
      </c>
    </row>
    <row r="209" spans="1:21" x14ac:dyDescent="0.15">
      <c r="A209" s="7" t="s">
        <v>912</v>
      </c>
      <c r="B209" s="7" t="s">
        <v>913</v>
      </c>
      <c r="C209" s="7" t="s">
        <v>267</v>
      </c>
      <c r="D209" s="7" t="s">
        <v>916</v>
      </c>
      <c r="E209" s="7">
        <f t="shared" si="3"/>
        <v>94.44</v>
      </c>
      <c r="F209" s="7" t="s">
        <v>1510</v>
      </c>
      <c r="G209" s="7" t="s">
        <v>1509</v>
      </c>
      <c r="H209" s="7" t="s">
        <v>1507</v>
      </c>
      <c r="I209" s="10">
        <v>46040</v>
      </c>
      <c r="K209" s="7" t="s">
        <v>918</v>
      </c>
      <c r="L209" s="7" t="s">
        <v>919</v>
      </c>
      <c r="M209" s="7" t="s">
        <v>920</v>
      </c>
      <c r="N209" s="7" t="s">
        <v>921</v>
      </c>
      <c r="O209" s="7" t="s">
        <v>922</v>
      </c>
      <c r="P209" s="7" t="s">
        <v>923</v>
      </c>
      <c r="Q209" s="7" t="s">
        <v>924</v>
      </c>
      <c r="R209" s="7" t="s">
        <v>925</v>
      </c>
      <c r="S209" s="7" t="s">
        <v>926</v>
      </c>
      <c r="T209" s="7" t="s">
        <v>922</v>
      </c>
      <c r="U209" s="7" t="s">
        <v>927</v>
      </c>
    </row>
    <row r="210" spans="1:21" x14ac:dyDescent="0.15">
      <c r="A210" s="7" t="s">
        <v>912</v>
      </c>
      <c r="B210" s="7" t="s">
        <v>913</v>
      </c>
      <c r="C210" s="7" t="s">
        <v>806</v>
      </c>
      <c r="D210" s="7" t="s">
        <v>916</v>
      </c>
      <c r="E210" s="7">
        <f t="shared" si="3"/>
        <v>331.84</v>
      </c>
      <c r="F210" s="7" t="s">
        <v>1511</v>
      </c>
      <c r="G210" s="7" t="s">
        <v>1510</v>
      </c>
      <c r="H210" s="7" t="s">
        <v>1507</v>
      </c>
      <c r="I210" s="10">
        <v>46040</v>
      </c>
      <c r="K210" s="7" t="s">
        <v>918</v>
      </c>
      <c r="L210" s="7" t="s">
        <v>919</v>
      </c>
      <c r="M210" s="7" t="s">
        <v>920</v>
      </c>
      <c r="N210" s="7" t="s">
        <v>921</v>
      </c>
      <c r="O210" s="7" t="s">
        <v>922</v>
      </c>
      <c r="P210" s="7" t="s">
        <v>923</v>
      </c>
      <c r="Q210" s="7" t="s">
        <v>924</v>
      </c>
      <c r="R210" s="7" t="s">
        <v>925</v>
      </c>
      <c r="S210" s="7" t="s">
        <v>926</v>
      </c>
      <c r="T210" s="7" t="s">
        <v>922</v>
      </c>
      <c r="U210" s="7" t="s">
        <v>927</v>
      </c>
    </row>
    <row r="211" spans="1:21" x14ac:dyDescent="0.15">
      <c r="A211" s="7" t="s">
        <v>912</v>
      </c>
      <c r="B211" s="7" t="s">
        <v>913</v>
      </c>
      <c r="C211" s="7" t="s">
        <v>383</v>
      </c>
      <c r="D211" s="7" t="s">
        <v>916</v>
      </c>
      <c r="E211" s="7">
        <f t="shared" si="3"/>
        <v>311.27999999999997</v>
      </c>
      <c r="F211" s="7" t="s">
        <v>1501</v>
      </c>
      <c r="G211" s="7" t="s">
        <v>1497</v>
      </c>
      <c r="H211" s="7" t="s">
        <v>1502</v>
      </c>
      <c r="I211" s="10">
        <v>46040</v>
      </c>
      <c r="K211" s="7" t="s">
        <v>918</v>
      </c>
      <c r="L211" s="7" t="s">
        <v>919</v>
      </c>
      <c r="M211" s="7" t="s">
        <v>920</v>
      </c>
      <c r="N211" s="7" t="s">
        <v>921</v>
      </c>
      <c r="O211" s="7" t="s">
        <v>922</v>
      </c>
      <c r="P211" s="7" t="s">
        <v>923</v>
      </c>
      <c r="Q211" s="7" t="s">
        <v>924</v>
      </c>
      <c r="R211" s="7" t="s">
        <v>925</v>
      </c>
      <c r="S211" s="7" t="s">
        <v>926</v>
      </c>
      <c r="T211" s="7" t="s">
        <v>922</v>
      </c>
      <c r="U211" s="7" t="s">
        <v>927</v>
      </c>
    </row>
    <row r="212" spans="1:21" x14ac:dyDescent="0.15">
      <c r="A212" s="7" t="s">
        <v>912</v>
      </c>
      <c r="B212" s="7" t="s">
        <v>913</v>
      </c>
      <c r="C212" s="7" t="s">
        <v>146</v>
      </c>
      <c r="D212" s="7" t="s">
        <v>916</v>
      </c>
      <c r="E212" s="7">
        <f t="shared" si="3"/>
        <v>274.51</v>
      </c>
      <c r="F212" s="7" t="s">
        <v>1503</v>
      </c>
      <c r="G212" s="7" t="s">
        <v>1501</v>
      </c>
      <c r="H212" s="7" t="s">
        <v>1502</v>
      </c>
      <c r="I212" s="10">
        <v>46040</v>
      </c>
      <c r="K212" s="7" t="s">
        <v>918</v>
      </c>
      <c r="L212" s="7" t="s">
        <v>919</v>
      </c>
      <c r="M212" s="7" t="s">
        <v>920</v>
      </c>
      <c r="N212" s="7" t="s">
        <v>921</v>
      </c>
      <c r="O212" s="7" t="s">
        <v>922</v>
      </c>
      <c r="P212" s="7" t="s">
        <v>923</v>
      </c>
      <c r="Q212" s="7" t="s">
        <v>924</v>
      </c>
      <c r="R212" s="7" t="s">
        <v>925</v>
      </c>
      <c r="S212" s="7" t="s">
        <v>926</v>
      </c>
      <c r="T212" s="7" t="s">
        <v>922</v>
      </c>
      <c r="U212" s="7" t="s">
        <v>927</v>
      </c>
    </row>
    <row r="213" spans="1:21" x14ac:dyDescent="0.15">
      <c r="A213" s="7" t="s">
        <v>912</v>
      </c>
      <c r="B213" s="7" t="s">
        <v>913</v>
      </c>
      <c r="C213" s="7" t="s">
        <v>255</v>
      </c>
      <c r="D213" s="7" t="s">
        <v>916</v>
      </c>
      <c r="E213" s="7">
        <f t="shared" si="3"/>
        <v>289.24</v>
      </c>
      <c r="F213" s="7" t="s">
        <v>1504</v>
      </c>
      <c r="G213" s="7" t="s">
        <v>1503</v>
      </c>
      <c r="H213" s="7" t="s">
        <v>1502</v>
      </c>
      <c r="I213" s="10">
        <v>46040</v>
      </c>
      <c r="K213" s="7" t="s">
        <v>918</v>
      </c>
      <c r="L213" s="7" t="s">
        <v>919</v>
      </c>
      <c r="M213" s="7" t="s">
        <v>920</v>
      </c>
      <c r="N213" s="7" t="s">
        <v>921</v>
      </c>
      <c r="O213" s="7" t="s">
        <v>922</v>
      </c>
      <c r="P213" s="7" t="s">
        <v>923</v>
      </c>
      <c r="Q213" s="7" t="s">
        <v>924</v>
      </c>
      <c r="R213" s="7" t="s">
        <v>925</v>
      </c>
      <c r="S213" s="7" t="s">
        <v>926</v>
      </c>
      <c r="T213" s="7" t="s">
        <v>922</v>
      </c>
      <c r="U213" s="7" t="s">
        <v>927</v>
      </c>
    </row>
    <row r="214" spans="1:21" x14ac:dyDescent="0.15">
      <c r="A214" s="7" t="s">
        <v>912</v>
      </c>
      <c r="B214" s="7" t="s">
        <v>913</v>
      </c>
      <c r="C214" s="7" t="s">
        <v>439</v>
      </c>
      <c r="D214" s="7" t="s">
        <v>916</v>
      </c>
      <c r="E214" s="7">
        <f t="shared" si="3"/>
        <v>109.05</v>
      </c>
      <c r="F214" s="7" t="s">
        <v>1505</v>
      </c>
      <c r="G214" s="7" t="s">
        <v>1504</v>
      </c>
      <c r="H214" s="7" t="s">
        <v>1502</v>
      </c>
      <c r="I214" s="10">
        <v>46040</v>
      </c>
      <c r="K214" s="7" t="s">
        <v>918</v>
      </c>
      <c r="L214" s="7" t="s">
        <v>919</v>
      </c>
      <c r="M214" s="7" t="s">
        <v>920</v>
      </c>
      <c r="N214" s="7" t="s">
        <v>921</v>
      </c>
      <c r="O214" s="7" t="s">
        <v>922</v>
      </c>
      <c r="P214" s="7" t="s">
        <v>923</v>
      </c>
      <c r="Q214" s="7" t="s">
        <v>924</v>
      </c>
      <c r="R214" s="7" t="s">
        <v>925</v>
      </c>
      <c r="S214" s="7" t="s">
        <v>926</v>
      </c>
      <c r="T214" s="7" t="s">
        <v>922</v>
      </c>
      <c r="U214" s="7" t="s">
        <v>927</v>
      </c>
    </row>
    <row r="215" spans="1:21" x14ac:dyDescent="0.15">
      <c r="A215" s="7" t="s">
        <v>912</v>
      </c>
      <c r="B215" s="7" t="s">
        <v>940</v>
      </c>
      <c r="C215" s="7" t="s">
        <v>652</v>
      </c>
      <c r="D215" s="7">
        <v>0</v>
      </c>
      <c r="E215" s="7">
        <f t="shared" si="3"/>
        <v>69</v>
      </c>
      <c r="F215" s="7" t="s">
        <v>1497</v>
      </c>
      <c r="G215" s="7" t="s">
        <v>1493</v>
      </c>
      <c r="H215" s="7" t="s">
        <v>1498</v>
      </c>
      <c r="I215" s="10">
        <v>46041</v>
      </c>
      <c r="K215" s="7" t="s">
        <v>943</v>
      </c>
      <c r="L215" s="7" t="s">
        <v>919</v>
      </c>
      <c r="M215" s="7" t="s">
        <v>920</v>
      </c>
      <c r="N215" s="7" t="s">
        <v>921</v>
      </c>
      <c r="O215" s="7" t="s">
        <v>922</v>
      </c>
      <c r="P215" s="7" t="s">
        <v>923</v>
      </c>
      <c r="Q215" s="7" t="s">
        <v>1499</v>
      </c>
      <c r="R215" s="7" t="s">
        <v>1500</v>
      </c>
      <c r="S215" s="7" t="s">
        <v>992</v>
      </c>
      <c r="T215" s="7" t="s">
        <v>947</v>
      </c>
      <c r="U215" s="7" t="s">
        <v>947</v>
      </c>
    </row>
    <row r="216" spans="1:21" x14ac:dyDescent="0.15">
      <c r="A216" s="7" t="s">
        <v>912</v>
      </c>
      <c r="B216" s="7" t="s">
        <v>940</v>
      </c>
      <c r="C216" s="7" t="s">
        <v>204</v>
      </c>
      <c r="D216" s="7">
        <v>0</v>
      </c>
      <c r="E216" s="7">
        <f t="shared" si="3"/>
        <v>8072.67</v>
      </c>
      <c r="F216" s="7" t="s">
        <v>1493</v>
      </c>
      <c r="G216" s="7" t="s">
        <v>1492</v>
      </c>
      <c r="H216" s="7" t="s">
        <v>1494</v>
      </c>
      <c r="I216" s="10">
        <v>46041</v>
      </c>
      <c r="K216" s="7" t="s">
        <v>943</v>
      </c>
      <c r="L216" s="7" t="s">
        <v>919</v>
      </c>
      <c r="M216" s="7" t="s">
        <v>920</v>
      </c>
      <c r="N216" s="7" t="s">
        <v>921</v>
      </c>
      <c r="O216" s="7" t="s">
        <v>922</v>
      </c>
      <c r="P216" s="7" t="s">
        <v>923</v>
      </c>
      <c r="Q216" s="7" t="s">
        <v>1495</v>
      </c>
      <c r="R216" s="7" t="s">
        <v>1496</v>
      </c>
      <c r="S216" s="7" t="s">
        <v>946</v>
      </c>
      <c r="T216" s="7" t="s">
        <v>947</v>
      </c>
      <c r="U216" s="7" t="s">
        <v>947</v>
      </c>
    </row>
    <row r="217" spans="1:21" x14ac:dyDescent="0.15">
      <c r="A217" s="7" t="s">
        <v>912</v>
      </c>
      <c r="B217" s="7" t="s">
        <v>940</v>
      </c>
      <c r="C217" s="7" t="s">
        <v>702</v>
      </c>
      <c r="D217" s="7">
        <v>0</v>
      </c>
      <c r="E217" s="7">
        <f t="shared" si="3"/>
        <v>19000</v>
      </c>
      <c r="F217" s="7" t="s">
        <v>1490</v>
      </c>
      <c r="G217" s="7" t="s">
        <v>1488</v>
      </c>
      <c r="H217" s="7" t="s">
        <v>1491</v>
      </c>
      <c r="I217" s="10">
        <v>46041</v>
      </c>
      <c r="K217" s="7" t="s">
        <v>943</v>
      </c>
      <c r="L217" s="7" t="s">
        <v>919</v>
      </c>
      <c r="M217" s="7" t="s">
        <v>920</v>
      </c>
      <c r="N217" s="7" t="s">
        <v>921</v>
      </c>
      <c r="O217" s="7" t="s">
        <v>922</v>
      </c>
      <c r="P217" s="7" t="s">
        <v>923</v>
      </c>
      <c r="Q217" s="7" t="s">
        <v>1021</v>
      </c>
      <c r="R217" s="7" t="s">
        <v>920</v>
      </c>
      <c r="S217" s="7" t="s">
        <v>1178</v>
      </c>
      <c r="T217" s="7" t="s">
        <v>947</v>
      </c>
      <c r="U217" s="7" t="s">
        <v>947</v>
      </c>
    </row>
    <row r="218" spans="1:21" x14ac:dyDescent="0.15">
      <c r="A218" s="7" t="s">
        <v>912</v>
      </c>
      <c r="B218" s="7" t="s">
        <v>940</v>
      </c>
      <c r="C218" s="7" t="s">
        <v>676</v>
      </c>
      <c r="D218" s="7">
        <v>0</v>
      </c>
      <c r="E218" s="7">
        <f t="shared" si="3"/>
        <v>2112.58</v>
      </c>
      <c r="F218" s="7" t="s">
        <v>1492</v>
      </c>
      <c r="G218" s="7" t="s">
        <v>1490</v>
      </c>
      <c r="H218" s="7" t="s">
        <v>1491</v>
      </c>
      <c r="I218" s="10">
        <v>46041</v>
      </c>
      <c r="K218" s="7" t="s">
        <v>943</v>
      </c>
      <c r="L218" s="7" t="s">
        <v>919</v>
      </c>
      <c r="M218" s="7" t="s">
        <v>920</v>
      </c>
      <c r="N218" s="7" t="s">
        <v>921</v>
      </c>
      <c r="O218" s="7" t="s">
        <v>922</v>
      </c>
      <c r="P218" s="7" t="s">
        <v>923</v>
      </c>
      <c r="Q218" s="7" t="s">
        <v>1021</v>
      </c>
      <c r="R218" s="7" t="s">
        <v>920</v>
      </c>
      <c r="S218" s="7" t="s">
        <v>1178</v>
      </c>
      <c r="T218" s="7" t="s">
        <v>947</v>
      </c>
      <c r="U218" s="7" t="s">
        <v>947</v>
      </c>
    </row>
    <row r="219" spans="1:21" x14ac:dyDescent="0.15">
      <c r="A219" s="7" t="s">
        <v>948</v>
      </c>
      <c r="B219" s="7" t="s">
        <v>940</v>
      </c>
      <c r="C219" s="7" t="s">
        <v>326</v>
      </c>
      <c r="D219" s="7">
        <v>0</v>
      </c>
      <c r="E219" s="7">
        <f t="shared" si="3"/>
        <v>-46202.09</v>
      </c>
      <c r="F219" s="7" t="s">
        <v>1488</v>
      </c>
      <c r="G219" s="7" t="s">
        <v>916</v>
      </c>
      <c r="H219" s="7" t="s">
        <v>1489</v>
      </c>
      <c r="I219" s="10">
        <v>46041</v>
      </c>
      <c r="K219" s="7" t="s">
        <v>951</v>
      </c>
      <c r="L219" s="7" t="s">
        <v>1021</v>
      </c>
      <c r="M219" s="7" t="s">
        <v>920</v>
      </c>
      <c r="N219" s="7" t="s">
        <v>1016</v>
      </c>
      <c r="O219" s="7" t="s">
        <v>947</v>
      </c>
      <c r="P219" s="7" t="s">
        <v>947</v>
      </c>
      <c r="Q219" s="7" t="s">
        <v>919</v>
      </c>
      <c r="R219" s="7" t="s">
        <v>920</v>
      </c>
      <c r="S219" s="7" t="s">
        <v>921</v>
      </c>
      <c r="T219" s="7" t="s">
        <v>922</v>
      </c>
      <c r="U219" s="7" t="s">
        <v>923</v>
      </c>
    </row>
    <row r="220" spans="1:21" x14ac:dyDescent="0.15">
      <c r="A220" s="7" t="s">
        <v>912</v>
      </c>
      <c r="B220" s="7" t="s">
        <v>940</v>
      </c>
      <c r="C220" s="7" t="s">
        <v>634</v>
      </c>
      <c r="D220" s="7">
        <v>0</v>
      </c>
      <c r="E220" s="7">
        <f t="shared" si="3"/>
        <v>920</v>
      </c>
      <c r="F220" s="7" t="s">
        <v>916</v>
      </c>
      <c r="G220" s="7" t="s">
        <v>1481</v>
      </c>
      <c r="H220" s="7" t="s">
        <v>1485</v>
      </c>
      <c r="I220" s="10">
        <v>46042</v>
      </c>
      <c r="K220" s="7" t="s">
        <v>943</v>
      </c>
      <c r="L220" s="7" t="s">
        <v>919</v>
      </c>
      <c r="M220" s="7" t="s">
        <v>920</v>
      </c>
      <c r="N220" s="7" t="s">
        <v>921</v>
      </c>
      <c r="O220" s="7" t="s">
        <v>922</v>
      </c>
      <c r="P220" s="7" t="s">
        <v>923</v>
      </c>
      <c r="Q220" s="7" t="s">
        <v>1486</v>
      </c>
      <c r="R220" s="7" t="s">
        <v>1487</v>
      </c>
      <c r="S220" s="7" t="s">
        <v>946</v>
      </c>
      <c r="T220" s="7" t="s">
        <v>947</v>
      </c>
      <c r="U220" s="7" t="s">
        <v>947</v>
      </c>
    </row>
    <row r="221" spans="1:21" x14ac:dyDescent="0.15">
      <c r="A221" s="7" t="s">
        <v>912</v>
      </c>
      <c r="B221" s="7" t="s">
        <v>940</v>
      </c>
      <c r="C221" s="7" t="s">
        <v>584</v>
      </c>
      <c r="D221" s="7">
        <v>0</v>
      </c>
      <c r="E221" s="7">
        <f t="shared" si="3"/>
        <v>227.06</v>
      </c>
      <c r="F221" s="7" t="s">
        <v>1481</v>
      </c>
      <c r="G221" s="7" t="s">
        <v>1476</v>
      </c>
      <c r="H221" s="7" t="s">
        <v>1482</v>
      </c>
      <c r="I221" s="10">
        <v>46042</v>
      </c>
      <c r="K221" s="7" t="s">
        <v>943</v>
      </c>
      <c r="L221" s="7" t="s">
        <v>919</v>
      </c>
      <c r="M221" s="7" t="s">
        <v>920</v>
      </c>
      <c r="N221" s="7" t="s">
        <v>921</v>
      </c>
      <c r="O221" s="7" t="s">
        <v>922</v>
      </c>
      <c r="P221" s="7" t="s">
        <v>923</v>
      </c>
      <c r="Q221" s="7" t="s">
        <v>1483</v>
      </c>
      <c r="R221" s="7" t="s">
        <v>1484</v>
      </c>
      <c r="S221" s="7" t="s">
        <v>1033</v>
      </c>
      <c r="T221" s="7" t="s">
        <v>947</v>
      </c>
      <c r="U221" s="7" t="s">
        <v>947</v>
      </c>
    </row>
    <row r="222" spans="1:21" x14ac:dyDescent="0.15">
      <c r="A222" s="7" t="s">
        <v>912</v>
      </c>
      <c r="B222" s="7" t="s">
        <v>940</v>
      </c>
      <c r="C222" s="7" t="s">
        <v>766</v>
      </c>
      <c r="D222" s="7">
        <v>0</v>
      </c>
      <c r="E222" s="7">
        <f t="shared" si="3"/>
        <v>398.21</v>
      </c>
      <c r="F222" s="7" t="s">
        <v>1476</v>
      </c>
      <c r="G222" s="7" t="s">
        <v>1472</v>
      </c>
      <c r="H222" s="7" t="s">
        <v>1477</v>
      </c>
      <c r="I222" s="10">
        <v>46042</v>
      </c>
      <c r="K222" s="7" t="s">
        <v>943</v>
      </c>
      <c r="L222" s="7" t="s">
        <v>919</v>
      </c>
      <c r="M222" s="7" t="s">
        <v>920</v>
      </c>
      <c r="N222" s="7" t="s">
        <v>921</v>
      </c>
      <c r="O222" s="7" t="s">
        <v>922</v>
      </c>
      <c r="P222" s="7" t="s">
        <v>923</v>
      </c>
      <c r="Q222" s="7" t="s">
        <v>1478</v>
      </c>
      <c r="R222" s="7" t="s">
        <v>1479</v>
      </c>
      <c r="S222" s="7" t="s">
        <v>1480</v>
      </c>
      <c r="T222" s="7" t="s">
        <v>947</v>
      </c>
      <c r="U222" s="7" t="s">
        <v>947</v>
      </c>
    </row>
    <row r="223" spans="1:21" x14ac:dyDescent="0.15">
      <c r="A223" s="7" t="s">
        <v>912</v>
      </c>
      <c r="B223" s="7" t="s">
        <v>940</v>
      </c>
      <c r="C223" s="7" t="s">
        <v>745</v>
      </c>
      <c r="D223" s="7">
        <v>0</v>
      </c>
      <c r="E223" s="7">
        <f t="shared" si="3"/>
        <v>213.2</v>
      </c>
      <c r="F223" s="7" t="s">
        <v>1472</v>
      </c>
      <c r="G223" s="7" t="s">
        <v>1470</v>
      </c>
      <c r="H223" s="7" t="s">
        <v>1473</v>
      </c>
      <c r="I223" s="10">
        <v>46043</v>
      </c>
      <c r="K223" s="7" t="s">
        <v>943</v>
      </c>
      <c r="L223" s="7" t="s">
        <v>919</v>
      </c>
      <c r="M223" s="7" t="s">
        <v>920</v>
      </c>
      <c r="N223" s="7" t="s">
        <v>921</v>
      </c>
      <c r="O223" s="7" t="s">
        <v>922</v>
      </c>
      <c r="P223" s="7" t="s">
        <v>923</v>
      </c>
      <c r="Q223" s="7" t="s">
        <v>1474</v>
      </c>
      <c r="R223" s="7" t="s">
        <v>1475</v>
      </c>
      <c r="S223" s="7" t="s">
        <v>1028</v>
      </c>
      <c r="T223" s="7" t="s">
        <v>947</v>
      </c>
      <c r="U223" s="7" t="s">
        <v>947</v>
      </c>
    </row>
    <row r="224" spans="1:21" x14ac:dyDescent="0.15">
      <c r="A224" s="7" t="s">
        <v>912</v>
      </c>
      <c r="B224" s="7" t="s">
        <v>913</v>
      </c>
      <c r="C224" s="7" t="s">
        <v>319</v>
      </c>
      <c r="D224" s="7" t="s">
        <v>916</v>
      </c>
      <c r="E224" s="7">
        <f t="shared" si="3"/>
        <v>156</v>
      </c>
      <c r="F224" s="7" t="s">
        <v>1470</v>
      </c>
      <c r="G224" s="7" t="s">
        <v>1468</v>
      </c>
      <c r="H224" s="7" t="s">
        <v>1471</v>
      </c>
      <c r="I224" s="10">
        <v>46043</v>
      </c>
      <c r="K224" s="7" t="s">
        <v>918</v>
      </c>
      <c r="L224" s="7" t="s">
        <v>919</v>
      </c>
      <c r="M224" s="7" t="s">
        <v>920</v>
      </c>
      <c r="N224" s="7" t="s">
        <v>921</v>
      </c>
      <c r="O224" s="7" t="s">
        <v>922</v>
      </c>
      <c r="P224" s="7" t="s">
        <v>923</v>
      </c>
      <c r="Q224" s="7" t="s">
        <v>924</v>
      </c>
      <c r="R224" s="7" t="s">
        <v>925</v>
      </c>
      <c r="S224" s="7" t="s">
        <v>926</v>
      </c>
      <c r="T224" s="7" t="s">
        <v>922</v>
      </c>
      <c r="U224" s="7" t="s">
        <v>927</v>
      </c>
    </row>
    <row r="225" spans="1:21" x14ac:dyDescent="0.15">
      <c r="A225" s="7" t="s">
        <v>948</v>
      </c>
      <c r="B225" s="7" t="s">
        <v>940</v>
      </c>
      <c r="C225" s="7" t="s">
        <v>628</v>
      </c>
      <c r="D225" s="7">
        <v>0</v>
      </c>
      <c r="E225" s="7">
        <f t="shared" si="3"/>
        <v>-148.08000000000001</v>
      </c>
      <c r="F225" s="7" t="s">
        <v>1468</v>
      </c>
      <c r="G225" s="7" t="s">
        <v>1464</v>
      </c>
      <c r="H225" s="7" t="s">
        <v>1469</v>
      </c>
      <c r="I225" s="10">
        <v>46043</v>
      </c>
      <c r="K225" s="7" t="s">
        <v>951</v>
      </c>
      <c r="L225" s="7" t="s">
        <v>1181</v>
      </c>
      <c r="M225" s="7" t="s">
        <v>1182</v>
      </c>
      <c r="N225" s="7" t="s">
        <v>953</v>
      </c>
      <c r="O225" s="7" t="s">
        <v>947</v>
      </c>
      <c r="P225" s="7" t="s">
        <v>947</v>
      </c>
      <c r="Q225" s="7" t="s">
        <v>919</v>
      </c>
      <c r="R225" s="7" t="s">
        <v>920</v>
      </c>
      <c r="S225" s="7" t="s">
        <v>921</v>
      </c>
      <c r="T225" s="7" t="s">
        <v>922</v>
      </c>
      <c r="U225" s="7" t="s">
        <v>923</v>
      </c>
    </row>
    <row r="226" spans="1:21" x14ac:dyDescent="0.15">
      <c r="A226" s="7" t="s">
        <v>912</v>
      </c>
      <c r="B226" s="7" t="s">
        <v>940</v>
      </c>
      <c r="C226" s="7" t="s">
        <v>300</v>
      </c>
      <c r="D226" s="7">
        <v>0</v>
      </c>
      <c r="E226" s="7">
        <f t="shared" si="3"/>
        <v>134.9</v>
      </c>
      <c r="F226" s="7" t="s">
        <v>1464</v>
      </c>
      <c r="G226" s="7" t="s">
        <v>1462</v>
      </c>
      <c r="H226" s="7" t="s">
        <v>1465</v>
      </c>
      <c r="I226" s="10">
        <v>46043</v>
      </c>
      <c r="K226" s="7" t="s">
        <v>943</v>
      </c>
      <c r="L226" s="7" t="s">
        <v>919</v>
      </c>
      <c r="M226" s="7" t="s">
        <v>920</v>
      </c>
      <c r="N226" s="7" t="s">
        <v>921</v>
      </c>
      <c r="O226" s="7" t="s">
        <v>922</v>
      </c>
      <c r="P226" s="7" t="s">
        <v>923</v>
      </c>
      <c r="Q226" s="7" t="s">
        <v>1466</v>
      </c>
      <c r="R226" s="7" t="s">
        <v>1467</v>
      </c>
      <c r="S226" s="7" t="s">
        <v>992</v>
      </c>
      <c r="T226" s="7" t="s">
        <v>947</v>
      </c>
      <c r="U226" s="7" t="s">
        <v>947</v>
      </c>
    </row>
    <row r="227" spans="1:21" x14ac:dyDescent="0.15">
      <c r="A227" s="7" t="s">
        <v>912</v>
      </c>
      <c r="B227" s="7" t="s">
        <v>913</v>
      </c>
      <c r="C227" s="7" t="s">
        <v>422</v>
      </c>
      <c r="D227" s="7" t="s">
        <v>916</v>
      </c>
      <c r="E227" s="7">
        <f t="shared" si="3"/>
        <v>51.93</v>
      </c>
      <c r="F227" s="7" t="s">
        <v>1462</v>
      </c>
      <c r="G227" s="7" t="s">
        <v>1460</v>
      </c>
      <c r="H227" s="7" t="s">
        <v>1463</v>
      </c>
      <c r="I227" s="10">
        <v>46043</v>
      </c>
      <c r="K227" s="7" t="s">
        <v>918</v>
      </c>
      <c r="L227" s="7" t="s">
        <v>919</v>
      </c>
      <c r="M227" s="7" t="s">
        <v>920</v>
      </c>
      <c r="N227" s="7" t="s">
        <v>921</v>
      </c>
      <c r="O227" s="7" t="s">
        <v>922</v>
      </c>
      <c r="P227" s="7" t="s">
        <v>923</v>
      </c>
      <c r="Q227" s="7" t="s">
        <v>924</v>
      </c>
      <c r="R227" s="7" t="s">
        <v>925</v>
      </c>
      <c r="S227" s="7" t="s">
        <v>926</v>
      </c>
      <c r="T227" s="7" t="s">
        <v>922</v>
      </c>
      <c r="U227" s="7" t="s">
        <v>927</v>
      </c>
    </row>
    <row r="228" spans="1:21" x14ac:dyDescent="0.15">
      <c r="A228" s="7" t="s">
        <v>912</v>
      </c>
      <c r="B228" s="7" t="s">
        <v>913</v>
      </c>
      <c r="C228" s="7" t="s">
        <v>655</v>
      </c>
      <c r="D228" s="7" t="s">
        <v>916</v>
      </c>
      <c r="E228" s="7">
        <f t="shared" si="3"/>
        <v>228.53</v>
      </c>
      <c r="F228" s="7" t="s">
        <v>1460</v>
      </c>
      <c r="G228" s="7" t="s">
        <v>1456</v>
      </c>
      <c r="H228" s="7" t="s">
        <v>1461</v>
      </c>
      <c r="I228" s="10">
        <v>46043</v>
      </c>
      <c r="K228" s="7" t="s">
        <v>918</v>
      </c>
      <c r="L228" s="7" t="s">
        <v>919</v>
      </c>
      <c r="M228" s="7" t="s">
        <v>920</v>
      </c>
      <c r="N228" s="7" t="s">
        <v>921</v>
      </c>
      <c r="O228" s="7" t="s">
        <v>922</v>
      </c>
      <c r="P228" s="7" t="s">
        <v>923</v>
      </c>
      <c r="Q228" s="7" t="s">
        <v>924</v>
      </c>
      <c r="R228" s="7" t="s">
        <v>925</v>
      </c>
      <c r="S228" s="7" t="s">
        <v>926</v>
      </c>
      <c r="T228" s="7" t="s">
        <v>922</v>
      </c>
      <c r="U228" s="7" t="s">
        <v>927</v>
      </c>
    </row>
    <row r="229" spans="1:21" x14ac:dyDescent="0.15">
      <c r="A229" s="7" t="s">
        <v>912</v>
      </c>
      <c r="B229" s="7" t="s">
        <v>972</v>
      </c>
      <c r="C229" s="7" t="s">
        <v>1034</v>
      </c>
      <c r="D229" s="7" t="s">
        <v>1036</v>
      </c>
      <c r="E229" s="7">
        <f t="shared" si="3"/>
        <v>10.899999999999999</v>
      </c>
      <c r="F229" s="7" t="s">
        <v>1456</v>
      </c>
      <c r="G229" s="7" t="s">
        <v>1452</v>
      </c>
      <c r="H229" s="7" t="s">
        <v>1457</v>
      </c>
      <c r="I229" s="10">
        <v>46044</v>
      </c>
      <c r="K229" s="7" t="s">
        <v>962</v>
      </c>
      <c r="L229" s="7" t="s">
        <v>919</v>
      </c>
      <c r="M229" s="7" t="s">
        <v>920</v>
      </c>
      <c r="N229" s="7" t="s">
        <v>921</v>
      </c>
      <c r="O229" s="7" t="s">
        <v>922</v>
      </c>
      <c r="P229" s="7" t="s">
        <v>923</v>
      </c>
      <c r="Q229" s="7" t="s">
        <v>692</v>
      </c>
      <c r="R229" s="7" t="s">
        <v>1458</v>
      </c>
      <c r="S229" s="7" t="s">
        <v>1459</v>
      </c>
      <c r="T229" s="7" t="s">
        <v>947</v>
      </c>
      <c r="U229" s="7" t="s">
        <v>947</v>
      </c>
    </row>
    <row r="230" spans="1:21" x14ac:dyDescent="0.15">
      <c r="A230" s="7" t="s">
        <v>912</v>
      </c>
      <c r="B230" s="7" t="s">
        <v>940</v>
      </c>
      <c r="C230" s="7" t="s">
        <v>79</v>
      </c>
      <c r="D230" s="7">
        <v>0</v>
      </c>
      <c r="E230" s="7">
        <f t="shared" si="3"/>
        <v>5961.97</v>
      </c>
      <c r="F230" s="7" t="s">
        <v>1452</v>
      </c>
      <c r="G230" s="7" t="s">
        <v>1450</v>
      </c>
      <c r="H230" s="7" t="s">
        <v>1453</v>
      </c>
      <c r="I230" s="10">
        <v>46044</v>
      </c>
      <c r="K230" s="7" t="s">
        <v>943</v>
      </c>
      <c r="L230" s="7" t="s">
        <v>919</v>
      </c>
      <c r="M230" s="7" t="s">
        <v>920</v>
      </c>
      <c r="N230" s="7" t="s">
        <v>921</v>
      </c>
      <c r="O230" s="7" t="s">
        <v>922</v>
      </c>
      <c r="P230" s="7" t="s">
        <v>923</v>
      </c>
      <c r="Q230" s="7" t="s">
        <v>1454</v>
      </c>
      <c r="R230" s="7" t="s">
        <v>1455</v>
      </c>
      <c r="S230" s="7" t="s">
        <v>958</v>
      </c>
      <c r="T230" s="7" t="s">
        <v>947</v>
      </c>
      <c r="U230" s="7" t="s">
        <v>947</v>
      </c>
    </row>
    <row r="231" spans="1:21" x14ac:dyDescent="0.15">
      <c r="A231" s="7" t="s">
        <v>912</v>
      </c>
      <c r="B231" s="7" t="s">
        <v>913</v>
      </c>
      <c r="C231" s="7" t="s">
        <v>158</v>
      </c>
      <c r="D231" s="7" t="s">
        <v>916</v>
      </c>
      <c r="E231" s="7">
        <f t="shared" si="3"/>
        <v>114.26</v>
      </c>
      <c r="F231" s="7" t="s">
        <v>1450</v>
      </c>
      <c r="G231" s="7" t="s">
        <v>1448</v>
      </c>
      <c r="H231" s="7" t="s">
        <v>1451</v>
      </c>
      <c r="I231" s="10">
        <v>46044</v>
      </c>
      <c r="K231" s="7" t="s">
        <v>918</v>
      </c>
      <c r="L231" s="7" t="s">
        <v>919</v>
      </c>
      <c r="M231" s="7" t="s">
        <v>920</v>
      </c>
      <c r="N231" s="7" t="s">
        <v>921</v>
      </c>
      <c r="O231" s="7" t="s">
        <v>922</v>
      </c>
      <c r="P231" s="7" t="s">
        <v>923</v>
      </c>
      <c r="Q231" s="7" t="s">
        <v>924</v>
      </c>
      <c r="R231" s="7" t="s">
        <v>925</v>
      </c>
      <c r="S231" s="7" t="s">
        <v>926</v>
      </c>
      <c r="T231" s="7" t="s">
        <v>922</v>
      </c>
      <c r="U231" s="7" t="s">
        <v>927</v>
      </c>
    </row>
    <row r="232" spans="1:21" x14ac:dyDescent="0.15">
      <c r="A232" s="7" t="s">
        <v>912</v>
      </c>
      <c r="B232" s="7" t="s">
        <v>913</v>
      </c>
      <c r="C232" s="7" t="s">
        <v>859</v>
      </c>
      <c r="D232" s="7" t="s">
        <v>916</v>
      </c>
      <c r="E232" s="7">
        <f t="shared" si="3"/>
        <v>363.14</v>
      </c>
      <c r="F232" s="7" t="s">
        <v>1448</v>
      </c>
      <c r="G232" s="7" t="s">
        <v>1444</v>
      </c>
      <c r="H232" s="7" t="s">
        <v>1449</v>
      </c>
      <c r="I232" s="10">
        <v>46044</v>
      </c>
      <c r="K232" s="7" t="s">
        <v>918</v>
      </c>
      <c r="L232" s="7" t="s">
        <v>919</v>
      </c>
      <c r="M232" s="7" t="s">
        <v>920</v>
      </c>
      <c r="N232" s="7" t="s">
        <v>921</v>
      </c>
      <c r="O232" s="7" t="s">
        <v>922</v>
      </c>
      <c r="P232" s="7" t="s">
        <v>923</v>
      </c>
      <c r="Q232" s="7" t="s">
        <v>924</v>
      </c>
      <c r="R232" s="7" t="s">
        <v>925</v>
      </c>
      <c r="S232" s="7" t="s">
        <v>926</v>
      </c>
      <c r="T232" s="7" t="s">
        <v>922</v>
      </c>
      <c r="U232" s="7" t="s">
        <v>927</v>
      </c>
    </row>
    <row r="233" spans="1:21" x14ac:dyDescent="0.15">
      <c r="A233" s="7" t="s">
        <v>948</v>
      </c>
      <c r="B233" s="7" t="s">
        <v>940</v>
      </c>
      <c r="C233" s="7" t="s">
        <v>844</v>
      </c>
      <c r="D233" s="7">
        <v>0</v>
      </c>
      <c r="E233" s="7">
        <f t="shared" si="3"/>
        <v>-19.989999999999998</v>
      </c>
      <c r="F233" s="7" t="s">
        <v>1444</v>
      </c>
      <c r="G233" s="7" t="s">
        <v>1440</v>
      </c>
      <c r="H233" s="7" t="s">
        <v>1445</v>
      </c>
      <c r="I233" s="10">
        <v>46045</v>
      </c>
      <c r="K233" s="7" t="s">
        <v>951</v>
      </c>
      <c r="L233" s="7" t="s">
        <v>1446</v>
      </c>
      <c r="M233" s="7" t="s">
        <v>1447</v>
      </c>
      <c r="N233" s="7" t="s">
        <v>926</v>
      </c>
      <c r="O233" s="7" t="s">
        <v>947</v>
      </c>
      <c r="P233" s="7" t="s">
        <v>947</v>
      </c>
      <c r="Q233" s="7" t="s">
        <v>919</v>
      </c>
      <c r="R233" s="7" t="s">
        <v>920</v>
      </c>
      <c r="S233" s="7" t="s">
        <v>921</v>
      </c>
      <c r="T233" s="7" t="s">
        <v>922</v>
      </c>
      <c r="U233" s="7" t="s">
        <v>923</v>
      </c>
    </row>
    <row r="234" spans="1:21" x14ac:dyDescent="0.15">
      <c r="A234" s="7" t="s">
        <v>912</v>
      </c>
      <c r="B234" s="7" t="s">
        <v>940</v>
      </c>
      <c r="C234" s="7" t="s">
        <v>504</v>
      </c>
      <c r="D234" s="7">
        <v>0</v>
      </c>
      <c r="E234" s="7">
        <f t="shared" si="3"/>
        <v>370</v>
      </c>
      <c r="F234" s="7" t="s">
        <v>1440</v>
      </c>
      <c r="G234" s="7" t="s">
        <v>1435</v>
      </c>
      <c r="H234" s="7" t="s">
        <v>1441</v>
      </c>
      <c r="I234" s="10">
        <v>46045</v>
      </c>
      <c r="K234" s="7" t="s">
        <v>943</v>
      </c>
      <c r="L234" s="7" t="s">
        <v>919</v>
      </c>
      <c r="M234" s="7" t="s">
        <v>920</v>
      </c>
      <c r="N234" s="7" t="s">
        <v>921</v>
      </c>
      <c r="O234" s="7" t="s">
        <v>922</v>
      </c>
      <c r="P234" s="7" t="s">
        <v>923</v>
      </c>
      <c r="Q234" s="7" t="s">
        <v>1442</v>
      </c>
      <c r="R234" s="7" t="s">
        <v>1443</v>
      </c>
      <c r="S234" s="7" t="s">
        <v>1062</v>
      </c>
      <c r="T234" s="7" t="s">
        <v>947</v>
      </c>
      <c r="U234" s="7" t="s">
        <v>947</v>
      </c>
    </row>
    <row r="235" spans="1:21" x14ac:dyDescent="0.15">
      <c r="A235" s="7" t="s">
        <v>948</v>
      </c>
      <c r="B235" s="7" t="s">
        <v>1434</v>
      </c>
      <c r="C235" s="7" t="s">
        <v>733</v>
      </c>
      <c r="D235" s="7">
        <v>0</v>
      </c>
      <c r="E235" s="7">
        <f t="shared" si="3"/>
        <v>-20</v>
      </c>
      <c r="F235" s="7" t="s">
        <v>1435</v>
      </c>
      <c r="G235" s="7" t="s">
        <v>1432</v>
      </c>
      <c r="H235" s="7" t="s">
        <v>1436</v>
      </c>
      <c r="I235" s="10">
        <v>46045</v>
      </c>
      <c r="K235" s="7" t="s">
        <v>1437</v>
      </c>
      <c r="L235" s="7" t="s">
        <v>1438</v>
      </c>
      <c r="M235" s="7" t="s">
        <v>1439</v>
      </c>
      <c r="N235" s="7" t="s">
        <v>926</v>
      </c>
      <c r="O235" s="7" t="s">
        <v>947</v>
      </c>
      <c r="P235" s="7" t="s">
        <v>947</v>
      </c>
      <c r="Q235" s="7" t="s">
        <v>919</v>
      </c>
      <c r="R235" s="7" t="s">
        <v>920</v>
      </c>
      <c r="S235" s="7" t="s">
        <v>921</v>
      </c>
      <c r="T235" s="7" t="s">
        <v>922</v>
      </c>
      <c r="U235" s="7" t="s">
        <v>923</v>
      </c>
    </row>
    <row r="236" spans="1:21" x14ac:dyDescent="0.15">
      <c r="A236" s="7" t="s">
        <v>912</v>
      </c>
      <c r="B236" s="7" t="s">
        <v>913</v>
      </c>
      <c r="C236" s="7" t="s">
        <v>558</v>
      </c>
      <c r="D236" s="7" t="s">
        <v>916</v>
      </c>
      <c r="E236" s="7">
        <f t="shared" si="3"/>
        <v>20.71</v>
      </c>
      <c r="F236" s="7" t="s">
        <v>1432</v>
      </c>
      <c r="G236" s="7" t="s">
        <v>1428</v>
      </c>
      <c r="H236" s="7" t="s">
        <v>1433</v>
      </c>
      <c r="I236" s="10">
        <v>46045</v>
      </c>
      <c r="K236" s="7" t="s">
        <v>918</v>
      </c>
      <c r="L236" s="7" t="s">
        <v>919</v>
      </c>
      <c r="M236" s="7" t="s">
        <v>920</v>
      </c>
      <c r="N236" s="7" t="s">
        <v>921</v>
      </c>
      <c r="O236" s="7" t="s">
        <v>922</v>
      </c>
      <c r="P236" s="7" t="s">
        <v>923</v>
      </c>
      <c r="Q236" s="7" t="s">
        <v>924</v>
      </c>
      <c r="R236" s="7" t="s">
        <v>925</v>
      </c>
      <c r="S236" s="7" t="s">
        <v>926</v>
      </c>
      <c r="T236" s="7" t="s">
        <v>922</v>
      </c>
      <c r="U236" s="7" t="s">
        <v>927</v>
      </c>
    </row>
    <row r="237" spans="1:21" x14ac:dyDescent="0.15">
      <c r="A237" s="7" t="s">
        <v>912</v>
      </c>
      <c r="B237" s="7" t="s">
        <v>940</v>
      </c>
      <c r="C237" s="7" t="s">
        <v>649</v>
      </c>
      <c r="D237" s="7">
        <v>0</v>
      </c>
      <c r="E237" s="7">
        <f t="shared" si="3"/>
        <v>61.61</v>
      </c>
      <c r="F237" s="7" t="s">
        <v>1428</v>
      </c>
      <c r="G237" s="7" t="s">
        <v>1426</v>
      </c>
      <c r="H237" s="7" t="s">
        <v>1429</v>
      </c>
      <c r="I237" s="10">
        <v>46045</v>
      </c>
      <c r="K237" s="7" t="s">
        <v>943</v>
      </c>
      <c r="L237" s="7" t="s">
        <v>919</v>
      </c>
      <c r="M237" s="7" t="s">
        <v>920</v>
      </c>
      <c r="N237" s="7" t="s">
        <v>921</v>
      </c>
      <c r="O237" s="7" t="s">
        <v>922</v>
      </c>
      <c r="P237" s="7" t="s">
        <v>923</v>
      </c>
      <c r="Q237" s="7" t="s">
        <v>1430</v>
      </c>
      <c r="R237" s="7" t="s">
        <v>1431</v>
      </c>
      <c r="S237" s="7" t="s">
        <v>958</v>
      </c>
      <c r="T237" s="7" t="s">
        <v>947</v>
      </c>
      <c r="U237" s="7" t="s">
        <v>947</v>
      </c>
    </row>
    <row r="238" spans="1:21" x14ac:dyDescent="0.15">
      <c r="A238" s="7" t="s">
        <v>912</v>
      </c>
      <c r="B238" s="7" t="s">
        <v>913</v>
      </c>
      <c r="C238" s="7" t="s">
        <v>92</v>
      </c>
      <c r="D238" s="7" t="s">
        <v>916</v>
      </c>
      <c r="E238" s="7">
        <f t="shared" si="3"/>
        <v>87.78</v>
      </c>
      <c r="F238" s="7" t="s">
        <v>1426</v>
      </c>
      <c r="G238" s="7" t="s">
        <v>1425</v>
      </c>
      <c r="H238" s="7" t="s">
        <v>1427</v>
      </c>
      <c r="I238" s="10">
        <v>46045</v>
      </c>
      <c r="K238" s="7" t="s">
        <v>918</v>
      </c>
      <c r="L238" s="7" t="s">
        <v>919</v>
      </c>
      <c r="M238" s="7" t="s">
        <v>920</v>
      </c>
      <c r="N238" s="7" t="s">
        <v>921</v>
      </c>
      <c r="O238" s="7" t="s">
        <v>922</v>
      </c>
      <c r="P238" s="7" t="s">
        <v>923</v>
      </c>
      <c r="Q238" s="7" t="s">
        <v>924</v>
      </c>
      <c r="R238" s="7" t="s">
        <v>925</v>
      </c>
      <c r="S238" s="7" t="s">
        <v>926</v>
      </c>
      <c r="T238" s="7" t="s">
        <v>922</v>
      </c>
      <c r="U238" s="7" t="s">
        <v>927</v>
      </c>
    </row>
    <row r="239" spans="1:21" x14ac:dyDescent="0.15">
      <c r="A239" s="7" t="s">
        <v>912</v>
      </c>
      <c r="B239" s="7" t="s">
        <v>913</v>
      </c>
      <c r="C239" s="7" t="s">
        <v>440</v>
      </c>
      <c r="D239" s="7" t="s">
        <v>916</v>
      </c>
      <c r="E239" s="7">
        <f t="shared" si="3"/>
        <v>57.18</v>
      </c>
      <c r="F239" s="7" t="s">
        <v>1422</v>
      </c>
      <c r="G239" s="7" t="s">
        <v>1418</v>
      </c>
      <c r="H239" s="7" t="s">
        <v>1423</v>
      </c>
      <c r="I239" s="10">
        <v>46047</v>
      </c>
      <c r="K239" s="7" t="s">
        <v>918</v>
      </c>
      <c r="L239" s="7" t="s">
        <v>919</v>
      </c>
      <c r="M239" s="7" t="s">
        <v>920</v>
      </c>
      <c r="N239" s="7" t="s">
        <v>921</v>
      </c>
      <c r="O239" s="7" t="s">
        <v>922</v>
      </c>
      <c r="P239" s="7" t="s">
        <v>923</v>
      </c>
      <c r="Q239" s="7" t="s">
        <v>924</v>
      </c>
      <c r="R239" s="7" t="s">
        <v>925</v>
      </c>
      <c r="S239" s="7" t="s">
        <v>926</v>
      </c>
      <c r="T239" s="7" t="s">
        <v>922</v>
      </c>
      <c r="U239" s="7" t="s">
        <v>927</v>
      </c>
    </row>
    <row r="240" spans="1:21" x14ac:dyDescent="0.15">
      <c r="A240" s="7" t="s">
        <v>912</v>
      </c>
      <c r="B240" s="7" t="s">
        <v>913</v>
      </c>
      <c r="C240" s="7" t="s">
        <v>0</v>
      </c>
      <c r="D240" s="7" t="s">
        <v>916</v>
      </c>
      <c r="E240" s="7">
        <f t="shared" si="3"/>
        <v>10.44</v>
      </c>
      <c r="F240" s="7" t="s">
        <v>1424</v>
      </c>
      <c r="G240" s="7" t="s">
        <v>1422</v>
      </c>
      <c r="H240" s="7" t="s">
        <v>1423</v>
      </c>
      <c r="I240" s="10">
        <v>46047</v>
      </c>
      <c r="K240" s="7" t="s">
        <v>918</v>
      </c>
      <c r="L240" s="7" t="s">
        <v>919</v>
      </c>
      <c r="M240" s="7" t="s">
        <v>920</v>
      </c>
      <c r="N240" s="7" t="s">
        <v>921</v>
      </c>
      <c r="O240" s="7" t="s">
        <v>922</v>
      </c>
      <c r="P240" s="7" t="s">
        <v>923</v>
      </c>
      <c r="Q240" s="7" t="s">
        <v>924</v>
      </c>
      <c r="R240" s="7" t="s">
        <v>925</v>
      </c>
      <c r="S240" s="7" t="s">
        <v>926</v>
      </c>
      <c r="T240" s="7" t="s">
        <v>922</v>
      </c>
      <c r="U240" s="7" t="s">
        <v>927</v>
      </c>
    </row>
    <row r="241" spans="1:21" x14ac:dyDescent="0.15">
      <c r="A241" s="7" t="s">
        <v>912</v>
      </c>
      <c r="B241" s="7" t="s">
        <v>913</v>
      </c>
      <c r="C241" s="7" t="s">
        <v>808</v>
      </c>
      <c r="D241" s="7" t="s">
        <v>916</v>
      </c>
      <c r="E241" s="7">
        <f t="shared" si="3"/>
        <v>216.17</v>
      </c>
      <c r="F241" s="7" t="s">
        <v>1425</v>
      </c>
      <c r="G241" s="7" t="s">
        <v>1424</v>
      </c>
      <c r="H241" s="7" t="s">
        <v>1423</v>
      </c>
      <c r="I241" s="10">
        <v>46047</v>
      </c>
      <c r="K241" s="7" t="s">
        <v>918</v>
      </c>
      <c r="L241" s="7" t="s">
        <v>919</v>
      </c>
      <c r="M241" s="7" t="s">
        <v>920</v>
      </c>
      <c r="N241" s="7" t="s">
        <v>921</v>
      </c>
      <c r="O241" s="7" t="s">
        <v>922</v>
      </c>
      <c r="P241" s="7" t="s">
        <v>923</v>
      </c>
      <c r="Q241" s="7" t="s">
        <v>924</v>
      </c>
      <c r="R241" s="7" t="s">
        <v>925</v>
      </c>
      <c r="S241" s="7" t="s">
        <v>926</v>
      </c>
      <c r="T241" s="7" t="s">
        <v>922</v>
      </c>
      <c r="U241" s="7" t="s">
        <v>927</v>
      </c>
    </row>
    <row r="242" spans="1:21" x14ac:dyDescent="0.15">
      <c r="A242" s="7" t="s">
        <v>912</v>
      </c>
      <c r="B242" s="7" t="s">
        <v>972</v>
      </c>
      <c r="C242" s="7" t="s">
        <v>997</v>
      </c>
      <c r="D242" s="7" t="s">
        <v>999</v>
      </c>
      <c r="E242" s="7">
        <f t="shared" si="3"/>
        <v>51.65</v>
      </c>
      <c r="F242" s="7" t="s">
        <v>1418</v>
      </c>
      <c r="G242" s="7" t="s">
        <v>1414</v>
      </c>
      <c r="H242" s="7" t="s">
        <v>1419</v>
      </c>
      <c r="I242" s="10">
        <v>46047</v>
      </c>
      <c r="K242" s="7" t="s">
        <v>962</v>
      </c>
      <c r="L242" s="7" t="s">
        <v>919</v>
      </c>
      <c r="M242" s="7" t="s">
        <v>920</v>
      </c>
      <c r="N242" s="7" t="s">
        <v>921</v>
      </c>
      <c r="O242" s="7" t="s">
        <v>922</v>
      </c>
      <c r="P242" s="7" t="s">
        <v>923</v>
      </c>
      <c r="Q242" s="7" t="s">
        <v>1420</v>
      </c>
      <c r="R242" s="7" t="s">
        <v>1421</v>
      </c>
      <c r="S242" s="7" t="s">
        <v>1016</v>
      </c>
      <c r="T242" s="7" t="s">
        <v>947</v>
      </c>
      <c r="U242" s="7" t="s">
        <v>947</v>
      </c>
    </row>
    <row r="243" spans="1:21" x14ac:dyDescent="0.15">
      <c r="A243" s="7" t="s">
        <v>912</v>
      </c>
      <c r="B243" s="7" t="s">
        <v>972</v>
      </c>
      <c r="C243" s="7" t="s">
        <v>1413</v>
      </c>
      <c r="D243" s="7" t="s">
        <v>1276</v>
      </c>
      <c r="E243" s="7">
        <f t="shared" si="3"/>
        <v>108.96</v>
      </c>
      <c r="F243" s="7" t="s">
        <v>1414</v>
      </c>
      <c r="G243" s="7" t="s">
        <v>1409</v>
      </c>
      <c r="H243" s="7" t="s">
        <v>1415</v>
      </c>
      <c r="I243" s="10">
        <v>46047</v>
      </c>
      <c r="K243" s="7" t="s">
        <v>962</v>
      </c>
      <c r="L243" s="7" t="s">
        <v>919</v>
      </c>
      <c r="M243" s="7" t="s">
        <v>920</v>
      </c>
      <c r="N243" s="7" t="s">
        <v>921</v>
      </c>
      <c r="O243" s="7" t="s">
        <v>922</v>
      </c>
      <c r="P243" s="7" t="s">
        <v>923</v>
      </c>
      <c r="Q243" s="7" t="s">
        <v>1416</v>
      </c>
      <c r="R243" s="7" t="s">
        <v>1417</v>
      </c>
      <c r="S243" s="7" t="s">
        <v>1028</v>
      </c>
      <c r="T243" s="7" t="s">
        <v>947</v>
      </c>
      <c r="U243" s="7" t="s">
        <v>947</v>
      </c>
    </row>
    <row r="244" spans="1:21" x14ac:dyDescent="0.15">
      <c r="A244" s="7" t="s">
        <v>912</v>
      </c>
      <c r="B244" s="7" t="s">
        <v>972</v>
      </c>
      <c r="C244" s="7" t="s">
        <v>1408</v>
      </c>
      <c r="D244" s="7" t="s">
        <v>1266</v>
      </c>
      <c r="E244" s="7">
        <f t="shared" si="3"/>
        <v>153.76999999999998</v>
      </c>
      <c r="F244" s="7" t="s">
        <v>1409</v>
      </c>
      <c r="G244" s="7" t="s">
        <v>1404</v>
      </c>
      <c r="H244" s="7" t="s">
        <v>1410</v>
      </c>
      <c r="I244" s="10">
        <v>46047</v>
      </c>
      <c r="K244" s="7" t="s">
        <v>962</v>
      </c>
      <c r="L244" s="7" t="s">
        <v>919</v>
      </c>
      <c r="M244" s="7" t="s">
        <v>920</v>
      </c>
      <c r="N244" s="7" t="s">
        <v>921</v>
      </c>
      <c r="O244" s="7" t="s">
        <v>922</v>
      </c>
      <c r="P244" s="7" t="s">
        <v>923</v>
      </c>
      <c r="Q244" s="7" t="s">
        <v>1411</v>
      </c>
      <c r="R244" s="7" t="s">
        <v>1412</v>
      </c>
      <c r="S244" s="7" t="s">
        <v>1028</v>
      </c>
      <c r="T244" s="7" t="s">
        <v>947</v>
      </c>
      <c r="U244" s="7" t="s">
        <v>947</v>
      </c>
    </row>
    <row r="245" spans="1:21" x14ac:dyDescent="0.15">
      <c r="A245" s="7" t="s">
        <v>912</v>
      </c>
      <c r="B245" s="7" t="s">
        <v>972</v>
      </c>
      <c r="C245" s="7" t="s">
        <v>1034</v>
      </c>
      <c r="D245" s="7" t="s">
        <v>1036</v>
      </c>
      <c r="E245" s="7">
        <f t="shared" si="3"/>
        <v>10.899999999999999</v>
      </c>
      <c r="F245" s="7" t="s">
        <v>1404</v>
      </c>
      <c r="G245" s="7" t="s">
        <v>1400</v>
      </c>
      <c r="H245" s="7" t="s">
        <v>1405</v>
      </c>
      <c r="I245" s="10">
        <v>46047</v>
      </c>
      <c r="K245" s="7" t="s">
        <v>962</v>
      </c>
      <c r="L245" s="7" t="s">
        <v>919</v>
      </c>
      <c r="M245" s="7" t="s">
        <v>920</v>
      </c>
      <c r="N245" s="7" t="s">
        <v>921</v>
      </c>
      <c r="O245" s="7" t="s">
        <v>922</v>
      </c>
      <c r="P245" s="7" t="s">
        <v>923</v>
      </c>
      <c r="Q245" s="7" t="s">
        <v>1406</v>
      </c>
      <c r="R245" s="7" t="s">
        <v>1407</v>
      </c>
      <c r="S245" s="7" t="s">
        <v>1028</v>
      </c>
      <c r="T245" s="7" t="s">
        <v>947</v>
      </c>
      <c r="U245" s="7" t="s">
        <v>947</v>
      </c>
    </row>
    <row r="246" spans="1:21" x14ac:dyDescent="0.15">
      <c r="A246" s="7" t="s">
        <v>912</v>
      </c>
      <c r="B246" s="7" t="s">
        <v>972</v>
      </c>
      <c r="C246" s="7" t="s">
        <v>1034</v>
      </c>
      <c r="D246" s="7" t="s">
        <v>1036</v>
      </c>
      <c r="E246" s="7">
        <f t="shared" si="3"/>
        <v>10.899999999999999</v>
      </c>
      <c r="F246" s="7" t="s">
        <v>1400</v>
      </c>
      <c r="G246" s="7" t="s">
        <v>1396</v>
      </c>
      <c r="H246" s="7" t="s">
        <v>1401</v>
      </c>
      <c r="I246" s="10">
        <v>46047</v>
      </c>
      <c r="K246" s="7" t="s">
        <v>962</v>
      </c>
      <c r="L246" s="7" t="s">
        <v>919</v>
      </c>
      <c r="M246" s="7" t="s">
        <v>920</v>
      </c>
      <c r="N246" s="7" t="s">
        <v>921</v>
      </c>
      <c r="O246" s="7" t="s">
        <v>922</v>
      </c>
      <c r="P246" s="7" t="s">
        <v>923</v>
      </c>
      <c r="Q246" s="7" t="s">
        <v>1402</v>
      </c>
      <c r="R246" s="7" t="s">
        <v>1403</v>
      </c>
      <c r="S246" s="7" t="s">
        <v>992</v>
      </c>
      <c r="T246" s="7" t="s">
        <v>947</v>
      </c>
      <c r="U246" s="7" t="s">
        <v>947</v>
      </c>
    </row>
    <row r="247" spans="1:21" x14ac:dyDescent="0.15">
      <c r="A247" s="7" t="s">
        <v>912</v>
      </c>
      <c r="B247" s="7" t="s">
        <v>972</v>
      </c>
      <c r="C247" s="7" t="s">
        <v>1395</v>
      </c>
      <c r="D247" s="7" t="s">
        <v>1397</v>
      </c>
      <c r="E247" s="7">
        <f t="shared" si="3"/>
        <v>348.15999999999997</v>
      </c>
      <c r="F247" s="7" t="s">
        <v>1396</v>
      </c>
      <c r="G247" s="7" t="s">
        <v>1391</v>
      </c>
      <c r="H247" s="7" t="s">
        <v>1398</v>
      </c>
      <c r="I247" s="10">
        <v>46047</v>
      </c>
      <c r="K247" s="7" t="s">
        <v>962</v>
      </c>
      <c r="L247" s="7" t="s">
        <v>919</v>
      </c>
      <c r="M247" s="7" t="s">
        <v>920</v>
      </c>
      <c r="N247" s="7" t="s">
        <v>921</v>
      </c>
      <c r="O247" s="7" t="s">
        <v>922</v>
      </c>
      <c r="P247" s="7" t="s">
        <v>923</v>
      </c>
      <c r="Q247" s="7" t="s">
        <v>72</v>
      </c>
      <c r="R247" s="7" t="s">
        <v>1399</v>
      </c>
      <c r="S247" s="7" t="s">
        <v>1016</v>
      </c>
      <c r="T247" s="7" t="s">
        <v>947</v>
      </c>
      <c r="U247" s="7" t="s">
        <v>947</v>
      </c>
    </row>
    <row r="248" spans="1:21" x14ac:dyDescent="0.15">
      <c r="A248" s="7" t="s">
        <v>912</v>
      </c>
      <c r="B248" s="7" t="s">
        <v>972</v>
      </c>
      <c r="C248" s="7" t="s">
        <v>1390</v>
      </c>
      <c r="D248" s="7" t="s">
        <v>1216</v>
      </c>
      <c r="E248" s="7">
        <f t="shared" si="3"/>
        <v>42.21</v>
      </c>
      <c r="F248" s="7" t="s">
        <v>1391</v>
      </c>
      <c r="G248" s="7" t="s">
        <v>1385</v>
      </c>
      <c r="H248" s="7" t="s">
        <v>1392</v>
      </c>
      <c r="I248" s="10">
        <v>46047</v>
      </c>
      <c r="K248" s="7" t="s">
        <v>962</v>
      </c>
      <c r="L248" s="7" t="s">
        <v>919</v>
      </c>
      <c r="M248" s="7" t="s">
        <v>920</v>
      </c>
      <c r="N248" s="7" t="s">
        <v>921</v>
      </c>
      <c r="O248" s="7" t="s">
        <v>922</v>
      </c>
      <c r="P248" s="7" t="s">
        <v>923</v>
      </c>
      <c r="Q248" s="7" t="s">
        <v>1393</v>
      </c>
      <c r="R248" s="7" t="s">
        <v>1394</v>
      </c>
      <c r="S248" s="7" t="s">
        <v>958</v>
      </c>
      <c r="T248" s="7" t="s">
        <v>947</v>
      </c>
      <c r="U248" s="7" t="s">
        <v>947</v>
      </c>
    </row>
    <row r="249" spans="1:21" x14ac:dyDescent="0.15">
      <c r="A249" s="7" t="s">
        <v>912</v>
      </c>
      <c r="B249" s="7" t="s">
        <v>972</v>
      </c>
      <c r="C249" s="7" t="s">
        <v>1384</v>
      </c>
      <c r="D249" s="7" t="s">
        <v>1386</v>
      </c>
      <c r="E249" s="7">
        <f t="shared" si="3"/>
        <v>177.41000000000003</v>
      </c>
      <c r="F249" s="7" t="s">
        <v>1385</v>
      </c>
      <c r="G249" s="7" t="s">
        <v>1380</v>
      </c>
      <c r="H249" s="7" t="s">
        <v>1387</v>
      </c>
      <c r="I249" s="10">
        <v>46047</v>
      </c>
      <c r="K249" s="7" t="s">
        <v>962</v>
      </c>
      <c r="L249" s="7" t="s">
        <v>919</v>
      </c>
      <c r="M249" s="7" t="s">
        <v>920</v>
      </c>
      <c r="N249" s="7" t="s">
        <v>921</v>
      </c>
      <c r="O249" s="7" t="s">
        <v>922</v>
      </c>
      <c r="P249" s="7" t="s">
        <v>923</v>
      </c>
      <c r="Q249" s="7" t="s">
        <v>1388</v>
      </c>
      <c r="R249" s="7" t="s">
        <v>1389</v>
      </c>
      <c r="S249" s="7" t="s">
        <v>946</v>
      </c>
      <c r="T249" s="7" t="s">
        <v>947</v>
      </c>
      <c r="U249" s="7" t="s">
        <v>947</v>
      </c>
    </row>
    <row r="250" spans="1:21" x14ac:dyDescent="0.15">
      <c r="A250" s="7" t="s">
        <v>912</v>
      </c>
      <c r="B250" s="7" t="s">
        <v>972</v>
      </c>
      <c r="C250" s="7" t="s">
        <v>1331</v>
      </c>
      <c r="D250" s="7" t="s">
        <v>1333</v>
      </c>
      <c r="E250" s="7">
        <f t="shared" si="3"/>
        <v>16.87</v>
      </c>
      <c r="F250" s="7" t="s">
        <v>1380</v>
      </c>
      <c r="G250" s="7" t="s">
        <v>1376</v>
      </c>
      <c r="H250" s="7" t="s">
        <v>1381</v>
      </c>
      <c r="I250" s="10">
        <v>46047</v>
      </c>
      <c r="K250" s="7" t="s">
        <v>962</v>
      </c>
      <c r="L250" s="7" t="s">
        <v>919</v>
      </c>
      <c r="M250" s="7" t="s">
        <v>920</v>
      </c>
      <c r="N250" s="7" t="s">
        <v>921</v>
      </c>
      <c r="O250" s="7" t="s">
        <v>922</v>
      </c>
      <c r="P250" s="7" t="s">
        <v>923</v>
      </c>
      <c r="Q250" s="7" t="s">
        <v>1382</v>
      </c>
      <c r="R250" s="7" t="s">
        <v>1383</v>
      </c>
      <c r="S250" s="7" t="s">
        <v>992</v>
      </c>
      <c r="T250" s="7" t="s">
        <v>947</v>
      </c>
      <c r="U250" s="7" t="s">
        <v>947</v>
      </c>
    </row>
    <row r="251" spans="1:21" x14ac:dyDescent="0.15">
      <c r="A251" s="7" t="s">
        <v>912</v>
      </c>
      <c r="B251" s="7" t="s">
        <v>972</v>
      </c>
      <c r="C251" s="7" t="s">
        <v>986</v>
      </c>
      <c r="D251" s="7" t="s">
        <v>988</v>
      </c>
      <c r="E251" s="7">
        <f t="shared" si="3"/>
        <v>29.759999999999998</v>
      </c>
      <c r="F251" s="7" t="s">
        <v>1371</v>
      </c>
      <c r="G251" s="7" t="s">
        <v>1369</v>
      </c>
      <c r="H251" s="7" t="s">
        <v>1372</v>
      </c>
      <c r="I251" s="10">
        <v>46047</v>
      </c>
      <c r="K251" s="7" t="s">
        <v>962</v>
      </c>
      <c r="L251" s="7" t="s">
        <v>919</v>
      </c>
      <c r="M251" s="7" t="s">
        <v>920</v>
      </c>
      <c r="N251" s="7" t="s">
        <v>921</v>
      </c>
      <c r="O251" s="7" t="s">
        <v>922</v>
      </c>
      <c r="P251" s="7" t="s">
        <v>923</v>
      </c>
      <c r="Q251" s="7" t="s">
        <v>1373</v>
      </c>
      <c r="R251" s="7" t="s">
        <v>1374</v>
      </c>
      <c r="S251" s="7" t="s">
        <v>1178</v>
      </c>
      <c r="T251" s="7" t="s">
        <v>947</v>
      </c>
      <c r="U251" s="7" t="s">
        <v>947</v>
      </c>
    </row>
    <row r="252" spans="1:21" x14ac:dyDescent="0.15">
      <c r="A252" s="7" t="s">
        <v>912</v>
      </c>
      <c r="B252" s="7" t="s">
        <v>972</v>
      </c>
      <c r="C252" s="7" t="s">
        <v>1375</v>
      </c>
      <c r="D252" s="7" t="s">
        <v>1377</v>
      </c>
      <c r="E252" s="7">
        <f t="shared" si="3"/>
        <v>175.97</v>
      </c>
      <c r="F252" s="7" t="s">
        <v>1376</v>
      </c>
      <c r="G252" s="7" t="s">
        <v>1371</v>
      </c>
      <c r="H252" s="7" t="s">
        <v>1372</v>
      </c>
      <c r="I252" s="10">
        <v>46047</v>
      </c>
      <c r="K252" s="7" t="s">
        <v>962</v>
      </c>
      <c r="L252" s="7" t="s">
        <v>919</v>
      </c>
      <c r="M252" s="7" t="s">
        <v>920</v>
      </c>
      <c r="N252" s="7" t="s">
        <v>921</v>
      </c>
      <c r="O252" s="7" t="s">
        <v>922</v>
      </c>
      <c r="P252" s="7" t="s">
        <v>923</v>
      </c>
      <c r="Q252" s="7" t="s">
        <v>1378</v>
      </c>
      <c r="R252" s="7" t="s">
        <v>1379</v>
      </c>
      <c r="S252" s="7" t="s">
        <v>1028</v>
      </c>
      <c r="T252" s="7" t="s">
        <v>947</v>
      </c>
      <c r="U252" s="7" t="s">
        <v>947</v>
      </c>
    </row>
    <row r="253" spans="1:21" x14ac:dyDescent="0.15">
      <c r="A253" s="7" t="s">
        <v>912</v>
      </c>
      <c r="B253" s="7" t="s">
        <v>913</v>
      </c>
      <c r="C253" s="7" t="s">
        <v>472</v>
      </c>
      <c r="D253" s="7" t="s">
        <v>916</v>
      </c>
      <c r="E253" s="7">
        <f t="shared" si="3"/>
        <v>2423.6999999999998</v>
      </c>
      <c r="F253" s="7" t="s">
        <v>1369</v>
      </c>
      <c r="G253" s="7" t="s">
        <v>1368</v>
      </c>
      <c r="H253" s="7" t="s">
        <v>1370</v>
      </c>
      <c r="I253" s="10">
        <v>46047</v>
      </c>
      <c r="K253" s="7" t="s">
        <v>918</v>
      </c>
      <c r="L253" s="7" t="s">
        <v>919</v>
      </c>
      <c r="M253" s="7" t="s">
        <v>920</v>
      </c>
      <c r="N253" s="7" t="s">
        <v>921</v>
      </c>
      <c r="O253" s="7" t="s">
        <v>922</v>
      </c>
      <c r="P253" s="7" t="s">
        <v>923</v>
      </c>
      <c r="Q253" s="7" t="s">
        <v>924</v>
      </c>
      <c r="R253" s="7" t="s">
        <v>925</v>
      </c>
      <c r="S253" s="7" t="s">
        <v>926</v>
      </c>
      <c r="T253" s="7" t="s">
        <v>922</v>
      </c>
      <c r="U253" s="7" t="s">
        <v>927</v>
      </c>
    </row>
    <row r="254" spans="1:21" x14ac:dyDescent="0.15">
      <c r="A254" s="7" t="s">
        <v>912</v>
      </c>
      <c r="B254" s="7" t="s">
        <v>913</v>
      </c>
      <c r="C254" s="7" t="s">
        <v>428</v>
      </c>
      <c r="D254" s="7" t="s">
        <v>916</v>
      </c>
      <c r="E254" s="7">
        <f t="shared" si="3"/>
        <v>923.69</v>
      </c>
      <c r="F254" s="7" t="s">
        <v>1364</v>
      </c>
      <c r="G254" s="7" t="s">
        <v>1362</v>
      </c>
      <c r="H254" s="7" t="s">
        <v>1365</v>
      </c>
      <c r="I254" s="10">
        <v>46047</v>
      </c>
      <c r="K254" s="7" t="s">
        <v>918</v>
      </c>
      <c r="L254" s="7" t="s">
        <v>919</v>
      </c>
      <c r="M254" s="7" t="s">
        <v>920</v>
      </c>
      <c r="N254" s="7" t="s">
        <v>921</v>
      </c>
      <c r="O254" s="7" t="s">
        <v>922</v>
      </c>
      <c r="P254" s="7" t="s">
        <v>923</v>
      </c>
      <c r="Q254" s="7" t="s">
        <v>924</v>
      </c>
      <c r="R254" s="7" t="s">
        <v>925</v>
      </c>
      <c r="S254" s="7" t="s">
        <v>926</v>
      </c>
      <c r="T254" s="7" t="s">
        <v>922</v>
      </c>
      <c r="U254" s="7" t="s">
        <v>927</v>
      </c>
    </row>
    <row r="255" spans="1:21" x14ac:dyDescent="0.15">
      <c r="A255" s="7" t="s">
        <v>912</v>
      </c>
      <c r="B255" s="7" t="s">
        <v>913</v>
      </c>
      <c r="C255" s="7" t="s">
        <v>12</v>
      </c>
      <c r="D255" s="7" t="s">
        <v>916</v>
      </c>
      <c r="E255" s="7">
        <f t="shared" si="3"/>
        <v>83.04</v>
      </c>
      <c r="F255" s="7" t="s">
        <v>1366</v>
      </c>
      <c r="G255" s="7" t="s">
        <v>1364</v>
      </c>
      <c r="H255" s="7" t="s">
        <v>1365</v>
      </c>
      <c r="I255" s="10">
        <v>46047</v>
      </c>
      <c r="K255" s="7" t="s">
        <v>918</v>
      </c>
      <c r="L255" s="7" t="s">
        <v>919</v>
      </c>
      <c r="M255" s="7" t="s">
        <v>920</v>
      </c>
      <c r="N255" s="7" t="s">
        <v>921</v>
      </c>
      <c r="O255" s="7" t="s">
        <v>922</v>
      </c>
      <c r="P255" s="7" t="s">
        <v>923</v>
      </c>
      <c r="Q255" s="7" t="s">
        <v>924</v>
      </c>
      <c r="R255" s="7" t="s">
        <v>925</v>
      </c>
      <c r="S255" s="7" t="s">
        <v>926</v>
      </c>
      <c r="T255" s="7" t="s">
        <v>922</v>
      </c>
      <c r="U255" s="7" t="s">
        <v>927</v>
      </c>
    </row>
    <row r="256" spans="1:21" x14ac:dyDescent="0.15">
      <c r="A256" s="7" t="s">
        <v>912</v>
      </c>
      <c r="B256" s="7" t="s">
        <v>913</v>
      </c>
      <c r="C256" s="7" t="s">
        <v>855</v>
      </c>
      <c r="D256" s="7" t="s">
        <v>916</v>
      </c>
      <c r="E256" s="7">
        <f t="shared" si="3"/>
        <v>1608.95</v>
      </c>
      <c r="F256" s="7" t="s">
        <v>1367</v>
      </c>
      <c r="G256" s="7" t="s">
        <v>1366</v>
      </c>
      <c r="H256" s="7" t="s">
        <v>1365</v>
      </c>
      <c r="I256" s="10">
        <v>46047</v>
      </c>
      <c r="K256" s="7" t="s">
        <v>918</v>
      </c>
      <c r="L256" s="7" t="s">
        <v>919</v>
      </c>
      <c r="M256" s="7" t="s">
        <v>920</v>
      </c>
      <c r="N256" s="7" t="s">
        <v>921</v>
      </c>
      <c r="O256" s="7" t="s">
        <v>922</v>
      </c>
      <c r="P256" s="7" t="s">
        <v>923</v>
      </c>
      <c r="Q256" s="7" t="s">
        <v>924</v>
      </c>
      <c r="R256" s="7" t="s">
        <v>925</v>
      </c>
      <c r="S256" s="7" t="s">
        <v>926</v>
      </c>
      <c r="T256" s="7" t="s">
        <v>922</v>
      </c>
      <c r="U256" s="7" t="s">
        <v>927</v>
      </c>
    </row>
    <row r="257" spans="1:21" x14ac:dyDescent="0.15">
      <c r="A257" s="7" t="s">
        <v>912</v>
      </c>
      <c r="B257" s="7" t="s">
        <v>913</v>
      </c>
      <c r="C257" s="7" t="s">
        <v>144</v>
      </c>
      <c r="D257" s="7" t="s">
        <v>916</v>
      </c>
      <c r="E257" s="7">
        <f t="shared" si="3"/>
        <v>658.42</v>
      </c>
      <c r="F257" s="7" t="s">
        <v>1368</v>
      </c>
      <c r="G257" s="7" t="s">
        <v>1367</v>
      </c>
      <c r="H257" s="7" t="s">
        <v>1365</v>
      </c>
      <c r="I257" s="10">
        <v>46047</v>
      </c>
      <c r="K257" s="7" t="s">
        <v>918</v>
      </c>
      <c r="L257" s="7" t="s">
        <v>919</v>
      </c>
      <c r="M257" s="7" t="s">
        <v>920</v>
      </c>
      <c r="N257" s="7" t="s">
        <v>921</v>
      </c>
      <c r="O257" s="7" t="s">
        <v>922</v>
      </c>
      <c r="P257" s="7" t="s">
        <v>923</v>
      </c>
      <c r="Q257" s="7" t="s">
        <v>924</v>
      </c>
      <c r="R257" s="7" t="s">
        <v>925</v>
      </c>
      <c r="S257" s="7" t="s">
        <v>926</v>
      </c>
      <c r="T257" s="7" t="s">
        <v>922</v>
      </c>
      <c r="U257" s="7" t="s">
        <v>927</v>
      </c>
    </row>
    <row r="258" spans="1:21" x14ac:dyDescent="0.15">
      <c r="A258" s="7" t="s">
        <v>912</v>
      </c>
      <c r="B258" s="7" t="s">
        <v>972</v>
      </c>
      <c r="C258" s="7" t="s">
        <v>1361</v>
      </c>
      <c r="D258" s="7" t="s">
        <v>1309</v>
      </c>
      <c r="E258" s="7">
        <f t="shared" ref="E258:E321" si="4">C258-D258</f>
        <v>95.45</v>
      </c>
      <c r="F258" s="7" t="s">
        <v>1362</v>
      </c>
      <c r="G258" s="7" t="s">
        <v>1357</v>
      </c>
      <c r="H258" s="7" t="s">
        <v>1363</v>
      </c>
      <c r="I258" s="10">
        <v>46047</v>
      </c>
      <c r="K258" s="7" t="s">
        <v>962</v>
      </c>
      <c r="L258" s="7" t="s">
        <v>919</v>
      </c>
      <c r="M258" s="7" t="s">
        <v>920</v>
      </c>
      <c r="N258" s="7" t="s">
        <v>921</v>
      </c>
      <c r="O258" s="7" t="s">
        <v>922</v>
      </c>
      <c r="P258" s="7" t="s">
        <v>923</v>
      </c>
      <c r="Q258" s="7" t="s">
        <v>1349</v>
      </c>
      <c r="R258" s="7" t="s">
        <v>1350</v>
      </c>
      <c r="S258" s="7" t="s">
        <v>958</v>
      </c>
      <c r="T258" s="7" t="s">
        <v>947</v>
      </c>
      <c r="U258" s="7" t="s">
        <v>947</v>
      </c>
    </row>
    <row r="259" spans="1:21" x14ac:dyDescent="0.15">
      <c r="A259" s="7" t="s">
        <v>912</v>
      </c>
      <c r="B259" s="7" t="s">
        <v>972</v>
      </c>
      <c r="C259" s="7" t="s">
        <v>1034</v>
      </c>
      <c r="D259" s="7" t="s">
        <v>1036</v>
      </c>
      <c r="E259" s="7">
        <f t="shared" si="4"/>
        <v>10.899999999999999</v>
      </c>
      <c r="F259" s="7" t="s">
        <v>1357</v>
      </c>
      <c r="G259" s="7" t="s">
        <v>1352</v>
      </c>
      <c r="H259" s="7" t="s">
        <v>1358</v>
      </c>
      <c r="I259" s="10">
        <v>46047</v>
      </c>
      <c r="K259" s="7" t="s">
        <v>962</v>
      </c>
      <c r="L259" s="7" t="s">
        <v>919</v>
      </c>
      <c r="M259" s="7" t="s">
        <v>920</v>
      </c>
      <c r="N259" s="7" t="s">
        <v>921</v>
      </c>
      <c r="O259" s="7" t="s">
        <v>922</v>
      </c>
      <c r="P259" s="7" t="s">
        <v>923</v>
      </c>
      <c r="Q259" s="7" t="s">
        <v>1359</v>
      </c>
      <c r="R259" s="7" t="s">
        <v>1360</v>
      </c>
      <c r="S259" s="7" t="s">
        <v>992</v>
      </c>
      <c r="T259" s="7" t="s">
        <v>947</v>
      </c>
      <c r="U259" s="7" t="s">
        <v>947</v>
      </c>
    </row>
    <row r="260" spans="1:21" x14ac:dyDescent="0.15">
      <c r="A260" s="7" t="s">
        <v>912</v>
      </c>
      <c r="B260" s="7" t="s">
        <v>972</v>
      </c>
      <c r="C260" s="7" t="s">
        <v>1351</v>
      </c>
      <c r="D260" s="7" t="s">
        <v>1353</v>
      </c>
      <c r="E260" s="7">
        <f t="shared" si="4"/>
        <v>398</v>
      </c>
      <c r="F260" s="7" t="s">
        <v>1352</v>
      </c>
      <c r="G260" s="7" t="s">
        <v>1347</v>
      </c>
      <c r="H260" s="7" t="s">
        <v>1354</v>
      </c>
      <c r="I260" s="10">
        <v>46047</v>
      </c>
      <c r="K260" s="7" t="s">
        <v>962</v>
      </c>
      <c r="L260" s="7" t="s">
        <v>919</v>
      </c>
      <c r="M260" s="7" t="s">
        <v>920</v>
      </c>
      <c r="N260" s="7" t="s">
        <v>921</v>
      </c>
      <c r="O260" s="7" t="s">
        <v>922</v>
      </c>
      <c r="P260" s="7" t="s">
        <v>923</v>
      </c>
      <c r="Q260" s="7" t="s">
        <v>1355</v>
      </c>
      <c r="R260" s="7" t="s">
        <v>1356</v>
      </c>
      <c r="S260" s="7" t="s">
        <v>985</v>
      </c>
      <c r="T260" s="7" t="s">
        <v>947</v>
      </c>
      <c r="U260" s="7" t="s">
        <v>947</v>
      </c>
    </row>
    <row r="261" spans="1:21" x14ac:dyDescent="0.15">
      <c r="A261" s="7" t="s">
        <v>912</v>
      </c>
      <c r="B261" s="7" t="s">
        <v>972</v>
      </c>
      <c r="C261" s="7" t="s">
        <v>1243</v>
      </c>
      <c r="D261" s="7" t="s">
        <v>999</v>
      </c>
      <c r="E261" s="7">
        <f t="shared" si="4"/>
        <v>49.75</v>
      </c>
      <c r="F261" s="7" t="s">
        <v>1347</v>
      </c>
      <c r="G261" s="7" t="s">
        <v>1343</v>
      </c>
      <c r="H261" s="7" t="s">
        <v>1348</v>
      </c>
      <c r="I261" s="10">
        <v>46047</v>
      </c>
      <c r="K261" s="7" t="s">
        <v>962</v>
      </c>
      <c r="L261" s="7" t="s">
        <v>919</v>
      </c>
      <c r="M261" s="7" t="s">
        <v>920</v>
      </c>
      <c r="N261" s="7" t="s">
        <v>921</v>
      </c>
      <c r="O261" s="7" t="s">
        <v>922</v>
      </c>
      <c r="P261" s="7" t="s">
        <v>923</v>
      </c>
      <c r="Q261" s="7" t="s">
        <v>1349</v>
      </c>
      <c r="R261" s="7" t="s">
        <v>1350</v>
      </c>
      <c r="S261" s="7" t="s">
        <v>958</v>
      </c>
      <c r="T261" s="7" t="s">
        <v>947</v>
      </c>
      <c r="U261" s="7" t="s">
        <v>947</v>
      </c>
    </row>
    <row r="262" spans="1:21" x14ac:dyDescent="0.15">
      <c r="A262" s="7" t="s">
        <v>912</v>
      </c>
      <c r="B262" s="7" t="s">
        <v>972</v>
      </c>
      <c r="C262" s="7" t="s">
        <v>1226</v>
      </c>
      <c r="D262" s="7" t="s">
        <v>1228</v>
      </c>
      <c r="E262" s="7">
        <f t="shared" si="4"/>
        <v>89.55</v>
      </c>
      <c r="F262" s="7" t="s">
        <v>1343</v>
      </c>
      <c r="G262" s="7" t="s">
        <v>1338</v>
      </c>
      <c r="H262" s="7" t="s">
        <v>1344</v>
      </c>
      <c r="I262" s="10">
        <v>46047</v>
      </c>
      <c r="K262" s="7" t="s">
        <v>962</v>
      </c>
      <c r="L262" s="7" t="s">
        <v>919</v>
      </c>
      <c r="M262" s="7" t="s">
        <v>920</v>
      </c>
      <c r="N262" s="7" t="s">
        <v>921</v>
      </c>
      <c r="O262" s="7" t="s">
        <v>922</v>
      </c>
      <c r="P262" s="7" t="s">
        <v>923</v>
      </c>
      <c r="Q262" s="7" t="s">
        <v>1345</v>
      </c>
      <c r="R262" s="7" t="s">
        <v>1346</v>
      </c>
      <c r="S262" s="7" t="s">
        <v>992</v>
      </c>
      <c r="T262" s="7" t="s">
        <v>947</v>
      </c>
      <c r="U262" s="7" t="s">
        <v>947</v>
      </c>
    </row>
    <row r="263" spans="1:21" x14ac:dyDescent="0.15">
      <c r="A263" s="7" t="s">
        <v>912</v>
      </c>
      <c r="B263" s="7" t="s">
        <v>972</v>
      </c>
      <c r="C263" s="7" t="s">
        <v>1337</v>
      </c>
      <c r="D263" s="7" t="s">
        <v>1339</v>
      </c>
      <c r="E263" s="7">
        <f t="shared" si="4"/>
        <v>119.31</v>
      </c>
      <c r="F263" s="7" t="s">
        <v>1338</v>
      </c>
      <c r="G263" s="7" t="s">
        <v>1332</v>
      </c>
      <c r="H263" s="7" t="s">
        <v>1340</v>
      </c>
      <c r="I263" s="10">
        <v>46047</v>
      </c>
      <c r="K263" s="7" t="s">
        <v>962</v>
      </c>
      <c r="L263" s="7" t="s">
        <v>919</v>
      </c>
      <c r="M263" s="7" t="s">
        <v>920</v>
      </c>
      <c r="N263" s="7" t="s">
        <v>921</v>
      </c>
      <c r="O263" s="7" t="s">
        <v>922</v>
      </c>
      <c r="P263" s="7" t="s">
        <v>923</v>
      </c>
      <c r="Q263" s="7" t="s">
        <v>1341</v>
      </c>
      <c r="R263" s="7" t="s">
        <v>1342</v>
      </c>
      <c r="S263" s="7" t="s">
        <v>1016</v>
      </c>
      <c r="T263" s="7" t="s">
        <v>947</v>
      </c>
      <c r="U263" s="7" t="s">
        <v>947</v>
      </c>
    </row>
    <row r="264" spans="1:21" x14ac:dyDescent="0.15">
      <c r="A264" s="7" t="s">
        <v>912</v>
      </c>
      <c r="B264" s="7" t="s">
        <v>972</v>
      </c>
      <c r="C264" s="7" t="s">
        <v>1331</v>
      </c>
      <c r="D264" s="7" t="s">
        <v>1333</v>
      </c>
      <c r="E264" s="7">
        <f t="shared" si="4"/>
        <v>16.87</v>
      </c>
      <c r="F264" s="7" t="s">
        <v>1332</v>
      </c>
      <c r="G264" s="7" t="s">
        <v>1326</v>
      </c>
      <c r="H264" s="7" t="s">
        <v>1334</v>
      </c>
      <c r="I264" s="10">
        <v>46047</v>
      </c>
      <c r="K264" s="7" t="s">
        <v>962</v>
      </c>
      <c r="L264" s="7" t="s">
        <v>919</v>
      </c>
      <c r="M264" s="7" t="s">
        <v>920</v>
      </c>
      <c r="N264" s="7" t="s">
        <v>921</v>
      </c>
      <c r="O264" s="7" t="s">
        <v>922</v>
      </c>
      <c r="P264" s="7" t="s">
        <v>923</v>
      </c>
      <c r="Q264" s="7" t="s">
        <v>1335</v>
      </c>
      <c r="R264" s="7" t="s">
        <v>1336</v>
      </c>
      <c r="S264" s="7" t="s">
        <v>992</v>
      </c>
      <c r="T264" s="7" t="s">
        <v>947</v>
      </c>
      <c r="U264" s="7" t="s">
        <v>947</v>
      </c>
    </row>
    <row r="265" spans="1:21" x14ac:dyDescent="0.15">
      <c r="A265" s="7" t="s">
        <v>912</v>
      </c>
      <c r="B265" s="7" t="s">
        <v>972</v>
      </c>
      <c r="C265" s="7" t="s">
        <v>1325</v>
      </c>
      <c r="D265" s="7" t="s">
        <v>1327</v>
      </c>
      <c r="E265" s="7">
        <f t="shared" si="4"/>
        <v>226.57</v>
      </c>
      <c r="F265" s="7" t="s">
        <v>1326</v>
      </c>
      <c r="G265" s="7" t="s">
        <v>1320</v>
      </c>
      <c r="H265" s="7" t="s">
        <v>1328</v>
      </c>
      <c r="I265" s="10">
        <v>46047</v>
      </c>
      <c r="K265" s="7" t="s">
        <v>962</v>
      </c>
      <c r="L265" s="7" t="s">
        <v>919</v>
      </c>
      <c r="M265" s="7" t="s">
        <v>920</v>
      </c>
      <c r="N265" s="7" t="s">
        <v>921</v>
      </c>
      <c r="O265" s="7" t="s">
        <v>922</v>
      </c>
      <c r="P265" s="7" t="s">
        <v>923</v>
      </c>
      <c r="Q265" s="7" t="s">
        <v>1329</v>
      </c>
      <c r="R265" s="7" t="s">
        <v>1330</v>
      </c>
      <c r="S265" s="7" t="s">
        <v>953</v>
      </c>
      <c r="T265" s="7" t="s">
        <v>947</v>
      </c>
      <c r="U265" s="7" t="s">
        <v>947</v>
      </c>
    </row>
    <row r="266" spans="1:21" x14ac:dyDescent="0.15">
      <c r="A266" s="7" t="s">
        <v>912</v>
      </c>
      <c r="B266" s="7" t="s">
        <v>972</v>
      </c>
      <c r="C266" s="7" t="s">
        <v>1319</v>
      </c>
      <c r="D266" s="7" t="s">
        <v>1321</v>
      </c>
      <c r="E266" s="7">
        <f t="shared" si="4"/>
        <v>149.25</v>
      </c>
      <c r="F266" s="7" t="s">
        <v>1320</v>
      </c>
      <c r="G266" s="7" t="s">
        <v>1314</v>
      </c>
      <c r="H266" s="7" t="s">
        <v>1322</v>
      </c>
      <c r="I266" s="10">
        <v>46047</v>
      </c>
      <c r="K266" s="7" t="s">
        <v>962</v>
      </c>
      <c r="L266" s="7" t="s">
        <v>919</v>
      </c>
      <c r="M266" s="7" t="s">
        <v>920</v>
      </c>
      <c r="N266" s="7" t="s">
        <v>921</v>
      </c>
      <c r="O266" s="7" t="s">
        <v>922</v>
      </c>
      <c r="P266" s="7" t="s">
        <v>923</v>
      </c>
      <c r="Q266" s="7" t="s">
        <v>1323</v>
      </c>
      <c r="R266" s="7" t="s">
        <v>1324</v>
      </c>
      <c r="S266" s="7" t="s">
        <v>958</v>
      </c>
      <c r="T266" s="7" t="s">
        <v>947</v>
      </c>
      <c r="U266" s="7" t="s">
        <v>947</v>
      </c>
    </row>
    <row r="267" spans="1:21" x14ac:dyDescent="0.15">
      <c r="A267" s="7" t="s">
        <v>912</v>
      </c>
      <c r="B267" s="7" t="s">
        <v>972</v>
      </c>
      <c r="C267" s="7" t="s">
        <v>1313</v>
      </c>
      <c r="D267" s="7" t="s">
        <v>1315</v>
      </c>
      <c r="E267" s="7">
        <f t="shared" si="4"/>
        <v>89.36</v>
      </c>
      <c r="F267" s="7" t="s">
        <v>1314</v>
      </c>
      <c r="G267" s="7" t="s">
        <v>1308</v>
      </c>
      <c r="H267" s="7" t="s">
        <v>1316</v>
      </c>
      <c r="I267" s="10">
        <v>46047</v>
      </c>
      <c r="K267" s="7" t="s">
        <v>962</v>
      </c>
      <c r="L267" s="7" t="s">
        <v>919</v>
      </c>
      <c r="M267" s="7" t="s">
        <v>920</v>
      </c>
      <c r="N267" s="7" t="s">
        <v>921</v>
      </c>
      <c r="O267" s="7" t="s">
        <v>922</v>
      </c>
      <c r="P267" s="7" t="s">
        <v>923</v>
      </c>
      <c r="Q267" s="7" t="s">
        <v>1317</v>
      </c>
      <c r="R267" s="7" t="s">
        <v>1318</v>
      </c>
      <c r="S267" s="7" t="s">
        <v>1028</v>
      </c>
      <c r="T267" s="7" t="s">
        <v>947</v>
      </c>
      <c r="U267" s="7" t="s">
        <v>947</v>
      </c>
    </row>
    <row r="268" spans="1:21" x14ac:dyDescent="0.15">
      <c r="A268" s="7" t="s">
        <v>912</v>
      </c>
      <c r="B268" s="7" t="s">
        <v>972</v>
      </c>
      <c r="C268" s="7" t="s">
        <v>1307</v>
      </c>
      <c r="D268" s="7" t="s">
        <v>1309</v>
      </c>
      <c r="E268" s="7">
        <f t="shared" si="4"/>
        <v>95.38</v>
      </c>
      <c r="F268" s="7" t="s">
        <v>1308</v>
      </c>
      <c r="G268" s="7" t="s">
        <v>1301</v>
      </c>
      <c r="H268" s="7" t="s">
        <v>1310</v>
      </c>
      <c r="I268" s="10">
        <v>46047</v>
      </c>
      <c r="K268" s="7" t="s">
        <v>962</v>
      </c>
      <c r="L268" s="7" t="s">
        <v>919</v>
      </c>
      <c r="M268" s="7" t="s">
        <v>920</v>
      </c>
      <c r="N268" s="7" t="s">
        <v>921</v>
      </c>
      <c r="O268" s="7" t="s">
        <v>922</v>
      </c>
      <c r="P268" s="7" t="s">
        <v>923</v>
      </c>
      <c r="Q268" s="7" t="s">
        <v>1311</v>
      </c>
      <c r="R268" s="7" t="s">
        <v>1312</v>
      </c>
      <c r="S268" s="7" t="s">
        <v>1028</v>
      </c>
      <c r="T268" s="7" t="s">
        <v>947</v>
      </c>
      <c r="U268" s="7" t="s">
        <v>947</v>
      </c>
    </row>
    <row r="269" spans="1:21" x14ac:dyDescent="0.15">
      <c r="A269" s="7" t="s">
        <v>912</v>
      </c>
      <c r="B269" s="7" t="s">
        <v>972</v>
      </c>
      <c r="C269" s="7" t="s">
        <v>1300</v>
      </c>
      <c r="D269" s="7" t="s">
        <v>1302</v>
      </c>
      <c r="E269" s="7">
        <f t="shared" si="4"/>
        <v>139.30000000000001</v>
      </c>
      <c r="F269" s="7" t="s">
        <v>1301</v>
      </c>
      <c r="G269" s="7" t="s">
        <v>1299</v>
      </c>
      <c r="H269" s="7" t="s">
        <v>1303</v>
      </c>
      <c r="I269" s="10">
        <v>46047</v>
      </c>
      <c r="K269" s="7" t="s">
        <v>962</v>
      </c>
      <c r="L269" s="7" t="s">
        <v>919</v>
      </c>
      <c r="M269" s="7" t="s">
        <v>920</v>
      </c>
      <c r="N269" s="7" t="s">
        <v>921</v>
      </c>
      <c r="O269" s="7" t="s">
        <v>922</v>
      </c>
      <c r="P269" s="7" t="s">
        <v>923</v>
      </c>
      <c r="Q269" s="7" t="s">
        <v>1304</v>
      </c>
      <c r="R269" s="7" t="s">
        <v>1305</v>
      </c>
      <c r="S269" s="7" t="s">
        <v>1306</v>
      </c>
      <c r="T269" s="7" t="s">
        <v>947</v>
      </c>
      <c r="U269" s="7" t="s">
        <v>947</v>
      </c>
    </row>
    <row r="270" spans="1:21" x14ac:dyDescent="0.15">
      <c r="A270" s="7" t="s">
        <v>912</v>
      </c>
      <c r="B270" s="7" t="s">
        <v>913</v>
      </c>
      <c r="C270" s="7" t="s">
        <v>212</v>
      </c>
      <c r="D270" s="7" t="s">
        <v>916</v>
      </c>
      <c r="E270" s="7">
        <f t="shared" si="4"/>
        <v>228.05</v>
      </c>
      <c r="F270" s="7" t="s">
        <v>1294</v>
      </c>
      <c r="G270" s="7" t="s">
        <v>1293</v>
      </c>
      <c r="H270" s="7" t="s">
        <v>1295</v>
      </c>
      <c r="I270" s="10">
        <v>46047</v>
      </c>
      <c r="K270" s="7" t="s">
        <v>918</v>
      </c>
      <c r="L270" s="7" t="s">
        <v>919</v>
      </c>
      <c r="M270" s="7" t="s">
        <v>920</v>
      </c>
      <c r="N270" s="7" t="s">
        <v>921</v>
      </c>
      <c r="O270" s="7" t="s">
        <v>922</v>
      </c>
      <c r="P270" s="7" t="s">
        <v>923</v>
      </c>
      <c r="Q270" s="7" t="s">
        <v>924</v>
      </c>
      <c r="R270" s="7" t="s">
        <v>925</v>
      </c>
      <c r="S270" s="7" t="s">
        <v>926</v>
      </c>
      <c r="T270" s="7" t="s">
        <v>922</v>
      </c>
      <c r="U270" s="7" t="s">
        <v>927</v>
      </c>
    </row>
    <row r="271" spans="1:21" x14ac:dyDescent="0.15">
      <c r="A271" s="7" t="s">
        <v>912</v>
      </c>
      <c r="B271" s="7" t="s">
        <v>913</v>
      </c>
      <c r="C271" s="7" t="s">
        <v>339</v>
      </c>
      <c r="D271" s="7" t="s">
        <v>916</v>
      </c>
      <c r="E271" s="7">
        <f t="shared" si="4"/>
        <v>943.3</v>
      </c>
      <c r="F271" s="7" t="s">
        <v>1296</v>
      </c>
      <c r="G271" s="7" t="s">
        <v>1294</v>
      </c>
      <c r="H271" s="7" t="s">
        <v>1295</v>
      </c>
      <c r="I271" s="10">
        <v>46047</v>
      </c>
      <c r="K271" s="7" t="s">
        <v>918</v>
      </c>
      <c r="L271" s="7" t="s">
        <v>919</v>
      </c>
      <c r="M271" s="7" t="s">
        <v>920</v>
      </c>
      <c r="N271" s="7" t="s">
        <v>921</v>
      </c>
      <c r="O271" s="7" t="s">
        <v>922</v>
      </c>
      <c r="P271" s="7" t="s">
        <v>923</v>
      </c>
      <c r="Q271" s="7" t="s">
        <v>924</v>
      </c>
      <c r="R271" s="7" t="s">
        <v>925</v>
      </c>
      <c r="S271" s="7" t="s">
        <v>926</v>
      </c>
      <c r="T271" s="7" t="s">
        <v>922</v>
      </c>
      <c r="U271" s="7" t="s">
        <v>927</v>
      </c>
    </row>
    <row r="272" spans="1:21" x14ac:dyDescent="0.15">
      <c r="A272" s="7" t="s">
        <v>912</v>
      </c>
      <c r="B272" s="7" t="s">
        <v>913</v>
      </c>
      <c r="C272" s="7" t="s">
        <v>529</v>
      </c>
      <c r="D272" s="7" t="s">
        <v>916</v>
      </c>
      <c r="E272" s="7">
        <f t="shared" si="4"/>
        <v>110.57</v>
      </c>
      <c r="F272" s="7" t="s">
        <v>1297</v>
      </c>
      <c r="G272" s="7" t="s">
        <v>1296</v>
      </c>
      <c r="H272" s="7" t="s">
        <v>1295</v>
      </c>
      <c r="I272" s="10">
        <v>46047</v>
      </c>
      <c r="K272" s="7" t="s">
        <v>918</v>
      </c>
      <c r="L272" s="7" t="s">
        <v>919</v>
      </c>
      <c r="M272" s="7" t="s">
        <v>920</v>
      </c>
      <c r="N272" s="7" t="s">
        <v>921</v>
      </c>
      <c r="O272" s="7" t="s">
        <v>922</v>
      </c>
      <c r="P272" s="7" t="s">
        <v>923</v>
      </c>
      <c r="Q272" s="7" t="s">
        <v>924</v>
      </c>
      <c r="R272" s="7" t="s">
        <v>925</v>
      </c>
      <c r="S272" s="7" t="s">
        <v>926</v>
      </c>
      <c r="T272" s="7" t="s">
        <v>922</v>
      </c>
      <c r="U272" s="7" t="s">
        <v>927</v>
      </c>
    </row>
    <row r="273" spans="1:21" x14ac:dyDescent="0.15">
      <c r="A273" s="7" t="s">
        <v>912</v>
      </c>
      <c r="B273" s="7" t="s">
        <v>913</v>
      </c>
      <c r="C273" s="7" t="s">
        <v>94</v>
      </c>
      <c r="D273" s="7" t="s">
        <v>916</v>
      </c>
      <c r="E273" s="7">
        <f t="shared" si="4"/>
        <v>156.91999999999999</v>
      </c>
      <c r="F273" s="7" t="s">
        <v>1298</v>
      </c>
      <c r="G273" s="7" t="s">
        <v>1297</v>
      </c>
      <c r="H273" s="7" t="s">
        <v>1295</v>
      </c>
      <c r="I273" s="10">
        <v>46047</v>
      </c>
      <c r="K273" s="7" t="s">
        <v>918</v>
      </c>
      <c r="L273" s="7" t="s">
        <v>919</v>
      </c>
      <c r="M273" s="7" t="s">
        <v>920</v>
      </c>
      <c r="N273" s="7" t="s">
        <v>921</v>
      </c>
      <c r="O273" s="7" t="s">
        <v>922</v>
      </c>
      <c r="P273" s="7" t="s">
        <v>923</v>
      </c>
      <c r="Q273" s="7" t="s">
        <v>924</v>
      </c>
      <c r="R273" s="7" t="s">
        <v>925</v>
      </c>
      <c r="S273" s="7" t="s">
        <v>926</v>
      </c>
      <c r="T273" s="7" t="s">
        <v>922</v>
      </c>
      <c r="U273" s="7" t="s">
        <v>927</v>
      </c>
    </row>
    <row r="274" spans="1:21" x14ac:dyDescent="0.15">
      <c r="A274" s="7" t="s">
        <v>912</v>
      </c>
      <c r="B274" s="7" t="s">
        <v>913</v>
      </c>
      <c r="C274" s="7" t="s">
        <v>409</v>
      </c>
      <c r="D274" s="7" t="s">
        <v>916</v>
      </c>
      <c r="E274" s="7">
        <f t="shared" si="4"/>
        <v>700.7</v>
      </c>
      <c r="F274" s="7" t="s">
        <v>1299</v>
      </c>
      <c r="G274" s="7" t="s">
        <v>1298</v>
      </c>
      <c r="H274" s="7" t="s">
        <v>1295</v>
      </c>
      <c r="I274" s="10">
        <v>46047</v>
      </c>
      <c r="K274" s="7" t="s">
        <v>918</v>
      </c>
      <c r="L274" s="7" t="s">
        <v>919</v>
      </c>
      <c r="M274" s="7" t="s">
        <v>920</v>
      </c>
      <c r="N274" s="7" t="s">
        <v>921</v>
      </c>
      <c r="O274" s="7" t="s">
        <v>922</v>
      </c>
      <c r="P274" s="7" t="s">
        <v>923</v>
      </c>
      <c r="Q274" s="7" t="s">
        <v>924</v>
      </c>
      <c r="R274" s="7" t="s">
        <v>925</v>
      </c>
      <c r="S274" s="7" t="s">
        <v>926</v>
      </c>
      <c r="T274" s="7" t="s">
        <v>922</v>
      </c>
      <c r="U274" s="7" t="s">
        <v>927</v>
      </c>
    </row>
    <row r="275" spans="1:21" x14ac:dyDescent="0.15">
      <c r="A275" s="7" t="s">
        <v>912</v>
      </c>
      <c r="B275" s="7" t="s">
        <v>913</v>
      </c>
      <c r="C275" s="7" t="s">
        <v>376</v>
      </c>
      <c r="D275" s="7" t="s">
        <v>916</v>
      </c>
      <c r="E275" s="7">
        <f t="shared" si="4"/>
        <v>2123.86</v>
      </c>
      <c r="F275" s="7" t="s">
        <v>1287</v>
      </c>
      <c r="G275" s="7" t="s">
        <v>1283</v>
      </c>
      <c r="H275" s="7" t="s">
        <v>1288</v>
      </c>
      <c r="I275" s="10">
        <v>46047</v>
      </c>
      <c r="K275" s="7" t="s">
        <v>918</v>
      </c>
      <c r="L275" s="7" t="s">
        <v>919</v>
      </c>
      <c r="M275" s="7" t="s">
        <v>920</v>
      </c>
      <c r="N275" s="7" t="s">
        <v>921</v>
      </c>
      <c r="O275" s="7" t="s">
        <v>922</v>
      </c>
      <c r="P275" s="7" t="s">
        <v>923</v>
      </c>
      <c r="Q275" s="7" t="s">
        <v>924</v>
      </c>
      <c r="R275" s="7" t="s">
        <v>925</v>
      </c>
      <c r="S275" s="7" t="s">
        <v>926</v>
      </c>
      <c r="T275" s="7" t="s">
        <v>922</v>
      </c>
      <c r="U275" s="7" t="s">
        <v>927</v>
      </c>
    </row>
    <row r="276" spans="1:21" x14ac:dyDescent="0.15">
      <c r="A276" s="7" t="s">
        <v>912</v>
      </c>
      <c r="B276" s="7" t="s">
        <v>913</v>
      </c>
      <c r="C276" s="7" t="s">
        <v>814</v>
      </c>
      <c r="D276" s="7" t="s">
        <v>916</v>
      </c>
      <c r="E276" s="7">
        <f t="shared" si="4"/>
        <v>241.96</v>
      </c>
      <c r="F276" s="7" t="s">
        <v>1289</v>
      </c>
      <c r="G276" s="7" t="s">
        <v>1287</v>
      </c>
      <c r="H276" s="7" t="s">
        <v>1288</v>
      </c>
      <c r="I276" s="10">
        <v>46047</v>
      </c>
      <c r="K276" s="7" t="s">
        <v>918</v>
      </c>
      <c r="L276" s="7" t="s">
        <v>919</v>
      </c>
      <c r="M276" s="7" t="s">
        <v>920</v>
      </c>
      <c r="N276" s="7" t="s">
        <v>921</v>
      </c>
      <c r="O276" s="7" t="s">
        <v>922</v>
      </c>
      <c r="P276" s="7" t="s">
        <v>923</v>
      </c>
      <c r="Q276" s="7" t="s">
        <v>924</v>
      </c>
      <c r="R276" s="7" t="s">
        <v>925</v>
      </c>
      <c r="S276" s="7" t="s">
        <v>926</v>
      </c>
      <c r="T276" s="7" t="s">
        <v>922</v>
      </c>
      <c r="U276" s="7" t="s">
        <v>927</v>
      </c>
    </row>
    <row r="277" spans="1:21" x14ac:dyDescent="0.15">
      <c r="A277" s="7" t="s">
        <v>912</v>
      </c>
      <c r="B277" s="7" t="s">
        <v>913</v>
      </c>
      <c r="C277" s="7" t="s">
        <v>463</v>
      </c>
      <c r="D277" s="7" t="s">
        <v>916</v>
      </c>
      <c r="E277" s="7">
        <f t="shared" si="4"/>
        <v>195.76</v>
      </c>
      <c r="F277" s="7" t="s">
        <v>1290</v>
      </c>
      <c r="G277" s="7" t="s">
        <v>1289</v>
      </c>
      <c r="H277" s="7" t="s">
        <v>1288</v>
      </c>
      <c r="I277" s="10">
        <v>46047</v>
      </c>
      <c r="K277" s="7" t="s">
        <v>918</v>
      </c>
      <c r="L277" s="7" t="s">
        <v>919</v>
      </c>
      <c r="M277" s="7" t="s">
        <v>920</v>
      </c>
      <c r="N277" s="7" t="s">
        <v>921</v>
      </c>
      <c r="O277" s="7" t="s">
        <v>922</v>
      </c>
      <c r="P277" s="7" t="s">
        <v>923</v>
      </c>
      <c r="Q277" s="7" t="s">
        <v>924</v>
      </c>
      <c r="R277" s="7" t="s">
        <v>925</v>
      </c>
      <c r="S277" s="7" t="s">
        <v>926</v>
      </c>
      <c r="T277" s="7" t="s">
        <v>922</v>
      </c>
      <c r="U277" s="7" t="s">
        <v>927</v>
      </c>
    </row>
    <row r="278" spans="1:21" x14ac:dyDescent="0.15">
      <c r="A278" s="7" t="s">
        <v>912</v>
      </c>
      <c r="B278" s="7" t="s">
        <v>913</v>
      </c>
      <c r="C278" s="7" t="s">
        <v>280</v>
      </c>
      <c r="D278" s="7" t="s">
        <v>916</v>
      </c>
      <c r="E278" s="7">
        <f t="shared" si="4"/>
        <v>353.69</v>
      </c>
      <c r="F278" s="7" t="s">
        <v>1291</v>
      </c>
      <c r="G278" s="7" t="s">
        <v>1290</v>
      </c>
      <c r="H278" s="7" t="s">
        <v>1288</v>
      </c>
      <c r="I278" s="10">
        <v>46047</v>
      </c>
      <c r="K278" s="7" t="s">
        <v>918</v>
      </c>
      <c r="L278" s="7" t="s">
        <v>919</v>
      </c>
      <c r="M278" s="7" t="s">
        <v>920</v>
      </c>
      <c r="N278" s="7" t="s">
        <v>921</v>
      </c>
      <c r="O278" s="7" t="s">
        <v>922</v>
      </c>
      <c r="P278" s="7" t="s">
        <v>923</v>
      </c>
      <c r="Q278" s="7" t="s">
        <v>924</v>
      </c>
      <c r="R278" s="7" t="s">
        <v>925</v>
      </c>
      <c r="S278" s="7" t="s">
        <v>926</v>
      </c>
      <c r="T278" s="7" t="s">
        <v>922</v>
      </c>
      <c r="U278" s="7" t="s">
        <v>927</v>
      </c>
    </row>
    <row r="279" spans="1:21" x14ac:dyDescent="0.15">
      <c r="A279" s="7" t="s">
        <v>912</v>
      </c>
      <c r="B279" s="7" t="s">
        <v>913</v>
      </c>
      <c r="C279" s="7" t="s">
        <v>644</v>
      </c>
      <c r="D279" s="7" t="s">
        <v>916</v>
      </c>
      <c r="E279" s="7">
        <f t="shared" si="4"/>
        <v>2467.92</v>
      </c>
      <c r="F279" s="7" t="s">
        <v>1292</v>
      </c>
      <c r="G279" s="7" t="s">
        <v>1291</v>
      </c>
      <c r="H279" s="7" t="s">
        <v>1288</v>
      </c>
      <c r="I279" s="10">
        <v>46047</v>
      </c>
      <c r="K279" s="7" t="s">
        <v>918</v>
      </c>
      <c r="L279" s="7" t="s">
        <v>919</v>
      </c>
      <c r="M279" s="7" t="s">
        <v>920</v>
      </c>
      <c r="N279" s="7" t="s">
        <v>921</v>
      </c>
      <c r="O279" s="7" t="s">
        <v>922</v>
      </c>
      <c r="P279" s="7" t="s">
        <v>923</v>
      </c>
      <c r="Q279" s="7" t="s">
        <v>924</v>
      </c>
      <c r="R279" s="7" t="s">
        <v>925</v>
      </c>
      <c r="S279" s="7" t="s">
        <v>926</v>
      </c>
      <c r="T279" s="7" t="s">
        <v>922</v>
      </c>
      <c r="U279" s="7" t="s">
        <v>927</v>
      </c>
    </row>
    <row r="280" spans="1:21" x14ac:dyDescent="0.15">
      <c r="A280" s="7" t="s">
        <v>912</v>
      </c>
      <c r="B280" s="7" t="s">
        <v>913</v>
      </c>
      <c r="C280" s="7" t="s">
        <v>610</v>
      </c>
      <c r="D280" s="7" t="s">
        <v>916</v>
      </c>
      <c r="E280" s="7">
        <f t="shared" si="4"/>
        <v>401.53</v>
      </c>
      <c r="F280" s="7" t="s">
        <v>1293</v>
      </c>
      <c r="G280" s="7" t="s">
        <v>1292</v>
      </c>
      <c r="H280" s="7" t="s">
        <v>1288</v>
      </c>
      <c r="I280" s="10">
        <v>46047</v>
      </c>
      <c r="K280" s="7" t="s">
        <v>918</v>
      </c>
      <c r="L280" s="7" t="s">
        <v>919</v>
      </c>
      <c r="M280" s="7" t="s">
        <v>920</v>
      </c>
      <c r="N280" s="7" t="s">
        <v>921</v>
      </c>
      <c r="O280" s="7" t="s">
        <v>922</v>
      </c>
      <c r="P280" s="7" t="s">
        <v>923</v>
      </c>
      <c r="Q280" s="7" t="s">
        <v>924</v>
      </c>
      <c r="R280" s="7" t="s">
        <v>925</v>
      </c>
      <c r="S280" s="7" t="s">
        <v>926</v>
      </c>
      <c r="T280" s="7" t="s">
        <v>922</v>
      </c>
      <c r="U280" s="7" t="s">
        <v>927</v>
      </c>
    </row>
    <row r="281" spans="1:21" x14ac:dyDescent="0.15">
      <c r="A281" s="7" t="s">
        <v>912</v>
      </c>
      <c r="B281" s="7" t="s">
        <v>972</v>
      </c>
      <c r="C281" s="7" t="s">
        <v>1282</v>
      </c>
      <c r="D281" s="7" t="s">
        <v>1008</v>
      </c>
      <c r="E281" s="7">
        <f t="shared" si="4"/>
        <v>79.599999999999994</v>
      </c>
      <c r="F281" s="7" t="s">
        <v>1283</v>
      </c>
      <c r="G281" s="7" t="s">
        <v>1279</v>
      </c>
      <c r="H281" s="7" t="s">
        <v>1284</v>
      </c>
      <c r="I281" s="10">
        <v>46047</v>
      </c>
      <c r="K281" s="7" t="s">
        <v>962</v>
      </c>
      <c r="L281" s="7" t="s">
        <v>919</v>
      </c>
      <c r="M281" s="7" t="s">
        <v>920</v>
      </c>
      <c r="N281" s="7" t="s">
        <v>921</v>
      </c>
      <c r="O281" s="7" t="s">
        <v>922</v>
      </c>
      <c r="P281" s="7" t="s">
        <v>923</v>
      </c>
      <c r="Q281" s="7" t="s">
        <v>1285</v>
      </c>
      <c r="R281" s="7" t="s">
        <v>1286</v>
      </c>
      <c r="S281" s="7" t="s">
        <v>992</v>
      </c>
      <c r="T281" s="7" t="s">
        <v>947</v>
      </c>
      <c r="U281" s="7" t="s">
        <v>947</v>
      </c>
    </row>
    <row r="282" spans="1:21" x14ac:dyDescent="0.15">
      <c r="A282" s="7" t="s">
        <v>912</v>
      </c>
      <c r="B282" s="7" t="s">
        <v>972</v>
      </c>
      <c r="C282" s="7" t="s">
        <v>1278</v>
      </c>
      <c r="D282" s="7" t="s">
        <v>1280</v>
      </c>
      <c r="E282" s="7">
        <f t="shared" si="4"/>
        <v>87.169999999999987</v>
      </c>
      <c r="F282" s="7" t="s">
        <v>1279</v>
      </c>
      <c r="G282" s="7" t="s">
        <v>1275</v>
      </c>
      <c r="H282" s="7" t="s">
        <v>1281</v>
      </c>
      <c r="I282" s="10">
        <v>46047</v>
      </c>
      <c r="K282" s="7" t="s">
        <v>962</v>
      </c>
      <c r="L282" s="7" t="s">
        <v>919</v>
      </c>
      <c r="M282" s="7" t="s">
        <v>920</v>
      </c>
      <c r="N282" s="7" t="s">
        <v>921</v>
      </c>
      <c r="O282" s="7" t="s">
        <v>922</v>
      </c>
      <c r="P282" s="7" t="s">
        <v>923</v>
      </c>
      <c r="Q282" s="7" t="s">
        <v>1241</v>
      </c>
      <c r="R282" s="7" t="s">
        <v>1242</v>
      </c>
      <c r="S282" s="7" t="s">
        <v>1062</v>
      </c>
      <c r="T282" s="7" t="s">
        <v>947</v>
      </c>
      <c r="U282" s="7" t="s">
        <v>947</v>
      </c>
    </row>
    <row r="283" spans="1:21" x14ac:dyDescent="0.15">
      <c r="A283" s="7" t="s">
        <v>912</v>
      </c>
      <c r="B283" s="7" t="s">
        <v>972</v>
      </c>
      <c r="C283" s="7" t="s">
        <v>1274</v>
      </c>
      <c r="D283" s="7" t="s">
        <v>1276</v>
      </c>
      <c r="E283" s="7">
        <f t="shared" si="4"/>
        <v>109.36</v>
      </c>
      <c r="F283" s="7" t="s">
        <v>1275</v>
      </c>
      <c r="G283" s="7" t="s">
        <v>1273</v>
      </c>
      <c r="H283" s="7" t="s">
        <v>1277</v>
      </c>
      <c r="I283" s="10">
        <v>46047</v>
      </c>
      <c r="K283" s="7" t="s">
        <v>962</v>
      </c>
      <c r="L283" s="7" t="s">
        <v>919</v>
      </c>
      <c r="M283" s="7" t="s">
        <v>920</v>
      </c>
      <c r="N283" s="7" t="s">
        <v>921</v>
      </c>
      <c r="O283" s="7" t="s">
        <v>922</v>
      </c>
      <c r="P283" s="7" t="s">
        <v>923</v>
      </c>
      <c r="Q283" s="7" t="s">
        <v>1162</v>
      </c>
      <c r="R283" s="7" t="s">
        <v>1163</v>
      </c>
      <c r="S283" s="7" t="s">
        <v>1016</v>
      </c>
      <c r="T283" s="7" t="s">
        <v>947</v>
      </c>
      <c r="U283" s="7" t="s">
        <v>947</v>
      </c>
    </row>
    <row r="284" spans="1:21" x14ac:dyDescent="0.15">
      <c r="A284" s="7" t="s">
        <v>912</v>
      </c>
      <c r="B284" s="7" t="s">
        <v>913</v>
      </c>
      <c r="C284" s="7" t="s">
        <v>382</v>
      </c>
      <c r="D284" s="7" t="s">
        <v>916</v>
      </c>
      <c r="E284" s="7">
        <f t="shared" si="4"/>
        <v>403.94</v>
      </c>
      <c r="F284" s="7" t="s">
        <v>1268</v>
      </c>
      <c r="G284" s="7" t="s">
        <v>1265</v>
      </c>
      <c r="H284" s="7" t="s">
        <v>1269</v>
      </c>
      <c r="I284" s="10">
        <v>46047</v>
      </c>
      <c r="K284" s="7" t="s">
        <v>918</v>
      </c>
      <c r="L284" s="7" t="s">
        <v>919</v>
      </c>
      <c r="M284" s="7" t="s">
        <v>920</v>
      </c>
      <c r="N284" s="7" t="s">
        <v>921</v>
      </c>
      <c r="O284" s="7" t="s">
        <v>922</v>
      </c>
      <c r="P284" s="7" t="s">
        <v>923</v>
      </c>
      <c r="Q284" s="7" t="s">
        <v>924</v>
      </c>
      <c r="R284" s="7" t="s">
        <v>925</v>
      </c>
      <c r="S284" s="7" t="s">
        <v>926</v>
      </c>
      <c r="T284" s="7" t="s">
        <v>922</v>
      </c>
      <c r="U284" s="7" t="s">
        <v>927</v>
      </c>
    </row>
    <row r="285" spans="1:21" x14ac:dyDescent="0.15">
      <c r="A285" s="7" t="s">
        <v>912</v>
      </c>
      <c r="B285" s="7" t="s">
        <v>913</v>
      </c>
      <c r="C285" s="7" t="s">
        <v>856</v>
      </c>
      <c r="D285" s="7" t="s">
        <v>916</v>
      </c>
      <c r="E285" s="7">
        <f t="shared" si="4"/>
        <v>171.35</v>
      </c>
      <c r="F285" s="7" t="s">
        <v>1270</v>
      </c>
      <c r="G285" s="7" t="s">
        <v>1268</v>
      </c>
      <c r="H285" s="7" t="s">
        <v>1269</v>
      </c>
      <c r="I285" s="10">
        <v>46047</v>
      </c>
      <c r="K285" s="7" t="s">
        <v>918</v>
      </c>
      <c r="L285" s="7" t="s">
        <v>919</v>
      </c>
      <c r="M285" s="7" t="s">
        <v>920</v>
      </c>
      <c r="N285" s="7" t="s">
        <v>921</v>
      </c>
      <c r="O285" s="7" t="s">
        <v>922</v>
      </c>
      <c r="P285" s="7" t="s">
        <v>923</v>
      </c>
      <c r="Q285" s="7" t="s">
        <v>924</v>
      </c>
      <c r="R285" s="7" t="s">
        <v>925</v>
      </c>
      <c r="S285" s="7" t="s">
        <v>926</v>
      </c>
      <c r="T285" s="7" t="s">
        <v>922</v>
      </c>
      <c r="U285" s="7" t="s">
        <v>927</v>
      </c>
    </row>
    <row r="286" spans="1:21" x14ac:dyDescent="0.15">
      <c r="A286" s="7" t="s">
        <v>912</v>
      </c>
      <c r="B286" s="7" t="s">
        <v>913</v>
      </c>
      <c r="C286" s="7" t="s">
        <v>116</v>
      </c>
      <c r="D286" s="7" t="s">
        <v>916</v>
      </c>
      <c r="E286" s="7">
        <f t="shared" si="4"/>
        <v>276.58999999999997</v>
      </c>
      <c r="F286" s="7" t="s">
        <v>1271</v>
      </c>
      <c r="G286" s="7" t="s">
        <v>1270</v>
      </c>
      <c r="H286" s="7" t="s">
        <v>1269</v>
      </c>
      <c r="I286" s="10">
        <v>46047</v>
      </c>
      <c r="K286" s="7" t="s">
        <v>918</v>
      </c>
      <c r="L286" s="7" t="s">
        <v>919</v>
      </c>
      <c r="M286" s="7" t="s">
        <v>920</v>
      </c>
      <c r="N286" s="7" t="s">
        <v>921</v>
      </c>
      <c r="O286" s="7" t="s">
        <v>922</v>
      </c>
      <c r="P286" s="7" t="s">
        <v>923</v>
      </c>
      <c r="Q286" s="7" t="s">
        <v>924</v>
      </c>
      <c r="R286" s="7" t="s">
        <v>925</v>
      </c>
      <c r="S286" s="7" t="s">
        <v>926</v>
      </c>
      <c r="T286" s="7" t="s">
        <v>922</v>
      </c>
      <c r="U286" s="7" t="s">
        <v>927</v>
      </c>
    </row>
    <row r="287" spans="1:21" x14ac:dyDescent="0.15">
      <c r="A287" s="7" t="s">
        <v>912</v>
      </c>
      <c r="B287" s="7" t="s">
        <v>913</v>
      </c>
      <c r="C287" s="7" t="s">
        <v>871</v>
      </c>
      <c r="D287" s="7" t="s">
        <v>916</v>
      </c>
      <c r="E287" s="7">
        <f t="shared" si="4"/>
        <v>28.24</v>
      </c>
      <c r="F287" s="7" t="s">
        <v>1272</v>
      </c>
      <c r="G287" s="7" t="s">
        <v>1271</v>
      </c>
      <c r="H287" s="7" t="s">
        <v>1269</v>
      </c>
      <c r="I287" s="10">
        <v>46047</v>
      </c>
      <c r="K287" s="7" t="s">
        <v>918</v>
      </c>
      <c r="L287" s="7" t="s">
        <v>919</v>
      </c>
      <c r="M287" s="7" t="s">
        <v>920</v>
      </c>
      <c r="N287" s="7" t="s">
        <v>921</v>
      </c>
      <c r="O287" s="7" t="s">
        <v>922</v>
      </c>
      <c r="P287" s="7" t="s">
        <v>923</v>
      </c>
      <c r="Q287" s="7" t="s">
        <v>924</v>
      </c>
      <c r="R287" s="7" t="s">
        <v>925</v>
      </c>
      <c r="S287" s="7" t="s">
        <v>926</v>
      </c>
      <c r="T287" s="7" t="s">
        <v>922</v>
      </c>
      <c r="U287" s="7" t="s">
        <v>927</v>
      </c>
    </row>
    <row r="288" spans="1:21" x14ac:dyDescent="0.15">
      <c r="A288" s="7" t="s">
        <v>912</v>
      </c>
      <c r="B288" s="7" t="s">
        <v>913</v>
      </c>
      <c r="C288" s="7" t="s">
        <v>453</v>
      </c>
      <c r="D288" s="7" t="s">
        <v>916</v>
      </c>
      <c r="E288" s="7">
        <f t="shared" si="4"/>
        <v>248.43</v>
      </c>
      <c r="F288" s="7" t="s">
        <v>1273</v>
      </c>
      <c r="G288" s="7" t="s">
        <v>1272</v>
      </c>
      <c r="H288" s="7" t="s">
        <v>1269</v>
      </c>
      <c r="I288" s="10">
        <v>46047</v>
      </c>
      <c r="K288" s="7" t="s">
        <v>918</v>
      </c>
      <c r="L288" s="7" t="s">
        <v>919</v>
      </c>
      <c r="M288" s="7" t="s">
        <v>920</v>
      </c>
      <c r="N288" s="7" t="s">
        <v>921</v>
      </c>
      <c r="O288" s="7" t="s">
        <v>922</v>
      </c>
      <c r="P288" s="7" t="s">
        <v>923</v>
      </c>
      <c r="Q288" s="7" t="s">
        <v>924</v>
      </c>
      <c r="R288" s="7" t="s">
        <v>925</v>
      </c>
      <c r="S288" s="7" t="s">
        <v>926</v>
      </c>
      <c r="T288" s="7" t="s">
        <v>922</v>
      </c>
      <c r="U288" s="7" t="s">
        <v>927</v>
      </c>
    </row>
    <row r="289" spans="1:21" x14ac:dyDescent="0.15">
      <c r="A289" s="7" t="s">
        <v>912</v>
      </c>
      <c r="B289" s="7" t="s">
        <v>972</v>
      </c>
      <c r="C289" s="7" t="s">
        <v>1264</v>
      </c>
      <c r="D289" s="7" t="s">
        <v>1266</v>
      </c>
      <c r="E289" s="7">
        <f t="shared" si="4"/>
        <v>154.13</v>
      </c>
      <c r="F289" s="7" t="s">
        <v>1265</v>
      </c>
      <c r="G289" s="7" t="s">
        <v>1259</v>
      </c>
      <c r="H289" s="7" t="s">
        <v>1267</v>
      </c>
      <c r="I289" s="10">
        <v>46047</v>
      </c>
      <c r="K289" s="7" t="s">
        <v>962</v>
      </c>
      <c r="L289" s="7" t="s">
        <v>919</v>
      </c>
      <c r="M289" s="7" t="s">
        <v>920</v>
      </c>
      <c r="N289" s="7" t="s">
        <v>921</v>
      </c>
      <c r="O289" s="7" t="s">
        <v>922</v>
      </c>
      <c r="P289" s="7" t="s">
        <v>923</v>
      </c>
      <c r="Q289" s="7" t="s">
        <v>1262</v>
      </c>
      <c r="R289" s="7" t="s">
        <v>1263</v>
      </c>
      <c r="S289" s="7" t="s">
        <v>992</v>
      </c>
      <c r="T289" s="7" t="s">
        <v>947</v>
      </c>
      <c r="U289" s="7" t="s">
        <v>947</v>
      </c>
    </row>
    <row r="290" spans="1:21" x14ac:dyDescent="0.15">
      <c r="A290" s="7" t="s">
        <v>912</v>
      </c>
      <c r="B290" s="7" t="s">
        <v>972</v>
      </c>
      <c r="C290" s="7" t="s">
        <v>1258</v>
      </c>
      <c r="D290" s="7" t="s">
        <v>1260</v>
      </c>
      <c r="E290" s="7">
        <f t="shared" si="4"/>
        <v>47.76</v>
      </c>
      <c r="F290" s="7" t="s">
        <v>1259</v>
      </c>
      <c r="G290" s="7" t="s">
        <v>1254</v>
      </c>
      <c r="H290" s="7" t="s">
        <v>1261</v>
      </c>
      <c r="I290" s="10">
        <v>46047</v>
      </c>
      <c r="K290" s="7" t="s">
        <v>962</v>
      </c>
      <c r="L290" s="7" t="s">
        <v>919</v>
      </c>
      <c r="M290" s="7" t="s">
        <v>920</v>
      </c>
      <c r="N290" s="7" t="s">
        <v>921</v>
      </c>
      <c r="O290" s="7" t="s">
        <v>922</v>
      </c>
      <c r="P290" s="7" t="s">
        <v>923</v>
      </c>
      <c r="Q290" s="7" t="s">
        <v>1262</v>
      </c>
      <c r="R290" s="7" t="s">
        <v>1263</v>
      </c>
      <c r="S290" s="7" t="s">
        <v>992</v>
      </c>
      <c r="T290" s="7" t="s">
        <v>947</v>
      </c>
      <c r="U290" s="7" t="s">
        <v>947</v>
      </c>
    </row>
    <row r="291" spans="1:21" x14ac:dyDescent="0.15">
      <c r="A291" s="7" t="s">
        <v>912</v>
      </c>
      <c r="B291" s="7" t="s">
        <v>972</v>
      </c>
      <c r="C291" s="7" t="s">
        <v>1247</v>
      </c>
      <c r="D291" s="7" t="s">
        <v>1249</v>
      </c>
      <c r="E291" s="7">
        <f t="shared" si="4"/>
        <v>21.799999999999997</v>
      </c>
      <c r="F291" s="7" t="s">
        <v>1248</v>
      </c>
      <c r="G291" s="7" t="s">
        <v>1244</v>
      </c>
      <c r="H291" s="7" t="s">
        <v>1250</v>
      </c>
      <c r="I291" s="10">
        <v>46047</v>
      </c>
      <c r="K291" s="7" t="s">
        <v>962</v>
      </c>
      <c r="L291" s="7" t="s">
        <v>919</v>
      </c>
      <c r="M291" s="7" t="s">
        <v>920</v>
      </c>
      <c r="N291" s="7" t="s">
        <v>921</v>
      </c>
      <c r="O291" s="7" t="s">
        <v>922</v>
      </c>
      <c r="P291" s="7" t="s">
        <v>923</v>
      </c>
      <c r="Q291" s="7" t="s">
        <v>1251</v>
      </c>
      <c r="R291" s="7" t="s">
        <v>1252</v>
      </c>
      <c r="S291" s="7" t="s">
        <v>992</v>
      </c>
      <c r="T291" s="7" t="s">
        <v>947</v>
      </c>
      <c r="U291" s="7" t="s">
        <v>947</v>
      </c>
    </row>
    <row r="292" spans="1:21" x14ac:dyDescent="0.15">
      <c r="A292" s="7" t="s">
        <v>912</v>
      </c>
      <c r="B292" s="7" t="s">
        <v>972</v>
      </c>
      <c r="C292" s="7" t="s">
        <v>1253</v>
      </c>
      <c r="D292" s="7" t="s">
        <v>1255</v>
      </c>
      <c r="E292" s="7">
        <f t="shared" si="4"/>
        <v>124.38</v>
      </c>
      <c r="F292" s="7" t="s">
        <v>1254</v>
      </c>
      <c r="G292" s="7" t="s">
        <v>1248</v>
      </c>
      <c r="H292" s="7" t="s">
        <v>1250</v>
      </c>
      <c r="I292" s="10">
        <v>46047</v>
      </c>
      <c r="K292" s="7" t="s">
        <v>962</v>
      </c>
      <c r="L292" s="7" t="s">
        <v>919</v>
      </c>
      <c r="M292" s="7" t="s">
        <v>920</v>
      </c>
      <c r="N292" s="7" t="s">
        <v>921</v>
      </c>
      <c r="O292" s="7" t="s">
        <v>922</v>
      </c>
      <c r="P292" s="7" t="s">
        <v>923</v>
      </c>
      <c r="Q292" s="7" t="s">
        <v>1256</v>
      </c>
      <c r="R292" s="7" t="s">
        <v>1257</v>
      </c>
      <c r="S292" s="7" t="s">
        <v>992</v>
      </c>
      <c r="T292" s="7" t="s">
        <v>947</v>
      </c>
      <c r="U292" s="7" t="s">
        <v>947</v>
      </c>
    </row>
    <row r="293" spans="1:21" x14ac:dyDescent="0.15">
      <c r="A293" s="7" t="s">
        <v>912</v>
      </c>
      <c r="B293" s="7" t="s">
        <v>972</v>
      </c>
      <c r="C293" s="7" t="s">
        <v>1237</v>
      </c>
      <c r="D293" s="7" t="s">
        <v>1239</v>
      </c>
      <c r="E293" s="7">
        <f t="shared" si="4"/>
        <v>238.8</v>
      </c>
      <c r="F293" s="7" t="s">
        <v>1238</v>
      </c>
      <c r="G293" s="7" t="s">
        <v>1233</v>
      </c>
      <c r="H293" s="7" t="s">
        <v>1240</v>
      </c>
      <c r="I293" s="10">
        <v>46047</v>
      </c>
      <c r="K293" s="7" t="s">
        <v>962</v>
      </c>
      <c r="L293" s="7" t="s">
        <v>919</v>
      </c>
      <c r="M293" s="7" t="s">
        <v>920</v>
      </c>
      <c r="N293" s="7" t="s">
        <v>921</v>
      </c>
      <c r="O293" s="7" t="s">
        <v>922</v>
      </c>
      <c r="P293" s="7" t="s">
        <v>923</v>
      </c>
      <c r="Q293" s="7" t="s">
        <v>1241</v>
      </c>
      <c r="R293" s="7" t="s">
        <v>1242</v>
      </c>
      <c r="S293" s="7" t="s">
        <v>1062</v>
      </c>
      <c r="T293" s="7" t="s">
        <v>947</v>
      </c>
      <c r="U293" s="7" t="s">
        <v>947</v>
      </c>
    </row>
    <row r="294" spans="1:21" x14ac:dyDescent="0.15">
      <c r="A294" s="7" t="s">
        <v>912</v>
      </c>
      <c r="B294" s="7" t="s">
        <v>972</v>
      </c>
      <c r="C294" s="7" t="s">
        <v>1243</v>
      </c>
      <c r="D294" s="7" t="s">
        <v>999</v>
      </c>
      <c r="E294" s="7">
        <f t="shared" si="4"/>
        <v>49.75</v>
      </c>
      <c r="F294" s="7" t="s">
        <v>1244</v>
      </c>
      <c r="G294" s="7" t="s">
        <v>1238</v>
      </c>
      <c r="H294" s="7" t="s">
        <v>1240</v>
      </c>
      <c r="I294" s="10">
        <v>46047</v>
      </c>
      <c r="K294" s="7" t="s">
        <v>962</v>
      </c>
      <c r="L294" s="7" t="s">
        <v>919</v>
      </c>
      <c r="M294" s="7" t="s">
        <v>920</v>
      </c>
      <c r="N294" s="7" t="s">
        <v>921</v>
      </c>
      <c r="O294" s="7" t="s">
        <v>922</v>
      </c>
      <c r="P294" s="7" t="s">
        <v>923</v>
      </c>
      <c r="Q294" s="7" t="s">
        <v>1245</v>
      </c>
      <c r="R294" s="7" t="s">
        <v>1246</v>
      </c>
      <c r="S294" s="7" t="s">
        <v>946</v>
      </c>
      <c r="T294" s="7" t="s">
        <v>947</v>
      </c>
      <c r="U294" s="7" t="s">
        <v>947</v>
      </c>
    </row>
    <row r="295" spans="1:21" x14ac:dyDescent="0.15">
      <c r="A295" s="7" t="s">
        <v>912</v>
      </c>
      <c r="B295" s="7" t="s">
        <v>972</v>
      </c>
      <c r="C295" s="7" t="s">
        <v>1226</v>
      </c>
      <c r="D295" s="7" t="s">
        <v>1228</v>
      </c>
      <c r="E295" s="7">
        <f t="shared" si="4"/>
        <v>89.55</v>
      </c>
      <c r="F295" s="7" t="s">
        <v>1227</v>
      </c>
      <c r="G295" s="7" t="s">
        <v>1221</v>
      </c>
      <c r="H295" s="7" t="s">
        <v>1229</v>
      </c>
      <c r="I295" s="10">
        <v>46047</v>
      </c>
      <c r="K295" s="7" t="s">
        <v>962</v>
      </c>
      <c r="L295" s="7" t="s">
        <v>919</v>
      </c>
      <c r="M295" s="7" t="s">
        <v>920</v>
      </c>
      <c r="N295" s="7" t="s">
        <v>921</v>
      </c>
      <c r="O295" s="7" t="s">
        <v>922</v>
      </c>
      <c r="P295" s="7" t="s">
        <v>923</v>
      </c>
      <c r="Q295" s="7" t="s">
        <v>1230</v>
      </c>
      <c r="R295" s="7" t="s">
        <v>1231</v>
      </c>
      <c r="S295" s="7" t="s">
        <v>985</v>
      </c>
      <c r="T295" s="7" t="s">
        <v>947</v>
      </c>
      <c r="U295" s="7" t="s">
        <v>947</v>
      </c>
    </row>
    <row r="296" spans="1:21" x14ac:dyDescent="0.15">
      <c r="A296" s="7" t="s">
        <v>912</v>
      </c>
      <c r="B296" s="7" t="s">
        <v>972</v>
      </c>
      <c r="C296" s="7" t="s">
        <v>1232</v>
      </c>
      <c r="D296" s="7" t="s">
        <v>1234</v>
      </c>
      <c r="E296" s="7">
        <f t="shared" si="4"/>
        <v>180.79999999999998</v>
      </c>
      <c r="F296" s="7" t="s">
        <v>1233</v>
      </c>
      <c r="G296" s="7" t="s">
        <v>1227</v>
      </c>
      <c r="H296" s="7" t="s">
        <v>1229</v>
      </c>
      <c r="I296" s="10">
        <v>46047</v>
      </c>
      <c r="K296" s="7" t="s">
        <v>962</v>
      </c>
      <c r="L296" s="7" t="s">
        <v>919</v>
      </c>
      <c r="M296" s="7" t="s">
        <v>920</v>
      </c>
      <c r="N296" s="7" t="s">
        <v>921</v>
      </c>
      <c r="O296" s="7" t="s">
        <v>922</v>
      </c>
      <c r="P296" s="7" t="s">
        <v>923</v>
      </c>
      <c r="Q296" s="7" t="s">
        <v>1235</v>
      </c>
      <c r="R296" s="7" t="s">
        <v>1236</v>
      </c>
      <c r="S296" s="7" t="s">
        <v>992</v>
      </c>
      <c r="T296" s="7" t="s">
        <v>947</v>
      </c>
      <c r="U296" s="7" t="s">
        <v>947</v>
      </c>
    </row>
    <row r="297" spans="1:21" x14ac:dyDescent="0.15">
      <c r="A297" s="7" t="s">
        <v>912</v>
      </c>
      <c r="B297" s="7" t="s">
        <v>972</v>
      </c>
      <c r="C297" s="7" t="s">
        <v>1220</v>
      </c>
      <c r="D297" s="7" t="s">
        <v>1222</v>
      </c>
      <c r="E297" s="7">
        <f t="shared" si="4"/>
        <v>196.8</v>
      </c>
      <c r="F297" s="7" t="s">
        <v>1221</v>
      </c>
      <c r="G297" s="7" t="s">
        <v>1215</v>
      </c>
      <c r="H297" s="7" t="s">
        <v>1223</v>
      </c>
      <c r="I297" s="10">
        <v>46047</v>
      </c>
      <c r="K297" s="7" t="s">
        <v>962</v>
      </c>
      <c r="L297" s="7" t="s">
        <v>919</v>
      </c>
      <c r="M297" s="7" t="s">
        <v>920</v>
      </c>
      <c r="N297" s="7" t="s">
        <v>921</v>
      </c>
      <c r="O297" s="7" t="s">
        <v>922</v>
      </c>
      <c r="P297" s="7" t="s">
        <v>923</v>
      </c>
      <c r="Q297" s="7" t="s">
        <v>1224</v>
      </c>
      <c r="R297" s="7" t="s">
        <v>1225</v>
      </c>
      <c r="S297" s="7" t="s">
        <v>953</v>
      </c>
      <c r="T297" s="7" t="s">
        <v>947</v>
      </c>
      <c r="U297" s="7" t="s">
        <v>947</v>
      </c>
    </row>
    <row r="298" spans="1:21" x14ac:dyDescent="0.15">
      <c r="A298" s="7" t="s">
        <v>912</v>
      </c>
      <c r="B298" s="7" t="s">
        <v>972</v>
      </c>
      <c r="C298" s="7" t="s">
        <v>1214</v>
      </c>
      <c r="D298" s="7" t="s">
        <v>1216</v>
      </c>
      <c r="E298" s="7">
        <f t="shared" si="4"/>
        <v>43.589999999999996</v>
      </c>
      <c r="F298" s="7" t="s">
        <v>1215</v>
      </c>
      <c r="G298" s="7" t="s">
        <v>1209</v>
      </c>
      <c r="H298" s="7" t="s">
        <v>1217</v>
      </c>
      <c r="I298" s="10">
        <v>46047</v>
      </c>
      <c r="K298" s="7" t="s">
        <v>962</v>
      </c>
      <c r="L298" s="7" t="s">
        <v>919</v>
      </c>
      <c r="M298" s="7" t="s">
        <v>920</v>
      </c>
      <c r="N298" s="7" t="s">
        <v>921</v>
      </c>
      <c r="O298" s="7" t="s">
        <v>922</v>
      </c>
      <c r="P298" s="7" t="s">
        <v>923</v>
      </c>
      <c r="Q298" s="7" t="s">
        <v>1218</v>
      </c>
      <c r="R298" s="7" t="s">
        <v>1219</v>
      </c>
      <c r="S298" s="7" t="s">
        <v>946</v>
      </c>
      <c r="T298" s="7" t="s">
        <v>947</v>
      </c>
      <c r="U298" s="7" t="s">
        <v>947</v>
      </c>
    </row>
    <row r="299" spans="1:21" x14ac:dyDescent="0.15">
      <c r="A299" s="7" t="s">
        <v>912</v>
      </c>
      <c r="B299" s="7" t="s">
        <v>972</v>
      </c>
      <c r="C299" s="7" t="s">
        <v>1208</v>
      </c>
      <c r="D299" s="7" t="s">
        <v>1210</v>
      </c>
      <c r="E299" s="7">
        <f t="shared" si="4"/>
        <v>74.63</v>
      </c>
      <c r="F299" s="7" t="s">
        <v>1209</v>
      </c>
      <c r="G299" s="7" t="s">
        <v>1203</v>
      </c>
      <c r="H299" s="7" t="s">
        <v>1211</v>
      </c>
      <c r="I299" s="10">
        <v>46047</v>
      </c>
      <c r="K299" s="7" t="s">
        <v>962</v>
      </c>
      <c r="L299" s="7" t="s">
        <v>919</v>
      </c>
      <c r="M299" s="7" t="s">
        <v>920</v>
      </c>
      <c r="N299" s="7" t="s">
        <v>921</v>
      </c>
      <c r="O299" s="7" t="s">
        <v>922</v>
      </c>
      <c r="P299" s="7" t="s">
        <v>923</v>
      </c>
      <c r="Q299" s="7" t="s">
        <v>1212</v>
      </c>
      <c r="R299" s="7" t="s">
        <v>1213</v>
      </c>
      <c r="S299" s="7" t="s">
        <v>1062</v>
      </c>
      <c r="T299" s="7" t="s">
        <v>947</v>
      </c>
      <c r="U299" s="7" t="s">
        <v>947</v>
      </c>
    </row>
    <row r="300" spans="1:21" x14ac:dyDescent="0.15">
      <c r="A300" s="7" t="s">
        <v>912</v>
      </c>
      <c r="B300" s="7" t="s">
        <v>972</v>
      </c>
      <c r="C300" s="7" t="s">
        <v>1202</v>
      </c>
      <c r="D300" s="7" t="s">
        <v>1204</v>
      </c>
      <c r="E300" s="7">
        <f t="shared" si="4"/>
        <v>39.799999999999997</v>
      </c>
      <c r="F300" s="7" t="s">
        <v>1203</v>
      </c>
      <c r="G300" s="7" t="s">
        <v>1201</v>
      </c>
      <c r="H300" s="7" t="s">
        <v>1205</v>
      </c>
      <c r="I300" s="10">
        <v>46047</v>
      </c>
      <c r="K300" s="7" t="s">
        <v>962</v>
      </c>
      <c r="L300" s="7" t="s">
        <v>919</v>
      </c>
      <c r="M300" s="7" t="s">
        <v>920</v>
      </c>
      <c r="N300" s="7" t="s">
        <v>921</v>
      </c>
      <c r="O300" s="7" t="s">
        <v>922</v>
      </c>
      <c r="P300" s="7" t="s">
        <v>923</v>
      </c>
      <c r="Q300" s="7" t="s">
        <v>1206</v>
      </c>
      <c r="R300" s="7" t="s">
        <v>1207</v>
      </c>
      <c r="S300" s="7" t="s">
        <v>992</v>
      </c>
      <c r="T300" s="7" t="s">
        <v>947</v>
      </c>
      <c r="U300" s="7" t="s">
        <v>947</v>
      </c>
    </row>
    <row r="301" spans="1:21" x14ac:dyDescent="0.15">
      <c r="A301" s="7" t="s">
        <v>912</v>
      </c>
      <c r="B301" s="7" t="s">
        <v>913</v>
      </c>
      <c r="C301" s="7" t="s">
        <v>495</v>
      </c>
      <c r="D301" s="7" t="s">
        <v>916</v>
      </c>
      <c r="E301" s="7">
        <f t="shared" si="4"/>
        <v>339.56</v>
      </c>
      <c r="F301" s="7" t="s">
        <v>1196</v>
      </c>
      <c r="G301" s="7" t="s">
        <v>1191</v>
      </c>
      <c r="H301" s="7" t="s">
        <v>1197</v>
      </c>
      <c r="I301" s="10">
        <v>46047</v>
      </c>
      <c r="K301" s="7" t="s">
        <v>918</v>
      </c>
      <c r="L301" s="7" t="s">
        <v>919</v>
      </c>
      <c r="M301" s="7" t="s">
        <v>920</v>
      </c>
      <c r="N301" s="7" t="s">
        <v>921</v>
      </c>
      <c r="O301" s="7" t="s">
        <v>922</v>
      </c>
      <c r="P301" s="7" t="s">
        <v>923</v>
      </c>
      <c r="Q301" s="7" t="s">
        <v>924</v>
      </c>
      <c r="R301" s="7" t="s">
        <v>925</v>
      </c>
      <c r="S301" s="7" t="s">
        <v>926</v>
      </c>
      <c r="T301" s="7" t="s">
        <v>922</v>
      </c>
      <c r="U301" s="7" t="s">
        <v>927</v>
      </c>
    </row>
    <row r="302" spans="1:21" x14ac:dyDescent="0.15">
      <c r="A302" s="7" t="s">
        <v>912</v>
      </c>
      <c r="B302" s="7" t="s">
        <v>913</v>
      </c>
      <c r="C302" s="7" t="s">
        <v>719</v>
      </c>
      <c r="D302" s="7" t="s">
        <v>916</v>
      </c>
      <c r="E302" s="7">
        <f t="shared" si="4"/>
        <v>186.64</v>
      </c>
      <c r="F302" s="7" t="s">
        <v>1198</v>
      </c>
      <c r="G302" s="7" t="s">
        <v>1196</v>
      </c>
      <c r="H302" s="7" t="s">
        <v>1197</v>
      </c>
      <c r="I302" s="10">
        <v>46047</v>
      </c>
      <c r="K302" s="7" t="s">
        <v>918</v>
      </c>
      <c r="L302" s="7" t="s">
        <v>919</v>
      </c>
      <c r="M302" s="7" t="s">
        <v>920</v>
      </c>
      <c r="N302" s="7" t="s">
        <v>921</v>
      </c>
      <c r="O302" s="7" t="s">
        <v>922</v>
      </c>
      <c r="P302" s="7" t="s">
        <v>923</v>
      </c>
      <c r="Q302" s="7" t="s">
        <v>924</v>
      </c>
      <c r="R302" s="7" t="s">
        <v>925</v>
      </c>
      <c r="S302" s="7" t="s">
        <v>926</v>
      </c>
      <c r="T302" s="7" t="s">
        <v>922</v>
      </c>
      <c r="U302" s="7" t="s">
        <v>927</v>
      </c>
    </row>
    <row r="303" spans="1:21" x14ac:dyDescent="0.15">
      <c r="A303" s="7" t="s">
        <v>912</v>
      </c>
      <c r="B303" s="7" t="s">
        <v>913</v>
      </c>
      <c r="C303" s="7" t="s">
        <v>735</v>
      </c>
      <c r="D303" s="7" t="s">
        <v>916</v>
      </c>
      <c r="E303" s="7">
        <f t="shared" si="4"/>
        <v>21.46</v>
      </c>
      <c r="F303" s="7" t="s">
        <v>1199</v>
      </c>
      <c r="G303" s="7" t="s">
        <v>1198</v>
      </c>
      <c r="H303" s="7" t="s">
        <v>1197</v>
      </c>
      <c r="I303" s="10">
        <v>46047</v>
      </c>
      <c r="K303" s="7" t="s">
        <v>918</v>
      </c>
      <c r="L303" s="7" t="s">
        <v>919</v>
      </c>
      <c r="M303" s="7" t="s">
        <v>920</v>
      </c>
      <c r="N303" s="7" t="s">
        <v>921</v>
      </c>
      <c r="O303" s="7" t="s">
        <v>922</v>
      </c>
      <c r="P303" s="7" t="s">
        <v>923</v>
      </c>
      <c r="Q303" s="7" t="s">
        <v>924</v>
      </c>
      <c r="R303" s="7" t="s">
        <v>925</v>
      </c>
      <c r="S303" s="7" t="s">
        <v>926</v>
      </c>
      <c r="T303" s="7" t="s">
        <v>922</v>
      </c>
      <c r="U303" s="7" t="s">
        <v>927</v>
      </c>
    </row>
    <row r="304" spans="1:21" x14ac:dyDescent="0.15">
      <c r="A304" s="7" t="s">
        <v>912</v>
      </c>
      <c r="B304" s="7" t="s">
        <v>913</v>
      </c>
      <c r="C304" s="7" t="s">
        <v>242</v>
      </c>
      <c r="D304" s="7" t="s">
        <v>916</v>
      </c>
      <c r="E304" s="7">
        <f t="shared" si="4"/>
        <v>281.7</v>
      </c>
      <c r="F304" s="7" t="s">
        <v>1200</v>
      </c>
      <c r="G304" s="7" t="s">
        <v>1199</v>
      </c>
      <c r="H304" s="7" t="s">
        <v>1197</v>
      </c>
      <c r="I304" s="10">
        <v>46047</v>
      </c>
      <c r="K304" s="7" t="s">
        <v>918</v>
      </c>
      <c r="L304" s="7" t="s">
        <v>919</v>
      </c>
      <c r="M304" s="7" t="s">
        <v>920</v>
      </c>
      <c r="N304" s="7" t="s">
        <v>921</v>
      </c>
      <c r="O304" s="7" t="s">
        <v>922</v>
      </c>
      <c r="P304" s="7" t="s">
        <v>923</v>
      </c>
      <c r="Q304" s="7" t="s">
        <v>924</v>
      </c>
      <c r="R304" s="7" t="s">
        <v>925</v>
      </c>
      <c r="S304" s="7" t="s">
        <v>926</v>
      </c>
      <c r="T304" s="7" t="s">
        <v>922</v>
      </c>
      <c r="U304" s="7" t="s">
        <v>927</v>
      </c>
    </row>
    <row r="305" spans="1:21" x14ac:dyDescent="0.15">
      <c r="A305" s="7" t="s">
        <v>912</v>
      </c>
      <c r="B305" s="7" t="s">
        <v>913</v>
      </c>
      <c r="C305" s="7" t="s">
        <v>289</v>
      </c>
      <c r="D305" s="7" t="s">
        <v>916</v>
      </c>
      <c r="E305" s="7">
        <f t="shared" si="4"/>
        <v>300.07</v>
      </c>
      <c r="F305" s="7" t="s">
        <v>1201</v>
      </c>
      <c r="G305" s="7" t="s">
        <v>1200</v>
      </c>
      <c r="H305" s="7" t="s">
        <v>1197</v>
      </c>
      <c r="I305" s="10">
        <v>46047</v>
      </c>
      <c r="K305" s="7" t="s">
        <v>918</v>
      </c>
      <c r="L305" s="7" t="s">
        <v>919</v>
      </c>
      <c r="M305" s="7" t="s">
        <v>920</v>
      </c>
      <c r="N305" s="7" t="s">
        <v>921</v>
      </c>
      <c r="O305" s="7" t="s">
        <v>922</v>
      </c>
      <c r="P305" s="7" t="s">
        <v>923</v>
      </c>
      <c r="Q305" s="7" t="s">
        <v>924</v>
      </c>
      <c r="R305" s="7" t="s">
        <v>925</v>
      </c>
      <c r="S305" s="7" t="s">
        <v>926</v>
      </c>
      <c r="T305" s="7" t="s">
        <v>922</v>
      </c>
      <c r="U305" s="7" t="s">
        <v>927</v>
      </c>
    </row>
    <row r="306" spans="1:21" x14ac:dyDescent="0.15">
      <c r="A306" s="7" t="s">
        <v>912</v>
      </c>
      <c r="B306" s="7" t="s">
        <v>972</v>
      </c>
      <c r="C306" s="7" t="s">
        <v>1190</v>
      </c>
      <c r="D306" s="7" t="s">
        <v>1192</v>
      </c>
      <c r="E306" s="7">
        <f t="shared" si="4"/>
        <v>139.24</v>
      </c>
      <c r="F306" s="7" t="s">
        <v>1191</v>
      </c>
      <c r="G306" s="7" t="s">
        <v>1189</v>
      </c>
      <c r="H306" s="7" t="s">
        <v>1193</v>
      </c>
      <c r="I306" s="10">
        <v>46047</v>
      </c>
      <c r="K306" s="7" t="s">
        <v>962</v>
      </c>
      <c r="L306" s="7" t="s">
        <v>919</v>
      </c>
      <c r="M306" s="7" t="s">
        <v>920</v>
      </c>
      <c r="N306" s="7" t="s">
        <v>921</v>
      </c>
      <c r="O306" s="7" t="s">
        <v>922</v>
      </c>
      <c r="P306" s="7" t="s">
        <v>923</v>
      </c>
      <c r="Q306" s="7" t="s">
        <v>1194</v>
      </c>
      <c r="R306" s="7" t="s">
        <v>1195</v>
      </c>
      <c r="S306" s="7" t="s">
        <v>958</v>
      </c>
      <c r="T306" s="7" t="s">
        <v>947</v>
      </c>
      <c r="U306" s="7" t="s">
        <v>947</v>
      </c>
    </row>
    <row r="307" spans="1:21" x14ac:dyDescent="0.15">
      <c r="A307" s="7" t="s">
        <v>912</v>
      </c>
      <c r="B307" s="7" t="s">
        <v>913</v>
      </c>
      <c r="C307" s="7" t="s">
        <v>664</v>
      </c>
      <c r="D307" s="7" t="s">
        <v>916</v>
      </c>
      <c r="E307" s="7">
        <f t="shared" si="4"/>
        <v>339.57</v>
      </c>
      <c r="F307" s="7" t="s">
        <v>1183</v>
      </c>
      <c r="G307" s="7" t="s">
        <v>1179</v>
      </c>
      <c r="H307" s="7" t="s">
        <v>1184</v>
      </c>
      <c r="I307" s="10">
        <v>46047</v>
      </c>
      <c r="K307" s="7" t="s">
        <v>918</v>
      </c>
      <c r="L307" s="7" t="s">
        <v>919</v>
      </c>
      <c r="M307" s="7" t="s">
        <v>920</v>
      </c>
      <c r="N307" s="7" t="s">
        <v>921</v>
      </c>
      <c r="O307" s="7" t="s">
        <v>922</v>
      </c>
      <c r="P307" s="7" t="s">
        <v>923</v>
      </c>
      <c r="Q307" s="7" t="s">
        <v>924</v>
      </c>
      <c r="R307" s="7" t="s">
        <v>925</v>
      </c>
      <c r="S307" s="7" t="s">
        <v>926</v>
      </c>
      <c r="T307" s="7" t="s">
        <v>922</v>
      </c>
      <c r="U307" s="7" t="s">
        <v>927</v>
      </c>
    </row>
    <row r="308" spans="1:21" x14ac:dyDescent="0.15">
      <c r="A308" s="7" t="s">
        <v>912</v>
      </c>
      <c r="B308" s="7" t="s">
        <v>913</v>
      </c>
      <c r="C308" s="7" t="s">
        <v>169</v>
      </c>
      <c r="D308" s="7" t="s">
        <v>916</v>
      </c>
      <c r="E308" s="7">
        <f t="shared" si="4"/>
        <v>1114.77</v>
      </c>
      <c r="F308" s="7" t="s">
        <v>1185</v>
      </c>
      <c r="G308" s="7" t="s">
        <v>1183</v>
      </c>
      <c r="H308" s="7" t="s">
        <v>1184</v>
      </c>
      <c r="I308" s="10">
        <v>46047</v>
      </c>
      <c r="K308" s="7" t="s">
        <v>918</v>
      </c>
      <c r="L308" s="7" t="s">
        <v>919</v>
      </c>
      <c r="M308" s="7" t="s">
        <v>920</v>
      </c>
      <c r="N308" s="7" t="s">
        <v>921</v>
      </c>
      <c r="O308" s="7" t="s">
        <v>922</v>
      </c>
      <c r="P308" s="7" t="s">
        <v>923</v>
      </c>
      <c r="Q308" s="7" t="s">
        <v>924</v>
      </c>
      <c r="R308" s="7" t="s">
        <v>925</v>
      </c>
      <c r="S308" s="7" t="s">
        <v>926</v>
      </c>
      <c r="T308" s="7" t="s">
        <v>922</v>
      </c>
      <c r="U308" s="7" t="s">
        <v>927</v>
      </c>
    </row>
    <row r="309" spans="1:21" x14ac:dyDescent="0.15">
      <c r="A309" s="7" t="s">
        <v>912</v>
      </c>
      <c r="B309" s="7" t="s">
        <v>913</v>
      </c>
      <c r="C309" s="7" t="s">
        <v>316</v>
      </c>
      <c r="D309" s="7" t="s">
        <v>916</v>
      </c>
      <c r="E309" s="7">
        <f t="shared" si="4"/>
        <v>305.82</v>
      </c>
      <c r="F309" s="7" t="s">
        <v>1186</v>
      </c>
      <c r="G309" s="7" t="s">
        <v>1185</v>
      </c>
      <c r="H309" s="7" t="s">
        <v>1184</v>
      </c>
      <c r="I309" s="10">
        <v>46047</v>
      </c>
      <c r="K309" s="7" t="s">
        <v>918</v>
      </c>
      <c r="L309" s="7" t="s">
        <v>919</v>
      </c>
      <c r="M309" s="7" t="s">
        <v>920</v>
      </c>
      <c r="N309" s="7" t="s">
        <v>921</v>
      </c>
      <c r="O309" s="7" t="s">
        <v>922</v>
      </c>
      <c r="P309" s="7" t="s">
        <v>923</v>
      </c>
      <c r="Q309" s="7" t="s">
        <v>924</v>
      </c>
      <c r="R309" s="7" t="s">
        <v>925</v>
      </c>
      <c r="S309" s="7" t="s">
        <v>926</v>
      </c>
      <c r="T309" s="7" t="s">
        <v>922</v>
      </c>
      <c r="U309" s="7" t="s">
        <v>927</v>
      </c>
    </row>
    <row r="310" spans="1:21" x14ac:dyDescent="0.15">
      <c r="A310" s="7" t="s">
        <v>912</v>
      </c>
      <c r="B310" s="7" t="s">
        <v>913</v>
      </c>
      <c r="C310" s="7" t="s">
        <v>276</v>
      </c>
      <c r="D310" s="7" t="s">
        <v>916</v>
      </c>
      <c r="E310" s="7">
        <f t="shared" si="4"/>
        <v>10.73</v>
      </c>
      <c r="F310" s="7" t="s">
        <v>1187</v>
      </c>
      <c r="G310" s="7" t="s">
        <v>1186</v>
      </c>
      <c r="H310" s="7" t="s">
        <v>1184</v>
      </c>
      <c r="I310" s="10">
        <v>46047</v>
      </c>
      <c r="K310" s="7" t="s">
        <v>918</v>
      </c>
      <c r="L310" s="7" t="s">
        <v>919</v>
      </c>
      <c r="M310" s="7" t="s">
        <v>920</v>
      </c>
      <c r="N310" s="7" t="s">
        <v>921</v>
      </c>
      <c r="O310" s="7" t="s">
        <v>922</v>
      </c>
      <c r="P310" s="7" t="s">
        <v>923</v>
      </c>
      <c r="Q310" s="7" t="s">
        <v>924</v>
      </c>
      <c r="R310" s="7" t="s">
        <v>925</v>
      </c>
      <c r="S310" s="7" t="s">
        <v>926</v>
      </c>
      <c r="T310" s="7" t="s">
        <v>922</v>
      </c>
      <c r="U310" s="7" t="s">
        <v>927</v>
      </c>
    </row>
    <row r="311" spans="1:21" x14ac:dyDescent="0.15">
      <c r="A311" s="7" t="s">
        <v>912</v>
      </c>
      <c r="B311" s="7" t="s">
        <v>913</v>
      </c>
      <c r="C311" s="7" t="s">
        <v>801</v>
      </c>
      <c r="D311" s="7" t="s">
        <v>916</v>
      </c>
      <c r="E311" s="7">
        <f t="shared" si="4"/>
        <v>816.69</v>
      </c>
      <c r="F311" s="7" t="s">
        <v>1188</v>
      </c>
      <c r="G311" s="7" t="s">
        <v>1187</v>
      </c>
      <c r="H311" s="7" t="s">
        <v>1184</v>
      </c>
      <c r="I311" s="10">
        <v>46047</v>
      </c>
      <c r="K311" s="7" t="s">
        <v>918</v>
      </c>
      <c r="L311" s="7" t="s">
        <v>919</v>
      </c>
      <c r="M311" s="7" t="s">
        <v>920</v>
      </c>
      <c r="N311" s="7" t="s">
        <v>921</v>
      </c>
      <c r="O311" s="7" t="s">
        <v>922</v>
      </c>
      <c r="P311" s="7" t="s">
        <v>923</v>
      </c>
      <c r="Q311" s="7" t="s">
        <v>924</v>
      </c>
      <c r="R311" s="7" t="s">
        <v>925</v>
      </c>
      <c r="S311" s="7" t="s">
        <v>926</v>
      </c>
      <c r="T311" s="7" t="s">
        <v>922</v>
      </c>
      <c r="U311" s="7" t="s">
        <v>927</v>
      </c>
    </row>
    <row r="312" spans="1:21" x14ac:dyDescent="0.15">
      <c r="A312" s="7" t="s">
        <v>912</v>
      </c>
      <c r="B312" s="7" t="s">
        <v>913</v>
      </c>
      <c r="C312" s="7" t="s">
        <v>822</v>
      </c>
      <c r="D312" s="7" t="s">
        <v>916</v>
      </c>
      <c r="E312" s="7">
        <f t="shared" si="4"/>
        <v>84.91</v>
      </c>
      <c r="F312" s="7" t="s">
        <v>1189</v>
      </c>
      <c r="G312" s="7" t="s">
        <v>1188</v>
      </c>
      <c r="H312" s="7" t="s">
        <v>1184</v>
      </c>
      <c r="I312" s="10">
        <v>46047</v>
      </c>
      <c r="K312" s="7" t="s">
        <v>918</v>
      </c>
      <c r="L312" s="7" t="s">
        <v>919</v>
      </c>
      <c r="M312" s="7" t="s">
        <v>920</v>
      </c>
      <c r="N312" s="7" t="s">
        <v>921</v>
      </c>
      <c r="O312" s="7" t="s">
        <v>922</v>
      </c>
      <c r="P312" s="7" t="s">
        <v>923</v>
      </c>
      <c r="Q312" s="7" t="s">
        <v>924</v>
      </c>
      <c r="R312" s="7" t="s">
        <v>925</v>
      </c>
      <c r="S312" s="7" t="s">
        <v>926</v>
      </c>
      <c r="T312" s="7" t="s">
        <v>922</v>
      </c>
      <c r="U312" s="7" t="s">
        <v>927</v>
      </c>
    </row>
    <row r="313" spans="1:21" x14ac:dyDescent="0.15">
      <c r="A313" s="7" t="s">
        <v>948</v>
      </c>
      <c r="B313" s="7" t="s">
        <v>940</v>
      </c>
      <c r="C313" s="7" t="s">
        <v>253</v>
      </c>
      <c r="D313" s="7">
        <v>0</v>
      </c>
      <c r="E313" s="7">
        <f t="shared" si="4"/>
        <v>-1000</v>
      </c>
      <c r="F313" s="7" t="s">
        <v>1179</v>
      </c>
      <c r="G313" s="7" t="s">
        <v>1173</v>
      </c>
      <c r="H313" s="7" t="s">
        <v>1180</v>
      </c>
      <c r="I313" s="10">
        <v>46048</v>
      </c>
      <c r="K313" s="7" t="s">
        <v>951</v>
      </c>
      <c r="L313" s="7" t="s">
        <v>1181</v>
      </c>
      <c r="M313" s="7" t="s">
        <v>1182</v>
      </c>
      <c r="N313" s="7" t="s">
        <v>953</v>
      </c>
      <c r="O313" s="7" t="s">
        <v>947</v>
      </c>
      <c r="P313" s="7" t="s">
        <v>947</v>
      </c>
      <c r="Q313" s="7" t="s">
        <v>919</v>
      </c>
      <c r="R313" s="7" t="s">
        <v>920</v>
      </c>
      <c r="S313" s="7" t="s">
        <v>921</v>
      </c>
      <c r="T313" s="7" t="s">
        <v>922</v>
      </c>
      <c r="U313" s="7" t="s">
        <v>923</v>
      </c>
    </row>
    <row r="314" spans="1:21" x14ac:dyDescent="0.15">
      <c r="A314" s="7" t="s">
        <v>912</v>
      </c>
      <c r="B314" s="7" t="s">
        <v>972</v>
      </c>
      <c r="C314" s="7" t="s">
        <v>1172</v>
      </c>
      <c r="D314" s="7" t="s">
        <v>1174</v>
      </c>
      <c r="E314" s="7">
        <f t="shared" si="4"/>
        <v>19.86</v>
      </c>
      <c r="F314" s="7" t="s">
        <v>1173</v>
      </c>
      <c r="G314" s="7" t="s">
        <v>1168</v>
      </c>
      <c r="H314" s="7" t="s">
        <v>1175</v>
      </c>
      <c r="I314" s="10">
        <v>46048</v>
      </c>
      <c r="K314" s="7" t="s">
        <v>962</v>
      </c>
      <c r="L314" s="7" t="s">
        <v>919</v>
      </c>
      <c r="M314" s="7" t="s">
        <v>920</v>
      </c>
      <c r="N314" s="7" t="s">
        <v>921</v>
      </c>
      <c r="O314" s="7" t="s">
        <v>922</v>
      </c>
      <c r="P314" s="7" t="s">
        <v>923</v>
      </c>
      <c r="Q314" s="7" t="s">
        <v>1176</v>
      </c>
      <c r="R314" s="7" t="s">
        <v>1177</v>
      </c>
      <c r="S314" s="7" t="s">
        <v>1178</v>
      </c>
      <c r="T314" s="7" t="s">
        <v>947</v>
      </c>
      <c r="U314" s="7" t="s">
        <v>947</v>
      </c>
    </row>
    <row r="315" spans="1:21" x14ac:dyDescent="0.15">
      <c r="A315" s="7" t="s">
        <v>912</v>
      </c>
      <c r="B315" s="7" t="s">
        <v>972</v>
      </c>
      <c r="C315" s="7" t="s">
        <v>979</v>
      </c>
      <c r="D315" s="7" t="s">
        <v>981</v>
      </c>
      <c r="E315" s="7">
        <f t="shared" si="4"/>
        <v>59.61</v>
      </c>
      <c r="F315" s="7" t="s">
        <v>1168</v>
      </c>
      <c r="G315" s="7" t="s">
        <v>1164</v>
      </c>
      <c r="H315" s="7" t="s">
        <v>1169</v>
      </c>
      <c r="I315" s="10">
        <v>46048</v>
      </c>
      <c r="K315" s="7" t="s">
        <v>962</v>
      </c>
      <c r="L315" s="7" t="s">
        <v>919</v>
      </c>
      <c r="M315" s="7" t="s">
        <v>920</v>
      </c>
      <c r="N315" s="7" t="s">
        <v>921</v>
      </c>
      <c r="O315" s="7" t="s">
        <v>922</v>
      </c>
      <c r="P315" s="7" t="s">
        <v>923</v>
      </c>
      <c r="Q315" s="7" t="s">
        <v>1170</v>
      </c>
      <c r="R315" s="7" t="s">
        <v>1171</v>
      </c>
      <c r="S315" s="7" t="s">
        <v>1016</v>
      </c>
      <c r="T315" s="7" t="s">
        <v>947</v>
      </c>
      <c r="U315" s="7" t="s">
        <v>947</v>
      </c>
    </row>
    <row r="316" spans="1:21" x14ac:dyDescent="0.15">
      <c r="A316" s="7" t="s">
        <v>912</v>
      </c>
      <c r="B316" s="7" t="s">
        <v>972</v>
      </c>
      <c r="C316" s="7" t="s">
        <v>1136</v>
      </c>
      <c r="D316" s="7" t="s">
        <v>1106</v>
      </c>
      <c r="E316" s="7">
        <f t="shared" si="4"/>
        <v>54.629999999999995</v>
      </c>
      <c r="F316" s="7" t="s">
        <v>1164</v>
      </c>
      <c r="G316" s="7" t="s">
        <v>1159</v>
      </c>
      <c r="H316" s="7" t="s">
        <v>1165</v>
      </c>
      <c r="I316" s="10">
        <v>46048</v>
      </c>
      <c r="K316" s="7" t="s">
        <v>962</v>
      </c>
      <c r="L316" s="7" t="s">
        <v>919</v>
      </c>
      <c r="M316" s="7" t="s">
        <v>920</v>
      </c>
      <c r="N316" s="7" t="s">
        <v>921</v>
      </c>
      <c r="O316" s="7" t="s">
        <v>922</v>
      </c>
      <c r="P316" s="7" t="s">
        <v>923</v>
      </c>
      <c r="Q316" s="7" t="s">
        <v>1166</v>
      </c>
      <c r="R316" s="7" t="s">
        <v>1167</v>
      </c>
      <c r="S316" s="7" t="s">
        <v>985</v>
      </c>
      <c r="T316" s="7" t="s">
        <v>947</v>
      </c>
      <c r="U316" s="7" t="s">
        <v>947</v>
      </c>
    </row>
    <row r="317" spans="1:21" x14ac:dyDescent="0.15">
      <c r="A317" s="7" t="s">
        <v>912</v>
      </c>
      <c r="B317" s="7" t="s">
        <v>972</v>
      </c>
      <c r="C317" s="7" t="s">
        <v>1158</v>
      </c>
      <c r="D317" s="7" t="s">
        <v>1160</v>
      </c>
      <c r="E317" s="7">
        <f t="shared" si="4"/>
        <v>223.71</v>
      </c>
      <c r="F317" s="7" t="s">
        <v>1159</v>
      </c>
      <c r="G317" s="7" t="s">
        <v>1154</v>
      </c>
      <c r="H317" s="7" t="s">
        <v>1161</v>
      </c>
      <c r="I317" s="10">
        <v>46048</v>
      </c>
      <c r="K317" s="7" t="s">
        <v>962</v>
      </c>
      <c r="L317" s="7" t="s">
        <v>919</v>
      </c>
      <c r="M317" s="7" t="s">
        <v>920</v>
      </c>
      <c r="N317" s="7" t="s">
        <v>921</v>
      </c>
      <c r="O317" s="7" t="s">
        <v>922</v>
      </c>
      <c r="P317" s="7" t="s">
        <v>923</v>
      </c>
      <c r="Q317" s="7" t="s">
        <v>1162</v>
      </c>
      <c r="R317" s="7" t="s">
        <v>1163</v>
      </c>
      <c r="S317" s="7" t="s">
        <v>1016</v>
      </c>
      <c r="T317" s="7" t="s">
        <v>947</v>
      </c>
      <c r="U317" s="7" t="s">
        <v>947</v>
      </c>
    </row>
    <row r="318" spans="1:21" x14ac:dyDescent="0.15">
      <c r="A318" s="7" t="s">
        <v>912</v>
      </c>
      <c r="B318" s="7" t="s">
        <v>972</v>
      </c>
      <c r="C318" s="7" t="s">
        <v>1034</v>
      </c>
      <c r="D318" s="7" t="s">
        <v>1036</v>
      </c>
      <c r="E318" s="7">
        <f t="shared" si="4"/>
        <v>10.899999999999999</v>
      </c>
      <c r="F318" s="7" t="s">
        <v>1154</v>
      </c>
      <c r="G318" s="7" t="s">
        <v>1153</v>
      </c>
      <c r="H318" s="7" t="s">
        <v>1155</v>
      </c>
      <c r="I318" s="10">
        <v>46048</v>
      </c>
      <c r="K318" s="7" t="s">
        <v>962</v>
      </c>
      <c r="L318" s="7" t="s">
        <v>919</v>
      </c>
      <c r="M318" s="7" t="s">
        <v>920</v>
      </c>
      <c r="N318" s="7" t="s">
        <v>921</v>
      </c>
      <c r="O318" s="7" t="s">
        <v>922</v>
      </c>
      <c r="P318" s="7" t="s">
        <v>923</v>
      </c>
      <c r="Q318" s="7" t="s">
        <v>1156</v>
      </c>
      <c r="R318" s="7" t="s">
        <v>1157</v>
      </c>
      <c r="S318" s="7" t="s">
        <v>1062</v>
      </c>
      <c r="T318" s="7" t="s">
        <v>947</v>
      </c>
      <c r="U318" s="7" t="s">
        <v>947</v>
      </c>
    </row>
    <row r="319" spans="1:21" x14ac:dyDescent="0.15">
      <c r="A319" s="7" t="s">
        <v>912</v>
      </c>
      <c r="B319" s="7" t="s">
        <v>913</v>
      </c>
      <c r="C319" s="7" t="s">
        <v>335</v>
      </c>
      <c r="D319" s="7" t="s">
        <v>916</v>
      </c>
      <c r="E319" s="7">
        <f t="shared" si="4"/>
        <v>277.27</v>
      </c>
      <c r="F319" s="7" t="s">
        <v>1147</v>
      </c>
      <c r="G319" s="7" t="s">
        <v>1142</v>
      </c>
      <c r="H319" s="7" t="s">
        <v>1148</v>
      </c>
      <c r="I319" s="10">
        <v>46048</v>
      </c>
      <c r="K319" s="7" t="s">
        <v>918</v>
      </c>
      <c r="L319" s="7" t="s">
        <v>919</v>
      </c>
      <c r="M319" s="7" t="s">
        <v>920</v>
      </c>
      <c r="N319" s="7" t="s">
        <v>921</v>
      </c>
      <c r="O319" s="7" t="s">
        <v>922</v>
      </c>
      <c r="P319" s="7" t="s">
        <v>923</v>
      </c>
      <c r="Q319" s="7" t="s">
        <v>924</v>
      </c>
      <c r="R319" s="7" t="s">
        <v>925</v>
      </c>
      <c r="S319" s="7" t="s">
        <v>926</v>
      </c>
      <c r="T319" s="7" t="s">
        <v>922</v>
      </c>
      <c r="U319" s="7" t="s">
        <v>927</v>
      </c>
    </row>
    <row r="320" spans="1:21" x14ac:dyDescent="0.15">
      <c r="A320" s="7" t="s">
        <v>912</v>
      </c>
      <c r="B320" s="7" t="s">
        <v>913</v>
      </c>
      <c r="C320" s="7" t="s">
        <v>324</v>
      </c>
      <c r="D320" s="7" t="s">
        <v>916</v>
      </c>
      <c r="E320" s="7">
        <f t="shared" si="4"/>
        <v>167.14</v>
      </c>
      <c r="F320" s="7" t="s">
        <v>1149</v>
      </c>
      <c r="G320" s="7" t="s">
        <v>1147</v>
      </c>
      <c r="H320" s="7" t="s">
        <v>1148</v>
      </c>
      <c r="I320" s="10">
        <v>46048</v>
      </c>
      <c r="K320" s="7" t="s">
        <v>918</v>
      </c>
      <c r="L320" s="7" t="s">
        <v>919</v>
      </c>
      <c r="M320" s="7" t="s">
        <v>920</v>
      </c>
      <c r="N320" s="7" t="s">
        <v>921</v>
      </c>
      <c r="O320" s="7" t="s">
        <v>922</v>
      </c>
      <c r="P320" s="7" t="s">
        <v>923</v>
      </c>
      <c r="Q320" s="7" t="s">
        <v>924</v>
      </c>
      <c r="R320" s="7" t="s">
        <v>925</v>
      </c>
      <c r="S320" s="7" t="s">
        <v>926</v>
      </c>
      <c r="T320" s="7" t="s">
        <v>922</v>
      </c>
      <c r="U320" s="7" t="s">
        <v>927</v>
      </c>
    </row>
    <row r="321" spans="1:21" x14ac:dyDescent="0.15">
      <c r="A321" s="7" t="s">
        <v>912</v>
      </c>
      <c r="B321" s="7" t="s">
        <v>913</v>
      </c>
      <c r="C321" s="7" t="s">
        <v>868</v>
      </c>
      <c r="D321" s="7" t="s">
        <v>916</v>
      </c>
      <c r="E321" s="7">
        <f t="shared" si="4"/>
        <v>43.08</v>
      </c>
      <c r="F321" s="7" t="s">
        <v>1150</v>
      </c>
      <c r="G321" s="7" t="s">
        <v>1149</v>
      </c>
      <c r="H321" s="7" t="s">
        <v>1148</v>
      </c>
      <c r="I321" s="10">
        <v>46048</v>
      </c>
      <c r="K321" s="7" t="s">
        <v>918</v>
      </c>
      <c r="L321" s="7" t="s">
        <v>919</v>
      </c>
      <c r="M321" s="7" t="s">
        <v>920</v>
      </c>
      <c r="N321" s="7" t="s">
        <v>921</v>
      </c>
      <c r="O321" s="7" t="s">
        <v>922</v>
      </c>
      <c r="P321" s="7" t="s">
        <v>923</v>
      </c>
      <c r="Q321" s="7" t="s">
        <v>924</v>
      </c>
      <c r="R321" s="7" t="s">
        <v>925</v>
      </c>
      <c r="S321" s="7" t="s">
        <v>926</v>
      </c>
      <c r="T321" s="7" t="s">
        <v>922</v>
      </c>
      <c r="U321" s="7" t="s">
        <v>927</v>
      </c>
    </row>
    <row r="322" spans="1:21" x14ac:dyDescent="0.15">
      <c r="A322" s="7" t="s">
        <v>912</v>
      </c>
      <c r="B322" s="7" t="s">
        <v>913</v>
      </c>
      <c r="C322" s="7" t="s">
        <v>536</v>
      </c>
      <c r="D322" s="7" t="s">
        <v>916</v>
      </c>
      <c r="E322" s="7">
        <f t="shared" ref="E322:E385" si="5">C322-D322</f>
        <v>18.190000000000001</v>
      </c>
      <c r="F322" s="7" t="s">
        <v>1151</v>
      </c>
      <c r="G322" s="7" t="s">
        <v>1150</v>
      </c>
      <c r="H322" s="7" t="s">
        <v>1148</v>
      </c>
      <c r="I322" s="10">
        <v>46048</v>
      </c>
      <c r="K322" s="7" t="s">
        <v>918</v>
      </c>
      <c r="L322" s="7" t="s">
        <v>919</v>
      </c>
      <c r="M322" s="7" t="s">
        <v>920</v>
      </c>
      <c r="N322" s="7" t="s">
        <v>921</v>
      </c>
      <c r="O322" s="7" t="s">
        <v>922</v>
      </c>
      <c r="P322" s="7" t="s">
        <v>923</v>
      </c>
      <c r="Q322" s="7" t="s">
        <v>924</v>
      </c>
      <c r="R322" s="7" t="s">
        <v>925</v>
      </c>
      <c r="S322" s="7" t="s">
        <v>926</v>
      </c>
      <c r="T322" s="7" t="s">
        <v>922</v>
      </c>
      <c r="U322" s="7" t="s">
        <v>927</v>
      </c>
    </row>
    <row r="323" spans="1:21" x14ac:dyDescent="0.15">
      <c r="A323" s="7" t="s">
        <v>912</v>
      </c>
      <c r="B323" s="7" t="s">
        <v>913</v>
      </c>
      <c r="C323" s="7" t="s">
        <v>390</v>
      </c>
      <c r="D323" s="7" t="s">
        <v>916</v>
      </c>
      <c r="E323" s="7">
        <f t="shared" si="5"/>
        <v>367.32</v>
      </c>
      <c r="F323" s="7" t="s">
        <v>1152</v>
      </c>
      <c r="G323" s="7" t="s">
        <v>1151</v>
      </c>
      <c r="H323" s="7" t="s">
        <v>1148</v>
      </c>
      <c r="I323" s="10">
        <v>46048</v>
      </c>
      <c r="K323" s="7" t="s">
        <v>918</v>
      </c>
      <c r="L323" s="7" t="s">
        <v>919</v>
      </c>
      <c r="M323" s="7" t="s">
        <v>920</v>
      </c>
      <c r="N323" s="7" t="s">
        <v>921</v>
      </c>
      <c r="O323" s="7" t="s">
        <v>922</v>
      </c>
      <c r="P323" s="7" t="s">
        <v>923</v>
      </c>
      <c r="Q323" s="7" t="s">
        <v>924</v>
      </c>
      <c r="R323" s="7" t="s">
        <v>925</v>
      </c>
      <c r="S323" s="7" t="s">
        <v>926</v>
      </c>
      <c r="T323" s="7" t="s">
        <v>922</v>
      </c>
      <c r="U323" s="7" t="s">
        <v>927</v>
      </c>
    </row>
    <row r="324" spans="1:21" x14ac:dyDescent="0.15">
      <c r="A324" s="7" t="s">
        <v>912</v>
      </c>
      <c r="B324" s="7" t="s">
        <v>913</v>
      </c>
      <c r="C324" s="7" t="s">
        <v>619</v>
      </c>
      <c r="D324" s="7" t="s">
        <v>916</v>
      </c>
      <c r="E324" s="7">
        <f t="shared" si="5"/>
        <v>15.92</v>
      </c>
      <c r="F324" s="7" t="s">
        <v>1153</v>
      </c>
      <c r="G324" s="7" t="s">
        <v>1152</v>
      </c>
      <c r="H324" s="7" t="s">
        <v>1148</v>
      </c>
      <c r="I324" s="10">
        <v>46048</v>
      </c>
      <c r="K324" s="7" t="s">
        <v>918</v>
      </c>
      <c r="L324" s="7" t="s">
        <v>919</v>
      </c>
      <c r="M324" s="7" t="s">
        <v>920</v>
      </c>
      <c r="N324" s="7" t="s">
        <v>921</v>
      </c>
      <c r="O324" s="7" t="s">
        <v>922</v>
      </c>
      <c r="P324" s="7" t="s">
        <v>923</v>
      </c>
      <c r="Q324" s="7" t="s">
        <v>924</v>
      </c>
      <c r="R324" s="7" t="s">
        <v>925</v>
      </c>
      <c r="S324" s="7" t="s">
        <v>926</v>
      </c>
      <c r="T324" s="7" t="s">
        <v>922</v>
      </c>
      <c r="U324" s="7" t="s">
        <v>927</v>
      </c>
    </row>
    <row r="325" spans="1:21" x14ac:dyDescent="0.15">
      <c r="A325" s="7" t="s">
        <v>912</v>
      </c>
      <c r="B325" s="7" t="s">
        <v>972</v>
      </c>
      <c r="C325" s="7" t="s">
        <v>1141</v>
      </c>
      <c r="D325" s="7" t="s">
        <v>1143</v>
      </c>
      <c r="E325" s="7">
        <f t="shared" si="5"/>
        <v>29.85</v>
      </c>
      <c r="F325" s="7" t="s">
        <v>1142</v>
      </c>
      <c r="G325" s="7" t="s">
        <v>1137</v>
      </c>
      <c r="H325" s="7" t="s">
        <v>1144</v>
      </c>
      <c r="I325" s="10">
        <v>46048</v>
      </c>
      <c r="K325" s="7" t="s">
        <v>962</v>
      </c>
      <c r="L325" s="7" t="s">
        <v>919</v>
      </c>
      <c r="M325" s="7" t="s">
        <v>920</v>
      </c>
      <c r="N325" s="7" t="s">
        <v>921</v>
      </c>
      <c r="O325" s="7" t="s">
        <v>922</v>
      </c>
      <c r="P325" s="7" t="s">
        <v>923</v>
      </c>
      <c r="Q325" s="7" t="s">
        <v>1145</v>
      </c>
      <c r="R325" s="7" t="s">
        <v>1146</v>
      </c>
      <c r="S325" s="7" t="s">
        <v>1033</v>
      </c>
      <c r="T325" s="7" t="s">
        <v>947</v>
      </c>
      <c r="U325" s="7" t="s">
        <v>947</v>
      </c>
    </row>
    <row r="326" spans="1:21" x14ac:dyDescent="0.15">
      <c r="A326" s="7" t="s">
        <v>912</v>
      </c>
      <c r="B326" s="7" t="s">
        <v>972</v>
      </c>
      <c r="C326" s="7" t="s">
        <v>1136</v>
      </c>
      <c r="D326" s="7" t="s">
        <v>1106</v>
      </c>
      <c r="E326" s="7">
        <f t="shared" si="5"/>
        <v>54.629999999999995</v>
      </c>
      <c r="F326" s="7" t="s">
        <v>1137</v>
      </c>
      <c r="G326" s="7" t="s">
        <v>1131</v>
      </c>
      <c r="H326" s="7" t="s">
        <v>1138</v>
      </c>
      <c r="I326" s="10">
        <v>46048</v>
      </c>
      <c r="K326" s="7" t="s">
        <v>962</v>
      </c>
      <c r="L326" s="7" t="s">
        <v>919</v>
      </c>
      <c r="M326" s="7" t="s">
        <v>920</v>
      </c>
      <c r="N326" s="7" t="s">
        <v>921</v>
      </c>
      <c r="O326" s="7" t="s">
        <v>922</v>
      </c>
      <c r="P326" s="7" t="s">
        <v>923</v>
      </c>
      <c r="Q326" s="7" t="s">
        <v>1139</v>
      </c>
      <c r="R326" s="7" t="s">
        <v>1140</v>
      </c>
      <c r="S326" s="7" t="s">
        <v>958</v>
      </c>
      <c r="T326" s="7" t="s">
        <v>947</v>
      </c>
      <c r="U326" s="7" t="s">
        <v>947</v>
      </c>
    </row>
    <row r="327" spans="1:21" x14ac:dyDescent="0.15">
      <c r="A327" s="7" t="s">
        <v>912</v>
      </c>
      <c r="B327" s="7" t="s">
        <v>972</v>
      </c>
      <c r="C327" s="7" t="s">
        <v>1130</v>
      </c>
      <c r="D327" s="7" t="s">
        <v>1132</v>
      </c>
      <c r="E327" s="7">
        <f t="shared" si="5"/>
        <v>147.07000000000002</v>
      </c>
      <c r="F327" s="7" t="s">
        <v>1131</v>
      </c>
      <c r="G327" s="7" t="s">
        <v>1129</v>
      </c>
      <c r="H327" s="7" t="s">
        <v>1133</v>
      </c>
      <c r="I327" s="10">
        <v>46048</v>
      </c>
      <c r="K327" s="7" t="s">
        <v>962</v>
      </c>
      <c r="L327" s="7" t="s">
        <v>919</v>
      </c>
      <c r="M327" s="7" t="s">
        <v>920</v>
      </c>
      <c r="N327" s="7" t="s">
        <v>921</v>
      </c>
      <c r="O327" s="7" t="s">
        <v>922</v>
      </c>
      <c r="P327" s="7" t="s">
        <v>923</v>
      </c>
      <c r="Q327" s="7" t="s">
        <v>1134</v>
      </c>
      <c r="R327" s="7" t="s">
        <v>1135</v>
      </c>
      <c r="S327" s="7" t="s">
        <v>1016</v>
      </c>
      <c r="T327" s="7" t="s">
        <v>947</v>
      </c>
      <c r="U327" s="7" t="s">
        <v>947</v>
      </c>
    </row>
    <row r="328" spans="1:21" x14ac:dyDescent="0.15">
      <c r="A328" s="7" t="s">
        <v>912</v>
      </c>
      <c r="B328" s="7" t="s">
        <v>913</v>
      </c>
      <c r="C328" s="7" t="s">
        <v>816</v>
      </c>
      <c r="D328" s="7" t="s">
        <v>916</v>
      </c>
      <c r="E328" s="7">
        <f t="shared" si="5"/>
        <v>1404.9</v>
      </c>
      <c r="F328" s="7" t="s">
        <v>1125</v>
      </c>
      <c r="G328" s="7" t="s">
        <v>1121</v>
      </c>
      <c r="H328" s="7" t="s">
        <v>1126</v>
      </c>
      <c r="I328" s="10">
        <v>46048</v>
      </c>
      <c r="K328" s="7" t="s">
        <v>918</v>
      </c>
      <c r="L328" s="7" t="s">
        <v>919</v>
      </c>
      <c r="M328" s="7" t="s">
        <v>920</v>
      </c>
      <c r="N328" s="7" t="s">
        <v>921</v>
      </c>
      <c r="O328" s="7" t="s">
        <v>922</v>
      </c>
      <c r="P328" s="7" t="s">
        <v>923</v>
      </c>
      <c r="Q328" s="7" t="s">
        <v>924</v>
      </c>
      <c r="R328" s="7" t="s">
        <v>925</v>
      </c>
      <c r="S328" s="7" t="s">
        <v>926</v>
      </c>
      <c r="T328" s="7" t="s">
        <v>922</v>
      </c>
      <c r="U328" s="7" t="s">
        <v>927</v>
      </c>
    </row>
    <row r="329" spans="1:21" x14ac:dyDescent="0.15">
      <c r="A329" s="7" t="s">
        <v>912</v>
      </c>
      <c r="B329" s="7" t="s">
        <v>913</v>
      </c>
      <c r="C329" s="7" t="s">
        <v>746</v>
      </c>
      <c r="D329" s="7" t="s">
        <v>916</v>
      </c>
      <c r="E329" s="7">
        <f t="shared" si="5"/>
        <v>262.45</v>
      </c>
      <c r="F329" s="7" t="s">
        <v>1127</v>
      </c>
      <c r="G329" s="7" t="s">
        <v>1125</v>
      </c>
      <c r="H329" s="7" t="s">
        <v>1126</v>
      </c>
      <c r="I329" s="10">
        <v>46048</v>
      </c>
      <c r="K329" s="7" t="s">
        <v>918</v>
      </c>
      <c r="L329" s="7" t="s">
        <v>919</v>
      </c>
      <c r="M329" s="7" t="s">
        <v>920</v>
      </c>
      <c r="N329" s="7" t="s">
        <v>921</v>
      </c>
      <c r="O329" s="7" t="s">
        <v>922</v>
      </c>
      <c r="P329" s="7" t="s">
        <v>923</v>
      </c>
      <c r="Q329" s="7" t="s">
        <v>924</v>
      </c>
      <c r="R329" s="7" t="s">
        <v>925</v>
      </c>
      <c r="S329" s="7" t="s">
        <v>926</v>
      </c>
      <c r="T329" s="7" t="s">
        <v>922</v>
      </c>
      <c r="U329" s="7" t="s">
        <v>927</v>
      </c>
    </row>
    <row r="330" spans="1:21" x14ac:dyDescent="0.15">
      <c r="A330" s="7" t="s">
        <v>912</v>
      </c>
      <c r="B330" s="7" t="s">
        <v>913</v>
      </c>
      <c r="C330" s="7" t="s">
        <v>488</v>
      </c>
      <c r="D330" s="7" t="s">
        <v>916</v>
      </c>
      <c r="E330" s="7">
        <f t="shared" si="5"/>
        <v>163.72999999999999</v>
      </c>
      <c r="F330" s="7" t="s">
        <v>1128</v>
      </c>
      <c r="G330" s="7" t="s">
        <v>1127</v>
      </c>
      <c r="H330" s="7" t="s">
        <v>1126</v>
      </c>
      <c r="I330" s="10">
        <v>46048</v>
      </c>
      <c r="K330" s="7" t="s">
        <v>918</v>
      </c>
      <c r="L330" s="7" t="s">
        <v>919</v>
      </c>
      <c r="M330" s="7" t="s">
        <v>920</v>
      </c>
      <c r="N330" s="7" t="s">
        <v>921</v>
      </c>
      <c r="O330" s="7" t="s">
        <v>922</v>
      </c>
      <c r="P330" s="7" t="s">
        <v>923</v>
      </c>
      <c r="Q330" s="7" t="s">
        <v>924</v>
      </c>
      <c r="R330" s="7" t="s">
        <v>925</v>
      </c>
      <c r="S330" s="7" t="s">
        <v>926</v>
      </c>
      <c r="T330" s="7" t="s">
        <v>922</v>
      </c>
      <c r="U330" s="7" t="s">
        <v>927</v>
      </c>
    </row>
    <row r="331" spans="1:21" x14ac:dyDescent="0.15">
      <c r="A331" s="7" t="s">
        <v>912</v>
      </c>
      <c r="B331" s="7" t="s">
        <v>913</v>
      </c>
      <c r="C331" s="7" t="s">
        <v>478</v>
      </c>
      <c r="D331" s="7" t="s">
        <v>916</v>
      </c>
      <c r="E331" s="7">
        <f t="shared" si="5"/>
        <v>59.94</v>
      </c>
      <c r="F331" s="7" t="s">
        <v>1129</v>
      </c>
      <c r="G331" s="7" t="s">
        <v>1128</v>
      </c>
      <c r="H331" s="7" t="s">
        <v>1126</v>
      </c>
      <c r="I331" s="10">
        <v>46048</v>
      </c>
      <c r="K331" s="7" t="s">
        <v>918</v>
      </c>
      <c r="L331" s="7" t="s">
        <v>919</v>
      </c>
      <c r="M331" s="7" t="s">
        <v>920</v>
      </c>
      <c r="N331" s="7" t="s">
        <v>921</v>
      </c>
      <c r="O331" s="7" t="s">
        <v>922</v>
      </c>
      <c r="P331" s="7" t="s">
        <v>923</v>
      </c>
      <c r="Q331" s="7" t="s">
        <v>924</v>
      </c>
      <c r="R331" s="7" t="s">
        <v>925</v>
      </c>
      <c r="S331" s="7" t="s">
        <v>926</v>
      </c>
      <c r="T331" s="7" t="s">
        <v>922</v>
      </c>
      <c r="U331" s="7" t="s">
        <v>927</v>
      </c>
    </row>
    <row r="332" spans="1:21" x14ac:dyDescent="0.15">
      <c r="A332" s="7" t="s">
        <v>912</v>
      </c>
      <c r="B332" s="7" t="s">
        <v>940</v>
      </c>
      <c r="C332" s="7" t="s">
        <v>20</v>
      </c>
      <c r="D332" s="7">
        <v>0</v>
      </c>
      <c r="E332" s="7">
        <f t="shared" si="5"/>
        <v>6900</v>
      </c>
      <c r="F332" s="7" t="s">
        <v>1121</v>
      </c>
      <c r="G332" s="7" t="s">
        <v>1119</v>
      </c>
      <c r="H332" s="7" t="s">
        <v>1122</v>
      </c>
      <c r="I332" s="10">
        <v>46049</v>
      </c>
      <c r="K332" s="7" t="s">
        <v>943</v>
      </c>
      <c r="L332" s="7" t="s">
        <v>919</v>
      </c>
      <c r="M332" s="7" t="s">
        <v>920</v>
      </c>
      <c r="N332" s="7" t="s">
        <v>921</v>
      </c>
      <c r="O332" s="7" t="s">
        <v>922</v>
      </c>
      <c r="P332" s="7" t="s">
        <v>923</v>
      </c>
      <c r="Q332" s="7" t="s">
        <v>1123</v>
      </c>
      <c r="R332" s="7" t="s">
        <v>1124</v>
      </c>
      <c r="S332" s="7" t="s">
        <v>1062</v>
      </c>
      <c r="T332" s="7" t="s">
        <v>947</v>
      </c>
      <c r="U332" s="7" t="s">
        <v>947</v>
      </c>
    </row>
    <row r="333" spans="1:21" x14ac:dyDescent="0.15">
      <c r="A333" s="7" t="s">
        <v>912</v>
      </c>
      <c r="B333" s="7" t="s">
        <v>913</v>
      </c>
      <c r="C333" s="7" t="s">
        <v>756</v>
      </c>
      <c r="D333" s="7" t="s">
        <v>916</v>
      </c>
      <c r="E333" s="7">
        <f t="shared" si="5"/>
        <v>260.16000000000003</v>
      </c>
      <c r="F333" s="7" t="s">
        <v>1119</v>
      </c>
      <c r="G333" s="7" t="s">
        <v>1117</v>
      </c>
      <c r="H333" s="7" t="s">
        <v>1120</v>
      </c>
      <c r="I333" s="10">
        <v>46049</v>
      </c>
      <c r="K333" s="7" t="s">
        <v>918</v>
      </c>
      <c r="L333" s="7" t="s">
        <v>919</v>
      </c>
      <c r="M333" s="7" t="s">
        <v>920</v>
      </c>
      <c r="N333" s="7" t="s">
        <v>921</v>
      </c>
      <c r="O333" s="7" t="s">
        <v>922</v>
      </c>
      <c r="P333" s="7" t="s">
        <v>923</v>
      </c>
      <c r="Q333" s="7" t="s">
        <v>924</v>
      </c>
      <c r="R333" s="7" t="s">
        <v>925</v>
      </c>
      <c r="S333" s="7" t="s">
        <v>926</v>
      </c>
      <c r="T333" s="7" t="s">
        <v>922</v>
      </c>
      <c r="U333" s="7" t="s">
        <v>927</v>
      </c>
    </row>
    <row r="334" spans="1:21" x14ac:dyDescent="0.15">
      <c r="A334" s="7" t="s">
        <v>912</v>
      </c>
      <c r="B334" s="7" t="s">
        <v>913</v>
      </c>
      <c r="C334" s="7" t="s">
        <v>874</v>
      </c>
      <c r="D334" s="7" t="s">
        <v>916</v>
      </c>
      <c r="E334" s="7">
        <f t="shared" si="5"/>
        <v>174.96</v>
      </c>
      <c r="F334" s="7" t="s">
        <v>1117</v>
      </c>
      <c r="G334" s="7" t="s">
        <v>1113</v>
      </c>
      <c r="H334" s="7" t="s">
        <v>1118</v>
      </c>
      <c r="I334" s="10">
        <v>46049</v>
      </c>
      <c r="K334" s="7" t="s">
        <v>918</v>
      </c>
      <c r="L334" s="7" t="s">
        <v>919</v>
      </c>
      <c r="M334" s="7" t="s">
        <v>920</v>
      </c>
      <c r="N334" s="7" t="s">
        <v>921</v>
      </c>
      <c r="O334" s="7" t="s">
        <v>922</v>
      </c>
      <c r="P334" s="7" t="s">
        <v>923</v>
      </c>
      <c r="Q334" s="7" t="s">
        <v>924</v>
      </c>
      <c r="R334" s="7" t="s">
        <v>925</v>
      </c>
      <c r="S334" s="7" t="s">
        <v>926</v>
      </c>
      <c r="T334" s="7" t="s">
        <v>922</v>
      </c>
      <c r="U334" s="7" t="s">
        <v>927</v>
      </c>
    </row>
    <row r="335" spans="1:21" x14ac:dyDescent="0.15">
      <c r="A335" s="7" t="s">
        <v>912</v>
      </c>
      <c r="B335" s="7" t="s">
        <v>940</v>
      </c>
      <c r="C335" s="7" t="s">
        <v>776</v>
      </c>
      <c r="D335" s="7">
        <v>0</v>
      </c>
      <c r="E335" s="7">
        <f t="shared" si="5"/>
        <v>99</v>
      </c>
      <c r="F335" s="7" t="s">
        <v>1113</v>
      </c>
      <c r="G335" s="7" t="s">
        <v>1112</v>
      </c>
      <c r="H335" s="7" t="s">
        <v>1114</v>
      </c>
      <c r="I335" s="10">
        <v>46049</v>
      </c>
      <c r="K335" s="7" t="s">
        <v>943</v>
      </c>
      <c r="L335" s="7" t="s">
        <v>919</v>
      </c>
      <c r="M335" s="7" t="s">
        <v>920</v>
      </c>
      <c r="N335" s="7" t="s">
        <v>921</v>
      </c>
      <c r="O335" s="7" t="s">
        <v>922</v>
      </c>
      <c r="P335" s="7" t="s">
        <v>923</v>
      </c>
      <c r="Q335" s="7" t="s">
        <v>1115</v>
      </c>
      <c r="R335" s="7" t="s">
        <v>1116</v>
      </c>
      <c r="S335" s="7" t="s">
        <v>1033</v>
      </c>
      <c r="T335" s="7" t="s">
        <v>947</v>
      </c>
      <c r="U335" s="7" t="s">
        <v>947</v>
      </c>
    </row>
    <row r="336" spans="1:21" x14ac:dyDescent="0.15">
      <c r="A336" s="7" t="s">
        <v>912</v>
      </c>
      <c r="B336" s="7" t="s">
        <v>913</v>
      </c>
      <c r="C336" s="7" t="s">
        <v>827</v>
      </c>
      <c r="D336" s="7" t="s">
        <v>916</v>
      </c>
      <c r="E336" s="7">
        <f t="shared" si="5"/>
        <v>151.37</v>
      </c>
      <c r="F336" s="7" t="s">
        <v>1110</v>
      </c>
      <c r="G336" s="7" t="s">
        <v>1105</v>
      </c>
      <c r="H336" s="7" t="s">
        <v>1111</v>
      </c>
      <c r="I336" s="10">
        <v>46049</v>
      </c>
      <c r="K336" s="7" t="s">
        <v>918</v>
      </c>
      <c r="L336" s="7" t="s">
        <v>919</v>
      </c>
      <c r="M336" s="7" t="s">
        <v>920</v>
      </c>
      <c r="N336" s="7" t="s">
        <v>921</v>
      </c>
      <c r="O336" s="7" t="s">
        <v>922</v>
      </c>
      <c r="P336" s="7" t="s">
        <v>923</v>
      </c>
      <c r="Q336" s="7" t="s">
        <v>924</v>
      </c>
      <c r="R336" s="7" t="s">
        <v>925</v>
      </c>
      <c r="S336" s="7" t="s">
        <v>926</v>
      </c>
      <c r="T336" s="7" t="s">
        <v>922</v>
      </c>
      <c r="U336" s="7" t="s">
        <v>927</v>
      </c>
    </row>
    <row r="337" spans="1:21" x14ac:dyDescent="0.15">
      <c r="A337" s="7" t="s">
        <v>912</v>
      </c>
      <c r="B337" s="7" t="s">
        <v>913</v>
      </c>
      <c r="C337" s="7" t="s">
        <v>718</v>
      </c>
      <c r="D337" s="7" t="s">
        <v>916</v>
      </c>
      <c r="E337" s="7">
        <f t="shared" si="5"/>
        <v>55.81</v>
      </c>
      <c r="F337" s="7" t="s">
        <v>1112</v>
      </c>
      <c r="G337" s="7" t="s">
        <v>1110</v>
      </c>
      <c r="H337" s="7" t="s">
        <v>1111</v>
      </c>
      <c r="I337" s="10">
        <v>46049</v>
      </c>
      <c r="K337" s="7" t="s">
        <v>918</v>
      </c>
      <c r="L337" s="7" t="s">
        <v>919</v>
      </c>
      <c r="M337" s="7" t="s">
        <v>920</v>
      </c>
      <c r="N337" s="7" t="s">
        <v>921</v>
      </c>
      <c r="O337" s="7" t="s">
        <v>922</v>
      </c>
      <c r="P337" s="7" t="s">
        <v>923</v>
      </c>
      <c r="Q337" s="7" t="s">
        <v>924</v>
      </c>
      <c r="R337" s="7" t="s">
        <v>925</v>
      </c>
      <c r="S337" s="7" t="s">
        <v>926</v>
      </c>
      <c r="T337" s="7" t="s">
        <v>922</v>
      </c>
      <c r="U337" s="7" t="s">
        <v>927</v>
      </c>
    </row>
    <row r="338" spans="1:21" x14ac:dyDescent="0.15">
      <c r="A338" s="7" t="s">
        <v>912</v>
      </c>
      <c r="B338" s="7" t="s">
        <v>972</v>
      </c>
      <c r="C338" s="7" t="s">
        <v>1104</v>
      </c>
      <c r="D338" s="7" t="s">
        <v>1106</v>
      </c>
      <c r="E338" s="7">
        <f t="shared" si="5"/>
        <v>53.98</v>
      </c>
      <c r="F338" s="7" t="s">
        <v>1105</v>
      </c>
      <c r="G338" s="7" t="s">
        <v>1103</v>
      </c>
      <c r="H338" s="7" t="s">
        <v>1107</v>
      </c>
      <c r="I338" s="10">
        <v>46049</v>
      </c>
      <c r="K338" s="7" t="s">
        <v>962</v>
      </c>
      <c r="L338" s="7" t="s">
        <v>919</v>
      </c>
      <c r="M338" s="7" t="s">
        <v>920</v>
      </c>
      <c r="N338" s="7" t="s">
        <v>921</v>
      </c>
      <c r="O338" s="7" t="s">
        <v>922</v>
      </c>
      <c r="P338" s="7" t="s">
        <v>923</v>
      </c>
      <c r="Q338" s="7" t="s">
        <v>1108</v>
      </c>
      <c r="R338" s="7" t="s">
        <v>1109</v>
      </c>
      <c r="S338" s="7" t="s">
        <v>1062</v>
      </c>
      <c r="T338" s="7" t="s">
        <v>947</v>
      </c>
      <c r="U338" s="7" t="s">
        <v>947</v>
      </c>
    </row>
    <row r="339" spans="1:21" x14ac:dyDescent="0.15">
      <c r="A339" s="7" t="s">
        <v>912</v>
      </c>
      <c r="B339" s="7" t="s">
        <v>913</v>
      </c>
      <c r="C339" s="7" t="s">
        <v>265</v>
      </c>
      <c r="D339" s="7" t="s">
        <v>916</v>
      </c>
      <c r="E339" s="7">
        <f t="shared" si="5"/>
        <v>10.77</v>
      </c>
      <c r="F339" s="7" t="s">
        <v>1101</v>
      </c>
      <c r="G339" s="7" t="s">
        <v>1097</v>
      </c>
      <c r="H339" s="7" t="s">
        <v>1102</v>
      </c>
      <c r="I339" s="10">
        <v>46049</v>
      </c>
      <c r="K339" s="7" t="s">
        <v>918</v>
      </c>
      <c r="L339" s="7" t="s">
        <v>919</v>
      </c>
      <c r="M339" s="7" t="s">
        <v>920</v>
      </c>
      <c r="N339" s="7" t="s">
        <v>921</v>
      </c>
      <c r="O339" s="7" t="s">
        <v>922</v>
      </c>
      <c r="P339" s="7" t="s">
        <v>923</v>
      </c>
      <c r="Q339" s="7" t="s">
        <v>924</v>
      </c>
      <c r="R339" s="7" t="s">
        <v>925</v>
      </c>
      <c r="S339" s="7" t="s">
        <v>926</v>
      </c>
      <c r="T339" s="7" t="s">
        <v>922</v>
      </c>
      <c r="U339" s="7" t="s">
        <v>927</v>
      </c>
    </row>
    <row r="340" spans="1:21" x14ac:dyDescent="0.15">
      <c r="A340" s="7" t="s">
        <v>912</v>
      </c>
      <c r="B340" s="7" t="s">
        <v>913</v>
      </c>
      <c r="C340" s="7" t="s">
        <v>314</v>
      </c>
      <c r="D340" s="7" t="s">
        <v>916</v>
      </c>
      <c r="E340" s="7">
        <f t="shared" si="5"/>
        <v>345.41</v>
      </c>
      <c r="F340" s="7" t="s">
        <v>1103</v>
      </c>
      <c r="G340" s="7" t="s">
        <v>1101</v>
      </c>
      <c r="H340" s="7" t="s">
        <v>1102</v>
      </c>
      <c r="I340" s="10">
        <v>46049</v>
      </c>
      <c r="K340" s="7" t="s">
        <v>918</v>
      </c>
      <c r="L340" s="7" t="s">
        <v>919</v>
      </c>
      <c r="M340" s="7" t="s">
        <v>920</v>
      </c>
      <c r="N340" s="7" t="s">
        <v>921</v>
      </c>
      <c r="O340" s="7" t="s">
        <v>922</v>
      </c>
      <c r="P340" s="7" t="s">
        <v>923</v>
      </c>
      <c r="Q340" s="7" t="s">
        <v>924</v>
      </c>
      <c r="R340" s="7" t="s">
        <v>925</v>
      </c>
      <c r="S340" s="7" t="s">
        <v>926</v>
      </c>
      <c r="T340" s="7" t="s">
        <v>922</v>
      </c>
      <c r="U340" s="7" t="s">
        <v>927</v>
      </c>
    </row>
    <row r="341" spans="1:21" x14ac:dyDescent="0.15">
      <c r="A341" s="7" t="s">
        <v>912</v>
      </c>
      <c r="B341" s="7" t="s">
        <v>940</v>
      </c>
      <c r="C341" s="7" t="s">
        <v>365</v>
      </c>
      <c r="D341" s="7">
        <v>0</v>
      </c>
      <c r="E341" s="7">
        <f t="shared" si="5"/>
        <v>11381</v>
      </c>
      <c r="F341" s="7" t="s">
        <v>1097</v>
      </c>
      <c r="G341" s="7" t="s">
        <v>1096</v>
      </c>
      <c r="H341" s="7" t="s">
        <v>1098</v>
      </c>
      <c r="I341" s="10">
        <v>46049</v>
      </c>
      <c r="K341" s="7" t="s">
        <v>943</v>
      </c>
      <c r="L341" s="7" t="s">
        <v>919</v>
      </c>
      <c r="M341" s="7" t="s">
        <v>920</v>
      </c>
      <c r="N341" s="7" t="s">
        <v>921</v>
      </c>
      <c r="O341" s="7" t="s">
        <v>922</v>
      </c>
      <c r="P341" s="7" t="s">
        <v>923</v>
      </c>
      <c r="Q341" s="7" t="s">
        <v>1099</v>
      </c>
      <c r="R341" s="7" t="s">
        <v>1100</v>
      </c>
      <c r="S341" s="7" t="s">
        <v>946</v>
      </c>
      <c r="T341" s="7" t="s">
        <v>947</v>
      </c>
      <c r="U341" s="7" t="s">
        <v>947</v>
      </c>
    </row>
    <row r="342" spans="1:21" x14ac:dyDescent="0.15">
      <c r="A342" s="7" t="s">
        <v>912</v>
      </c>
      <c r="B342" s="7" t="s">
        <v>913</v>
      </c>
      <c r="C342" s="7" t="s">
        <v>200</v>
      </c>
      <c r="D342" s="7" t="s">
        <v>916</v>
      </c>
      <c r="E342" s="7">
        <f t="shared" si="5"/>
        <v>187.32</v>
      </c>
      <c r="F342" s="7" t="s">
        <v>1093</v>
      </c>
      <c r="G342" s="7" t="s">
        <v>1091</v>
      </c>
      <c r="H342" s="7" t="s">
        <v>1094</v>
      </c>
      <c r="I342" s="10">
        <v>46049</v>
      </c>
      <c r="K342" s="7" t="s">
        <v>918</v>
      </c>
      <c r="L342" s="7" t="s">
        <v>919</v>
      </c>
      <c r="M342" s="7" t="s">
        <v>920</v>
      </c>
      <c r="N342" s="7" t="s">
        <v>921</v>
      </c>
      <c r="O342" s="7" t="s">
        <v>922</v>
      </c>
      <c r="P342" s="7" t="s">
        <v>923</v>
      </c>
      <c r="Q342" s="7" t="s">
        <v>924</v>
      </c>
      <c r="R342" s="7" t="s">
        <v>925</v>
      </c>
      <c r="S342" s="7" t="s">
        <v>926</v>
      </c>
      <c r="T342" s="7" t="s">
        <v>922</v>
      </c>
      <c r="U342" s="7" t="s">
        <v>927</v>
      </c>
    </row>
    <row r="343" spans="1:21" x14ac:dyDescent="0.15">
      <c r="A343" s="7" t="s">
        <v>912</v>
      </c>
      <c r="B343" s="7" t="s">
        <v>913</v>
      </c>
      <c r="C343" s="7" t="s">
        <v>271</v>
      </c>
      <c r="D343" s="7" t="s">
        <v>916</v>
      </c>
      <c r="E343" s="7">
        <f t="shared" si="5"/>
        <v>660.31</v>
      </c>
      <c r="F343" s="7" t="s">
        <v>1095</v>
      </c>
      <c r="G343" s="7" t="s">
        <v>1093</v>
      </c>
      <c r="H343" s="7" t="s">
        <v>1094</v>
      </c>
      <c r="I343" s="10">
        <v>46049</v>
      </c>
      <c r="K343" s="7" t="s">
        <v>918</v>
      </c>
      <c r="L343" s="7" t="s">
        <v>919</v>
      </c>
      <c r="M343" s="7" t="s">
        <v>920</v>
      </c>
      <c r="N343" s="7" t="s">
        <v>921</v>
      </c>
      <c r="O343" s="7" t="s">
        <v>922</v>
      </c>
      <c r="P343" s="7" t="s">
        <v>923</v>
      </c>
      <c r="Q343" s="7" t="s">
        <v>924</v>
      </c>
      <c r="R343" s="7" t="s">
        <v>925</v>
      </c>
      <c r="S343" s="7" t="s">
        <v>926</v>
      </c>
      <c r="T343" s="7" t="s">
        <v>922</v>
      </c>
      <c r="U343" s="7" t="s">
        <v>927</v>
      </c>
    </row>
    <row r="344" spans="1:21" x14ac:dyDescent="0.15">
      <c r="A344" s="7" t="s">
        <v>912</v>
      </c>
      <c r="B344" s="7" t="s">
        <v>913</v>
      </c>
      <c r="C344" s="7" t="s">
        <v>666</v>
      </c>
      <c r="D344" s="7" t="s">
        <v>916</v>
      </c>
      <c r="E344" s="7">
        <f t="shared" si="5"/>
        <v>232.46</v>
      </c>
      <c r="F344" s="7" t="s">
        <v>1096</v>
      </c>
      <c r="G344" s="7" t="s">
        <v>1095</v>
      </c>
      <c r="H344" s="7" t="s">
        <v>1094</v>
      </c>
      <c r="I344" s="10">
        <v>46049</v>
      </c>
      <c r="K344" s="7" t="s">
        <v>918</v>
      </c>
      <c r="L344" s="7" t="s">
        <v>919</v>
      </c>
      <c r="M344" s="7" t="s">
        <v>920</v>
      </c>
      <c r="N344" s="7" t="s">
        <v>921</v>
      </c>
      <c r="O344" s="7" t="s">
        <v>922</v>
      </c>
      <c r="P344" s="7" t="s">
        <v>923</v>
      </c>
      <c r="Q344" s="7" t="s">
        <v>924</v>
      </c>
      <c r="R344" s="7" t="s">
        <v>925</v>
      </c>
      <c r="S344" s="7" t="s">
        <v>926</v>
      </c>
      <c r="T344" s="7" t="s">
        <v>922</v>
      </c>
      <c r="U344" s="7" t="s">
        <v>927</v>
      </c>
    </row>
    <row r="345" spans="1:21" x14ac:dyDescent="0.15">
      <c r="A345" s="7" t="s">
        <v>912</v>
      </c>
      <c r="B345" s="7" t="s">
        <v>913</v>
      </c>
      <c r="C345" s="7" t="s">
        <v>161</v>
      </c>
      <c r="D345" s="7" t="s">
        <v>916</v>
      </c>
      <c r="E345" s="7">
        <f t="shared" si="5"/>
        <v>95.22</v>
      </c>
      <c r="F345" s="7" t="s">
        <v>1091</v>
      </c>
      <c r="G345" s="7" t="s">
        <v>1087</v>
      </c>
      <c r="H345" s="7" t="s">
        <v>1092</v>
      </c>
      <c r="I345" s="10">
        <v>46049</v>
      </c>
      <c r="K345" s="7" t="s">
        <v>918</v>
      </c>
      <c r="L345" s="7" t="s">
        <v>919</v>
      </c>
      <c r="M345" s="7" t="s">
        <v>920</v>
      </c>
      <c r="N345" s="7" t="s">
        <v>921</v>
      </c>
      <c r="O345" s="7" t="s">
        <v>922</v>
      </c>
      <c r="P345" s="7" t="s">
        <v>923</v>
      </c>
      <c r="Q345" s="7" t="s">
        <v>924</v>
      </c>
      <c r="R345" s="7" t="s">
        <v>925</v>
      </c>
      <c r="S345" s="7" t="s">
        <v>926</v>
      </c>
      <c r="T345" s="7" t="s">
        <v>922</v>
      </c>
      <c r="U345" s="7" t="s">
        <v>927</v>
      </c>
    </row>
    <row r="346" spans="1:21" x14ac:dyDescent="0.15">
      <c r="A346" s="7" t="s">
        <v>912</v>
      </c>
      <c r="B346" s="7" t="s">
        <v>940</v>
      </c>
      <c r="C346" s="7" t="s">
        <v>159</v>
      </c>
      <c r="D346" s="7">
        <v>0</v>
      </c>
      <c r="E346" s="7">
        <f t="shared" si="5"/>
        <v>3172.62</v>
      </c>
      <c r="F346" s="7" t="s">
        <v>1087</v>
      </c>
      <c r="G346" s="7" t="s">
        <v>1082</v>
      </c>
      <c r="H346" s="7" t="s">
        <v>1088</v>
      </c>
      <c r="I346" s="10">
        <v>46050</v>
      </c>
      <c r="K346" s="7" t="s">
        <v>943</v>
      </c>
      <c r="L346" s="7" t="s">
        <v>919</v>
      </c>
      <c r="M346" s="7" t="s">
        <v>920</v>
      </c>
      <c r="N346" s="7" t="s">
        <v>921</v>
      </c>
      <c r="O346" s="7" t="s">
        <v>922</v>
      </c>
      <c r="P346" s="7" t="s">
        <v>923</v>
      </c>
      <c r="Q346" s="7" t="s">
        <v>891</v>
      </c>
      <c r="R346" s="7" t="s">
        <v>1089</v>
      </c>
      <c r="S346" s="7" t="s">
        <v>1090</v>
      </c>
      <c r="T346" s="7" t="s">
        <v>947</v>
      </c>
      <c r="U346" s="7" t="s">
        <v>947</v>
      </c>
    </row>
    <row r="347" spans="1:21" x14ac:dyDescent="0.15">
      <c r="A347" s="7" t="s">
        <v>948</v>
      </c>
      <c r="B347" s="7" t="s">
        <v>940</v>
      </c>
      <c r="C347" s="7" t="s">
        <v>234</v>
      </c>
      <c r="D347" s="7">
        <v>0</v>
      </c>
      <c r="E347" s="7">
        <f t="shared" si="5"/>
        <v>-221.84</v>
      </c>
      <c r="F347" s="7" t="s">
        <v>1082</v>
      </c>
      <c r="G347" s="7" t="s">
        <v>1080</v>
      </c>
      <c r="H347" s="7" t="s">
        <v>1083</v>
      </c>
      <c r="I347" s="10">
        <v>46050</v>
      </c>
      <c r="K347" s="7" t="s">
        <v>951</v>
      </c>
      <c r="L347" s="7" t="s">
        <v>1084</v>
      </c>
      <c r="M347" s="7" t="s">
        <v>1085</v>
      </c>
      <c r="N347" s="7" t="s">
        <v>1086</v>
      </c>
      <c r="O347" s="7" t="s">
        <v>947</v>
      </c>
      <c r="P347" s="7" t="s">
        <v>947</v>
      </c>
      <c r="Q347" s="7" t="s">
        <v>919</v>
      </c>
      <c r="R347" s="7" t="s">
        <v>920</v>
      </c>
      <c r="S347" s="7" t="s">
        <v>921</v>
      </c>
      <c r="T347" s="7" t="s">
        <v>922</v>
      </c>
      <c r="U347" s="7" t="s">
        <v>923</v>
      </c>
    </row>
    <row r="348" spans="1:21" x14ac:dyDescent="0.15">
      <c r="A348" s="7" t="s">
        <v>948</v>
      </c>
      <c r="B348" s="7" t="s">
        <v>940</v>
      </c>
      <c r="C348" s="7" t="s">
        <v>293</v>
      </c>
      <c r="D348" s="7">
        <v>0</v>
      </c>
      <c r="E348" s="7">
        <f t="shared" si="5"/>
        <v>-55000</v>
      </c>
      <c r="F348" s="7" t="s">
        <v>1080</v>
      </c>
      <c r="G348" s="7" t="s">
        <v>1076</v>
      </c>
      <c r="H348" s="7" t="s">
        <v>1081</v>
      </c>
      <c r="I348" s="10">
        <v>46050</v>
      </c>
      <c r="K348" s="7" t="s">
        <v>951</v>
      </c>
      <c r="L348" s="7" t="s">
        <v>1021</v>
      </c>
      <c r="M348" s="7" t="s">
        <v>920</v>
      </c>
      <c r="N348" s="7" t="s">
        <v>1016</v>
      </c>
      <c r="O348" s="7" t="s">
        <v>947</v>
      </c>
      <c r="P348" s="7" t="s">
        <v>947</v>
      </c>
      <c r="Q348" s="7" t="s">
        <v>919</v>
      </c>
      <c r="R348" s="7" t="s">
        <v>920</v>
      </c>
      <c r="S348" s="7" t="s">
        <v>921</v>
      </c>
      <c r="T348" s="7" t="s">
        <v>922</v>
      </c>
      <c r="U348" s="7" t="s">
        <v>923</v>
      </c>
    </row>
    <row r="349" spans="1:21" x14ac:dyDescent="0.15">
      <c r="A349" s="7" t="s">
        <v>948</v>
      </c>
      <c r="B349" s="7" t="s">
        <v>940</v>
      </c>
      <c r="C349" s="7" t="s">
        <v>590</v>
      </c>
      <c r="D349" s="7">
        <v>0</v>
      </c>
      <c r="E349" s="7">
        <f t="shared" si="5"/>
        <v>-89.5</v>
      </c>
      <c r="F349" s="7" t="s">
        <v>1076</v>
      </c>
      <c r="G349" s="7" t="s">
        <v>1075</v>
      </c>
      <c r="H349" s="7" t="s">
        <v>1077</v>
      </c>
      <c r="I349" s="10">
        <v>46050</v>
      </c>
      <c r="K349" s="7" t="s">
        <v>951</v>
      </c>
      <c r="L349" s="7" t="s">
        <v>1078</v>
      </c>
      <c r="M349" s="7" t="s">
        <v>1079</v>
      </c>
      <c r="N349" s="7" t="s">
        <v>1033</v>
      </c>
      <c r="O349" s="7" t="s">
        <v>947</v>
      </c>
      <c r="P349" s="7" t="s">
        <v>947</v>
      </c>
      <c r="Q349" s="7" t="s">
        <v>919</v>
      </c>
      <c r="R349" s="7" t="s">
        <v>920</v>
      </c>
      <c r="S349" s="7" t="s">
        <v>921</v>
      </c>
      <c r="T349" s="7" t="s">
        <v>922</v>
      </c>
      <c r="U349" s="7" t="s">
        <v>923</v>
      </c>
    </row>
    <row r="350" spans="1:21" x14ac:dyDescent="0.15">
      <c r="A350" s="7" t="s">
        <v>912</v>
      </c>
      <c r="B350" s="7" t="s">
        <v>913</v>
      </c>
      <c r="C350" s="7" t="s">
        <v>8</v>
      </c>
      <c r="D350" s="7" t="s">
        <v>916</v>
      </c>
      <c r="E350" s="7">
        <f t="shared" si="5"/>
        <v>149.37</v>
      </c>
      <c r="F350" s="7" t="s">
        <v>1073</v>
      </c>
      <c r="G350" s="7" t="s">
        <v>1069</v>
      </c>
      <c r="H350" s="7" t="s">
        <v>1074</v>
      </c>
      <c r="I350" s="10">
        <v>46050</v>
      </c>
      <c r="K350" s="7" t="s">
        <v>918</v>
      </c>
      <c r="L350" s="7" t="s">
        <v>919</v>
      </c>
      <c r="M350" s="7" t="s">
        <v>920</v>
      </c>
      <c r="N350" s="7" t="s">
        <v>921</v>
      </c>
      <c r="O350" s="7" t="s">
        <v>922</v>
      </c>
      <c r="P350" s="7" t="s">
        <v>923</v>
      </c>
      <c r="Q350" s="7" t="s">
        <v>924</v>
      </c>
      <c r="R350" s="7" t="s">
        <v>925</v>
      </c>
      <c r="S350" s="7" t="s">
        <v>926</v>
      </c>
      <c r="T350" s="7" t="s">
        <v>922</v>
      </c>
      <c r="U350" s="7" t="s">
        <v>927</v>
      </c>
    </row>
    <row r="351" spans="1:21" x14ac:dyDescent="0.15">
      <c r="A351" s="7" t="s">
        <v>912</v>
      </c>
      <c r="B351" s="7" t="s">
        <v>913</v>
      </c>
      <c r="C351" s="7" t="s">
        <v>265</v>
      </c>
      <c r="D351" s="7" t="s">
        <v>916</v>
      </c>
      <c r="E351" s="7">
        <f t="shared" si="5"/>
        <v>10.77</v>
      </c>
      <c r="F351" s="7" t="s">
        <v>1075</v>
      </c>
      <c r="G351" s="7" t="s">
        <v>1073</v>
      </c>
      <c r="H351" s="7" t="s">
        <v>1074</v>
      </c>
      <c r="I351" s="10">
        <v>46050</v>
      </c>
      <c r="K351" s="7" t="s">
        <v>918</v>
      </c>
      <c r="L351" s="7" t="s">
        <v>919</v>
      </c>
      <c r="M351" s="7" t="s">
        <v>920</v>
      </c>
      <c r="N351" s="7" t="s">
        <v>921</v>
      </c>
      <c r="O351" s="7" t="s">
        <v>922</v>
      </c>
      <c r="P351" s="7" t="s">
        <v>923</v>
      </c>
      <c r="Q351" s="7" t="s">
        <v>924</v>
      </c>
      <c r="R351" s="7" t="s">
        <v>925</v>
      </c>
      <c r="S351" s="7" t="s">
        <v>926</v>
      </c>
      <c r="T351" s="7" t="s">
        <v>922</v>
      </c>
      <c r="U351" s="7" t="s">
        <v>927</v>
      </c>
    </row>
    <row r="352" spans="1:21" x14ac:dyDescent="0.15">
      <c r="A352" s="7" t="s">
        <v>912</v>
      </c>
      <c r="B352" s="7" t="s">
        <v>940</v>
      </c>
      <c r="C352" s="7" t="s">
        <v>201</v>
      </c>
      <c r="D352" s="7">
        <v>0</v>
      </c>
      <c r="E352" s="7">
        <f t="shared" si="5"/>
        <v>1930.14</v>
      </c>
      <c r="F352" s="7" t="s">
        <v>1069</v>
      </c>
      <c r="G352" s="7" t="s">
        <v>1067</v>
      </c>
      <c r="H352" s="7" t="s">
        <v>1070</v>
      </c>
      <c r="I352" s="10">
        <v>46050</v>
      </c>
      <c r="K352" s="7" t="s">
        <v>943</v>
      </c>
      <c r="L352" s="7" t="s">
        <v>919</v>
      </c>
      <c r="M352" s="7" t="s">
        <v>920</v>
      </c>
      <c r="N352" s="7" t="s">
        <v>921</v>
      </c>
      <c r="O352" s="7" t="s">
        <v>922</v>
      </c>
      <c r="P352" s="7" t="s">
        <v>923</v>
      </c>
      <c r="Q352" s="7" t="s">
        <v>1071</v>
      </c>
      <c r="R352" s="7" t="s">
        <v>1072</v>
      </c>
      <c r="S352" s="7" t="s">
        <v>992</v>
      </c>
      <c r="T352" s="7" t="s">
        <v>947</v>
      </c>
      <c r="U352" s="7" t="s">
        <v>947</v>
      </c>
    </row>
    <row r="353" spans="1:21" x14ac:dyDescent="0.15">
      <c r="A353" s="7" t="s">
        <v>912</v>
      </c>
      <c r="B353" s="7" t="s">
        <v>913</v>
      </c>
      <c r="C353" s="7" t="s">
        <v>387</v>
      </c>
      <c r="D353" s="7" t="s">
        <v>916</v>
      </c>
      <c r="E353" s="7">
        <f t="shared" si="5"/>
        <v>69.709999999999994</v>
      </c>
      <c r="F353" s="7" t="s">
        <v>1067</v>
      </c>
      <c r="G353" s="7" t="s">
        <v>1063</v>
      </c>
      <c r="H353" s="7" t="s">
        <v>1068</v>
      </c>
      <c r="I353" s="10">
        <v>46050</v>
      </c>
      <c r="K353" s="7" t="s">
        <v>918</v>
      </c>
      <c r="L353" s="7" t="s">
        <v>919</v>
      </c>
      <c r="M353" s="7" t="s">
        <v>920</v>
      </c>
      <c r="N353" s="7" t="s">
        <v>921</v>
      </c>
      <c r="O353" s="7" t="s">
        <v>922</v>
      </c>
      <c r="P353" s="7" t="s">
        <v>923</v>
      </c>
      <c r="Q353" s="7" t="s">
        <v>924</v>
      </c>
      <c r="R353" s="7" t="s">
        <v>925</v>
      </c>
      <c r="S353" s="7" t="s">
        <v>926</v>
      </c>
      <c r="T353" s="7" t="s">
        <v>922</v>
      </c>
      <c r="U353" s="7" t="s">
        <v>927</v>
      </c>
    </row>
    <row r="354" spans="1:21" x14ac:dyDescent="0.15">
      <c r="A354" s="7" t="s">
        <v>912</v>
      </c>
      <c r="B354" s="7" t="s">
        <v>940</v>
      </c>
      <c r="C354" s="7" t="s">
        <v>591</v>
      </c>
      <c r="D354" s="7">
        <v>0</v>
      </c>
      <c r="E354" s="7">
        <f t="shared" si="5"/>
        <v>8493.7199999999993</v>
      </c>
      <c r="F354" s="7" t="s">
        <v>1063</v>
      </c>
      <c r="G354" s="7" t="s">
        <v>1058</v>
      </c>
      <c r="H354" s="7" t="s">
        <v>1064</v>
      </c>
      <c r="I354" s="10">
        <v>46050</v>
      </c>
      <c r="K354" s="7" t="s">
        <v>943</v>
      </c>
      <c r="L354" s="7" t="s">
        <v>919</v>
      </c>
      <c r="M354" s="7" t="s">
        <v>920</v>
      </c>
      <c r="N354" s="7" t="s">
        <v>921</v>
      </c>
      <c r="O354" s="7" t="s">
        <v>922</v>
      </c>
      <c r="P354" s="7" t="s">
        <v>923</v>
      </c>
      <c r="Q354" s="7" t="s">
        <v>1065</v>
      </c>
      <c r="R354" s="7" t="s">
        <v>1066</v>
      </c>
      <c r="S354" s="7" t="s">
        <v>992</v>
      </c>
      <c r="T354" s="7" t="s">
        <v>947</v>
      </c>
      <c r="U354" s="7" t="s">
        <v>947</v>
      </c>
    </row>
    <row r="355" spans="1:21" x14ac:dyDescent="0.15">
      <c r="A355" s="7" t="s">
        <v>912</v>
      </c>
      <c r="B355" s="7" t="s">
        <v>940</v>
      </c>
      <c r="C355" s="7" t="s">
        <v>73</v>
      </c>
      <c r="D355" s="7">
        <v>0</v>
      </c>
      <c r="E355" s="7">
        <f t="shared" si="5"/>
        <v>1756.08</v>
      </c>
      <c r="F355" s="7" t="s">
        <v>1058</v>
      </c>
      <c r="G355" s="7" t="s">
        <v>1056</v>
      </c>
      <c r="H355" s="7" t="s">
        <v>1059</v>
      </c>
      <c r="I355" s="10">
        <v>46050</v>
      </c>
      <c r="K355" s="7" t="s">
        <v>943</v>
      </c>
      <c r="L355" s="7" t="s">
        <v>919</v>
      </c>
      <c r="M355" s="7" t="s">
        <v>920</v>
      </c>
      <c r="N355" s="7" t="s">
        <v>921</v>
      </c>
      <c r="O355" s="7" t="s">
        <v>922</v>
      </c>
      <c r="P355" s="7" t="s">
        <v>923</v>
      </c>
      <c r="Q355" s="7" t="s">
        <v>1060</v>
      </c>
      <c r="R355" s="7" t="s">
        <v>1061</v>
      </c>
      <c r="S355" s="7" t="s">
        <v>1062</v>
      </c>
      <c r="T355" s="7" t="s">
        <v>947</v>
      </c>
      <c r="U355" s="7" t="s">
        <v>947</v>
      </c>
    </row>
    <row r="356" spans="1:21" x14ac:dyDescent="0.15">
      <c r="A356" s="7" t="s">
        <v>912</v>
      </c>
      <c r="B356" s="7" t="s">
        <v>913</v>
      </c>
      <c r="C356" s="7" t="s">
        <v>334</v>
      </c>
      <c r="D356" s="7" t="s">
        <v>916</v>
      </c>
      <c r="E356" s="7">
        <f t="shared" si="5"/>
        <v>1223.1099999999999</v>
      </c>
      <c r="F356" s="7" t="s">
        <v>1056</v>
      </c>
      <c r="G356" s="7" t="s">
        <v>1055</v>
      </c>
      <c r="H356" s="7" t="s">
        <v>1057</v>
      </c>
      <c r="I356" s="10">
        <v>46050</v>
      </c>
      <c r="K356" s="7" t="s">
        <v>918</v>
      </c>
      <c r="L356" s="7" t="s">
        <v>919</v>
      </c>
      <c r="M356" s="7" t="s">
        <v>920</v>
      </c>
      <c r="N356" s="7" t="s">
        <v>921</v>
      </c>
      <c r="O356" s="7" t="s">
        <v>922</v>
      </c>
      <c r="P356" s="7" t="s">
        <v>923</v>
      </c>
      <c r="Q356" s="7" t="s">
        <v>924</v>
      </c>
      <c r="R356" s="7" t="s">
        <v>925</v>
      </c>
      <c r="S356" s="7" t="s">
        <v>926</v>
      </c>
      <c r="T356" s="7" t="s">
        <v>922</v>
      </c>
      <c r="U356" s="7" t="s">
        <v>927</v>
      </c>
    </row>
    <row r="357" spans="1:21" x14ac:dyDescent="0.15">
      <c r="A357" s="7" t="s">
        <v>912</v>
      </c>
      <c r="B357" s="7" t="s">
        <v>913</v>
      </c>
      <c r="C357" s="7" t="s">
        <v>869</v>
      </c>
      <c r="D357" s="7" t="s">
        <v>916</v>
      </c>
      <c r="E357" s="7">
        <f t="shared" si="5"/>
        <v>834.45</v>
      </c>
      <c r="F357" s="7" t="s">
        <v>1051</v>
      </c>
      <c r="G357" s="7" t="s">
        <v>1046</v>
      </c>
      <c r="H357" s="7" t="s">
        <v>1052</v>
      </c>
      <c r="I357" s="10">
        <v>46050</v>
      </c>
      <c r="K357" s="7" t="s">
        <v>918</v>
      </c>
      <c r="L357" s="7" t="s">
        <v>919</v>
      </c>
      <c r="M357" s="7" t="s">
        <v>920</v>
      </c>
      <c r="N357" s="7" t="s">
        <v>921</v>
      </c>
      <c r="O357" s="7" t="s">
        <v>922</v>
      </c>
      <c r="P357" s="7" t="s">
        <v>923</v>
      </c>
      <c r="Q357" s="7" t="s">
        <v>924</v>
      </c>
      <c r="R357" s="7" t="s">
        <v>925</v>
      </c>
      <c r="S357" s="7" t="s">
        <v>926</v>
      </c>
      <c r="T357" s="7" t="s">
        <v>922</v>
      </c>
      <c r="U357" s="7" t="s">
        <v>927</v>
      </c>
    </row>
    <row r="358" spans="1:21" x14ac:dyDescent="0.15">
      <c r="A358" s="7" t="s">
        <v>912</v>
      </c>
      <c r="B358" s="7" t="s">
        <v>913</v>
      </c>
      <c r="C358" s="7" t="s">
        <v>526</v>
      </c>
      <c r="D358" s="7" t="s">
        <v>916</v>
      </c>
      <c r="E358" s="7">
        <f t="shared" si="5"/>
        <v>253.46</v>
      </c>
      <c r="F358" s="7" t="s">
        <v>1053</v>
      </c>
      <c r="G358" s="7" t="s">
        <v>1051</v>
      </c>
      <c r="H358" s="7" t="s">
        <v>1052</v>
      </c>
      <c r="I358" s="10">
        <v>46050</v>
      </c>
      <c r="K358" s="7" t="s">
        <v>918</v>
      </c>
      <c r="L358" s="7" t="s">
        <v>919</v>
      </c>
      <c r="M358" s="7" t="s">
        <v>920</v>
      </c>
      <c r="N358" s="7" t="s">
        <v>921</v>
      </c>
      <c r="O358" s="7" t="s">
        <v>922</v>
      </c>
      <c r="P358" s="7" t="s">
        <v>923</v>
      </c>
      <c r="Q358" s="7" t="s">
        <v>924</v>
      </c>
      <c r="R358" s="7" t="s">
        <v>925</v>
      </c>
      <c r="S358" s="7" t="s">
        <v>926</v>
      </c>
      <c r="T358" s="7" t="s">
        <v>922</v>
      </c>
      <c r="U358" s="7" t="s">
        <v>927</v>
      </c>
    </row>
    <row r="359" spans="1:21" x14ac:dyDescent="0.15">
      <c r="A359" s="7" t="s">
        <v>912</v>
      </c>
      <c r="B359" s="7" t="s">
        <v>913</v>
      </c>
      <c r="C359" s="7" t="s">
        <v>757</v>
      </c>
      <c r="D359" s="7" t="s">
        <v>916</v>
      </c>
      <c r="E359" s="7">
        <f t="shared" si="5"/>
        <v>109.17</v>
      </c>
      <c r="F359" s="7" t="s">
        <v>1054</v>
      </c>
      <c r="G359" s="7" t="s">
        <v>1053</v>
      </c>
      <c r="H359" s="7" t="s">
        <v>1052</v>
      </c>
      <c r="I359" s="10">
        <v>46050</v>
      </c>
      <c r="K359" s="7" t="s">
        <v>918</v>
      </c>
      <c r="L359" s="7" t="s">
        <v>919</v>
      </c>
      <c r="M359" s="7" t="s">
        <v>920</v>
      </c>
      <c r="N359" s="7" t="s">
        <v>921</v>
      </c>
      <c r="O359" s="7" t="s">
        <v>922</v>
      </c>
      <c r="P359" s="7" t="s">
        <v>923</v>
      </c>
      <c r="Q359" s="7" t="s">
        <v>924</v>
      </c>
      <c r="R359" s="7" t="s">
        <v>925</v>
      </c>
      <c r="S359" s="7" t="s">
        <v>926</v>
      </c>
      <c r="T359" s="7" t="s">
        <v>922</v>
      </c>
      <c r="U359" s="7" t="s">
        <v>927</v>
      </c>
    </row>
    <row r="360" spans="1:21" x14ac:dyDescent="0.15">
      <c r="A360" s="7" t="s">
        <v>912</v>
      </c>
      <c r="B360" s="7" t="s">
        <v>913</v>
      </c>
      <c r="C360" s="7" t="s">
        <v>0</v>
      </c>
      <c r="D360" s="7" t="s">
        <v>916</v>
      </c>
      <c r="E360" s="7">
        <f t="shared" si="5"/>
        <v>10.44</v>
      </c>
      <c r="F360" s="7" t="s">
        <v>1055</v>
      </c>
      <c r="G360" s="7" t="s">
        <v>1054</v>
      </c>
      <c r="H360" s="7" t="s">
        <v>1052</v>
      </c>
      <c r="I360" s="10">
        <v>46050</v>
      </c>
      <c r="K360" s="7" t="s">
        <v>918</v>
      </c>
      <c r="L360" s="7" t="s">
        <v>919</v>
      </c>
      <c r="M360" s="7" t="s">
        <v>920</v>
      </c>
      <c r="N360" s="7" t="s">
        <v>921</v>
      </c>
      <c r="O360" s="7" t="s">
        <v>922</v>
      </c>
      <c r="P360" s="7" t="s">
        <v>923</v>
      </c>
      <c r="Q360" s="7" t="s">
        <v>924</v>
      </c>
      <c r="R360" s="7" t="s">
        <v>925</v>
      </c>
      <c r="S360" s="7" t="s">
        <v>926</v>
      </c>
      <c r="T360" s="7" t="s">
        <v>922</v>
      </c>
      <c r="U360" s="7" t="s">
        <v>927</v>
      </c>
    </row>
    <row r="361" spans="1:21" x14ac:dyDescent="0.15">
      <c r="A361" s="7" t="s">
        <v>912</v>
      </c>
      <c r="B361" s="7" t="s">
        <v>972</v>
      </c>
      <c r="C361" s="7" t="s">
        <v>1045</v>
      </c>
      <c r="D361" s="7" t="s">
        <v>1047</v>
      </c>
      <c r="E361" s="7">
        <f t="shared" si="5"/>
        <v>114.23</v>
      </c>
      <c r="F361" s="7" t="s">
        <v>1046</v>
      </c>
      <c r="G361" s="7" t="s">
        <v>1044</v>
      </c>
      <c r="H361" s="7" t="s">
        <v>1048</v>
      </c>
      <c r="I361" s="10">
        <v>46050</v>
      </c>
      <c r="K361" s="7" t="s">
        <v>962</v>
      </c>
      <c r="L361" s="7" t="s">
        <v>919</v>
      </c>
      <c r="M361" s="7" t="s">
        <v>920</v>
      </c>
      <c r="N361" s="7" t="s">
        <v>921</v>
      </c>
      <c r="O361" s="7" t="s">
        <v>922</v>
      </c>
      <c r="P361" s="7" t="s">
        <v>923</v>
      </c>
      <c r="Q361" s="7" t="s">
        <v>1049</v>
      </c>
      <c r="R361" s="7" t="s">
        <v>1050</v>
      </c>
      <c r="S361" s="7" t="s">
        <v>1016</v>
      </c>
      <c r="T361" s="7" t="s">
        <v>947</v>
      </c>
      <c r="U361" s="7" t="s">
        <v>947</v>
      </c>
    </row>
    <row r="362" spans="1:21" x14ac:dyDescent="0.15">
      <c r="A362" s="7" t="s">
        <v>912</v>
      </c>
      <c r="B362" s="7" t="s">
        <v>913</v>
      </c>
      <c r="C362" s="7" t="s">
        <v>511</v>
      </c>
      <c r="D362" s="7" t="s">
        <v>916</v>
      </c>
      <c r="E362" s="7">
        <f t="shared" si="5"/>
        <v>735.8</v>
      </c>
      <c r="F362" s="7" t="s">
        <v>1040</v>
      </c>
      <c r="G362" s="7" t="s">
        <v>1035</v>
      </c>
      <c r="H362" s="7" t="s">
        <v>1041</v>
      </c>
      <c r="I362" s="10">
        <v>46050</v>
      </c>
      <c r="K362" s="7" t="s">
        <v>918</v>
      </c>
      <c r="L362" s="7" t="s">
        <v>919</v>
      </c>
      <c r="M362" s="7" t="s">
        <v>920</v>
      </c>
      <c r="N362" s="7" t="s">
        <v>921</v>
      </c>
      <c r="O362" s="7" t="s">
        <v>922</v>
      </c>
      <c r="P362" s="7" t="s">
        <v>923</v>
      </c>
      <c r="Q362" s="7" t="s">
        <v>924</v>
      </c>
      <c r="R362" s="7" t="s">
        <v>925</v>
      </c>
      <c r="S362" s="7" t="s">
        <v>926</v>
      </c>
      <c r="T362" s="7" t="s">
        <v>922</v>
      </c>
      <c r="U362" s="7" t="s">
        <v>927</v>
      </c>
    </row>
    <row r="363" spans="1:21" x14ac:dyDescent="0.15">
      <c r="A363" s="7" t="s">
        <v>912</v>
      </c>
      <c r="B363" s="7" t="s">
        <v>913</v>
      </c>
      <c r="C363" s="7" t="s">
        <v>147</v>
      </c>
      <c r="D363" s="7" t="s">
        <v>916</v>
      </c>
      <c r="E363" s="7">
        <f t="shared" si="5"/>
        <v>219.15</v>
      </c>
      <c r="F363" s="7" t="s">
        <v>1042</v>
      </c>
      <c r="G363" s="7" t="s">
        <v>1040</v>
      </c>
      <c r="H363" s="7" t="s">
        <v>1041</v>
      </c>
      <c r="I363" s="10">
        <v>46050</v>
      </c>
      <c r="K363" s="7" t="s">
        <v>918</v>
      </c>
      <c r="L363" s="7" t="s">
        <v>919</v>
      </c>
      <c r="M363" s="7" t="s">
        <v>920</v>
      </c>
      <c r="N363" s="7" t="s">
        <v>921</v>
      </c>
      <c r="O363" s="7" t="s">
        <v>922</v>
      </c>
      <c r="P363" s="7" t="s">
        <v>923</v>
      </c>
      <c r="Q363" s="7" t="s">
        <v>924</v>
      </c>
      <c r="R363" s="7" t="s">
        <v>925</v>
      </c>
      <c r="S363" s="7" t="s">
        <v>926</v>
      </c>
      <c r="T363" s="7" t="s">
        <v>922</v>
      </c>
      <c r="U363" s="7" t="s">
        <v>927</v>
      </c>
    </row>
    <row r="364" spans="1:21" x14ac:dyDescent="0.15">
      <c r="A364" s="7" t="s">
        <v>912</v>
      </c>
      <c r="B364" s="7" t="s">
        <v>913</v>
      </c>
      <c r="C364" s="7" t="s">
        <v>608</v>
      </c>
      <c r="D364" s="7" t="s">
        <v>916</v>
      </c>
      <c r="E364" s="7">
        <f t="shared" si="5"/>
        <v>314.52</v>
      </c>
      <c r="F364" s="7" t="s">
        <v>1043</v>
      </c>
      <c r="G364" s="7" t="s">
        <v>1042</v>
      </c>
      <c r="H364" s="7" t="s">
        <v>1041</v>
      </c>
      <c r="I364" s="10">
        <v>46050</v>
      </c>
      <c r="K364" s="7" t="s">
        <v>918</v>
      </c>
      <c r="L364" s="7" t="s">
        <v>919</v>
      </c>
      <c r="M364" s="7" t="s">
        <v>920</v>
      </c>
      <c r="N364" s="7" t="s">
        <v>921</v>
      </c>
      <c r="O364" s="7" t="s">
        <v>922</v>
      </c>
      <c r="P364" s="7" t="s">
        <v>923</v>
      </c>
      <c r="Q364" s="7" t="s">
        <v>924</v>
      </c>
      <c r="R364" s="7" t="s">
        <v>925</v>
      </c>
      <c r="S364" s="7" t="s">
        <v>926</v>
      </c>
      <c r="T364" s="7" t="s">
        <v>922</v>
      </c>
      <c r="U364" s="7" t="s">
        <v>927</v>
      </c>
    </row>
    <row r="365" spans="1:21" x14ac:dyDescent="0.15">
      <c r="A365" s="7" t="s">
        <v>912</v>
      </c>
      <c r="B365" s="7" t="s">
        <v>913</v>
      </c>
      <c r="C365" s="7" t="s">
        <v>838</v>
      </c>
      <c r="D365" s="7" t="s">
        <v>916</v>
      </c>
      <c r="E365" s="7">
        <f t="shared" si="5"/>
        <v>68.849999999999994</v>
      </c>
      <c r="F365" s="7" t="s">
        <v>1044</v>
      </c>
      <c r="G365" s="7" t="s">
        <v>1043</v>
      </c>
      <c r="H365" s="7" t="s">
        <v>1041</v>
      </c>
      <c r="I365" s="10">
        <v>46050</v>
      </c>
      <c r="K365" s="7" t="s">
        <v>918</v>
      </c>
      <c r="L365" s="7" t="s">
        <v>919</v>
      </c>
      <c r="M365" s="7" t="s">
        <v>920</v>
      </c>
      <c r="N365" s="7" t="s">
        <v>921</v>
      </c>
      <c r="O365" s="7" t="s">
        <v>922</v>
      </c>
      <c r="P365" s="7" t="s">
        <v>923</v>
      </c>
      <c r="Q365" s="7" t="s">
        <v>924</v>
      </c>
      <c r="R365" s="7" t="s">
        <v>925</v>
      </c>
      <c r="S365" s="7" t="s">
        <v>926</v>
      </c>
      <c r="T365" s="7" t="s">
        <v>922</v>
      </c>
      <c r="U365" s="7" t="s">
        <v>927</v>
      </c>
    </row>
    <row r="366" spans="1:21" x14ac:dyDescent="0.15">
      <c r="A366" s="7" t="s">
        <v>912</v>
      </c>
      <c r="B366" s="7" t="s">
        <v>972</v>
      </c>
      <c r="C366" s="7" t="s">
        <v>1034</v>
      </c>
      <c r="D366" s="7" t="s">
        <v>1036</v>
      </c>
      <c r="E366" s="7">
        <f t="shared" si="5"/>
        <v>10.899999999999999</v>
      </c>
      <c r="F366" s="7" t="s">
        <v>1035</v>
      </c>
      <c r="G366" s="7" t="s">
        <v>1029</v>
      </c>
      <c r="H366" s="7" t="s">
        <v>1037</v>
      </c>
      <c r="I366" s="10">
        <v>46051</v>
      </c>
      <c r="K366" s="7" t="s">
        <v>962</v>
      </c>
      <c r="L366" s="7" t="s">
        <v>919</v>
      </c>
      <c r="M366" s="7" t="s">
        <v>920</v>
      </c>
      <c r="N366" s="7" t="s">
        <v>921</v>
      </c>
      <c r="O366" s="7" t="s">
        <v>922</v>
      </c>
      <c r="P366" s="7" t="s">
        <v>923</v>
      </c>
      <c r="Q366" s="7" t="s">
        <v>1038</v>
      </c>
      <c r="R366" s="7" t="s">
        <v>1039</v>
      </c>
      <c r="S366" s="7" t="s">
        <v>1028</v>
      </c>
      <c r="T366" s="7" t="s">
        <v>947</v>
      </c>
      <c r="U366" s="7" t="s">
        <v>947</v>
      </c>
    </row>
    <row r="367" spans="1:21" x14ac:dyDescent="0.15">
      <c r="A367" s="7" t="s">
        <v>912</v>
      </c>
      <c r="B367" s="7" t="s">
        <v>940</v>
      </c>
      <c r="C367" s="7" t="s">
        <v>659</v>
      </c>
      <c r="D367" s="7">
        <v>0</v>
      </c>
      <c r="E367" s="7">
        <f t="shared" si="5"/>
        <v>70.02</v>
      </c>
      <c r="F367" s="7" t="s">
        <v>1029</v>
      </c>
      <c r="G367" s="7" t="s">
        <v>1024</v>
      </c>
      <c r="H367" s="7" t="s">
        <v>1030</v>
      </c>
      <c r="I367" s="10">
        <v>46051</v>
      </c>
      <c r="K367" s="7" t="s">
        <v>943</v>
      </c>
      <c r="L367" s="7" t="s">
        <v>919</v>
      </c>
      <c r="M367" s="7" t="s">
        <v>920</v>
      </c>
      <c r="N367" s="7" t="s">
        <v>921</v>
      </c>
      <c r="O367" s="7" t="s">
        <v>922</v>
      </c>
      <c r="P367" s="7" t="s">
        <v>923</v>
      </c>
      <c r="Q367" s="7" t="s">
        <v>1031</v>
      </c>
      <c r="R367" s="7" t="s">
        <v>1032</v>
      </c>
      <c r="S367" s="7" t="s">
        <v>1033</v>
      </c>
      <c r="T367" s="7" t="s">
        <v>947</v>
      </c>
      <c r="U367" s="7" t="s">
        <v>947</v>
      </c>
    </row>
    <row r="368" spans="1:21" x14ac:dyDescent="0.15">
      <c r="A368" s="7" t="s">
        <v>912</v>
      </c>
      <c r="B368" s="7" t="s">
        <v>940</v>
      </c>
      <c r="C368" s="7" t="s">
        <v>163</v>
      </c>
      <c r="D368" s="7">
        <v>0</v>
      </c>
      <c r="E368" s="7">
        <f t="shared" si="5"/>
        <v>268.08</v>
      </c>
      <c r="F368" s="7" t="s">
        <v>1024</v>
      </c>
      <c r="G368" s="7" t="s">
        <v>1022</v>
      </c>
      <c r="H368" s="7" t="s">
        <v>1025</v>
      </c>
      <c r="I368" s="10">
        <v>46051</v>
      </c>
      <c r="K368" s="7" t="s">
        <v>943</v>
      </c>
      <c r="L368" s="7" t="s">
        <v>919</v>
      </c>
      <c r="M368" s="7" t="s">
        <v>920</v>
      </c>
      <c r="N368" s="7" t="s">
        <v>921</v>
      </c>
      <c r="O368" s="7" t="s">
        <v>922</v>
      </c>
      <c r="P368" s="7" t="s">
        <v>923</v>
      </c>
      <c r="Q368" s="7" t="s">
        <v>1026</v>
      </c>
      <c r="R368" s="7" t="s">
        <v>1027</v>
      </c>
      <c r="S368" s="7" t="s">
        <v>1028</v>
      </c>
      <c r="T368" s="7" t="s">
        <v>947</v>
      </c>
      <c r="U368" s="7" t="s">
        <v>947</v>
      </c>
    </row>
    <row r="369" spans="1:21" x14ac:dyDescent="0.15">
      <c r="A369" s="7" t="s">
        <v>912</v>
      </c>
      <c r="B369" s="7" t="s">
        <v>913</v>
      </c>
      <c r="C369" s="7" t="s">
        <v>90</v>
      </c>
      <c r="D369" s="7" t="s">
        <v>916</v>
      </c>
      <c r="E369" s="7">
        <f t="shared" si="5"/>
        <v>104.35</v>
      </c>
      <c r="F369" s="7" t="s">
        <v>1022</v>
      </c>
      <c r="G369" s="7" t="s">
        <v>1019</v>
      </c>
      <c r="H369" s="7" t="s">
        <v>1023</v>
      </c>
      <c r="I369" s="10">
        <v>46051</v>
      </c>
      <c r="K369" s="7" t="s">
        <v>918</v>
      </c>
      <c r="L369" s="7" t="s">
        <v>919</v>
      </c>
      <c r="M369" s="7" t="s">
        <v>920</v>
      </c>
      <c r="N369" s="7" t="s">
        <v>921</v>
      </c>
      <c r="O369" s="7" t="s">
        <v>922</v>
      </c>
      <c r="P369" s="7" t="s">
        <v>923</v>
      </c>
      <c r="Q369" s="7" t="s">
        <v>924</v>
      </c>
      <c r="R369" s="7" t="s">
        <v>925</v>
      </c>
      <c r="S369" s="7" t="s">
        <v>926</v>
      </c>
      <c r="T369" s="7" t="s">
        <v>922</v>
      </c>
      <c r="U369" s="7" t="s">
        <v>927</v>
      </c>
    </row>
    <row r="370" spans="1:21" x14ac:dyDescent="0.15">
      <c r="A370" s="7" t="s">
        <v>948</v>
      </c>
      <c r="B370" s="7" t="s">
        <v>940</v>
      </c>
      <c r="C370" s="7" t="s">
        <v>563</v>
      </c>
      <c r="D370" s="7">
        <v>0</v>
      </c>
      <c r="E370" s="7">
        <f t="shared" si="5"/>
        <v>-18000</v>
      </c>
      <c r="F370" s="7" t="s">
        <v>1019</v>
      </c>
      <c r="G370" s="7" t="s">
        <v>1017</v>
      </c>
      <c r="H370" s="7" t="s">
        <v>1020</v>
      </c>
      <c r="I370" s="10">
        <v>46051</v>
      </c>
      <c r="K370" s="7" t="s">
        <v>951</v>
      </c>
      <c r="L370" s="7" t="s">
        <v>1021</v>
      </c>
      <c r="M370" s="7" t="s">
        <v>920</v>
      </c>
      <c r="N370" s="7" t="s">
        <v>1016</v>
      </c>
      <c r="O370" s="7" t="s">
        <v>947</v>
      </c>
      <c r="P370" s="7" t="s">
        <v>947</v>
      </c>
      <c r="Q370" s="7" t="s">
        <v>919</v>
      </c>
      <c r="R370" s="7" t="s">
        <v>920</v>
      </c>
      <c r="S370" s="7" t="s">
        <v>921</v>
      </c>
      <c r="T370" s="7" t="s">
        <v>922</v>
      </c>
      <c r="U370" s="7" t="s">
        <v>923</v>
      </c>
    </row>
    <row r="371" spans="1:21" x14ac:dyDescent="0.15">
      <c r="A371" s="7" t="s">
        <v>912</v>
      </c>
      <c r="B371" s="7" t="s">
        <v>913</v>
      </c>
      <c r="C371" s="7" t="s">
        <v>265</v>
      </c>
      <c r="D371" s="7" t="s">
        <v>916</v>
      </c>
      <c r="E371" s="7">
        <f t="shared" si="5"/>
        <v>10.77</v>
      </c>
      <c r="F371" s="7" t="s">
        <v>1017</v>
      </c>
      <c r="G371" s="7" t="s">
        <v>1012</v>
      </c>
      <c r="H371" s="7" t="s">
        <v>1018</v>
      </c>
      <c r="I371" s="10">
        <v>46051</v>
      </c>
      <c r="K371" s="7" t="s">
        <v>918</v>
      </c>
      <c r="L371" s="7" t="s">
        <v>919</v>
      </c>
      <c r="M371" s="7" t="s">
        <v>920</v>
      </c>
      <c r="N371" s="7" t="s">
        <v>921</v>
      </c>
      <c r="O371" s="7" t="s">
        <v>922</v>
      </c>
      <c r="P371" s="7" t="s">
        <v>923</v>
      </c>
      <c r="Q371" s="7" t="s">
        <v>924</v>
      </c>
      <c r="R371" s="7" t="s">
        <v>925</v>
      </c>
      <c r="S371" s="7" t="s">
        <v>926</v>
      </c>
      <c r="T371" s="7" t="s">
        <v>922</v>
      </c>
      <c r="U371" s="7" t="s">
        <v>927</v>
      </c>
    </row>
    <row r="372" spans="1:21" x14ac:dyDescent="0.15">
      <c r="A372" s="7" t="s">
        <v>912</v>
      </c>
      <c r="B372" s="7" t="s">
        <v>972</v>
      </c>
      <c r="C372" s="7" t="s">
        <v>997</v>
      </c>
      <c r="D372" s="7" t="s">
        <v>999</v>
      </c>
      <c r="E372" s="7">
        <f t="shared" si="5"/>
        <v>51.65</v>
      </c>
      <c r="F372" s="7" t="s">
        <v>1012</v>
      </c>
      <c r="G372" s="7" t="s">
        <v>1007</v>
      </c>
      <c r="H372" s="7" t="s">
        <v>1013</v>
      </c>
      <c r="I372" s="10">
        <v>46051</v>
      </c>
      <c r="K372" s="7" t="s">
        <v>962</v>
      </c>
      <c r="L372" s="7" t="s">
        <v>919</v>
      </c>
      <c r="M372" s="7" t="s">
        <v>920</v>
      </c>
      <c r="N372" s="7" t="s">
        <v>921</v>
      </c>
      <c r="O372" s="7" t="s">
        <v>922</v>
      </c>
      <c r="P372" s="7" t="s">
        <v>923</v>
      </c>
      <c r="Q372" s="7" t="s">
        <v>1014</v>
      </c>
      <c r="R372" s="7" t="s">
        <v>1015</v>
      </c>
      <c r="S372" s="7" t="s">
        <v>1016</v>
      </c>
      <c r="T372" s="7" t="s">
        <v>947</v>
      </c>
      <c r="U372" s="7" t="s">
        <v>947</v>
      </c>
    </row>
    <row r="373" spans="1:21" x14ac:dyDescent="0.15">
      <c r="A373" s="7" t="s">
        <v>912</v>
      </c>
      <c r="B373" s="7" t="s">
        <v>972</v>
      </c>
      <c r="C373" s="7" t="s">
        <v>1006</v>
      </c>
      <c r="D373" s="7" t="s">
        <v>1008</v>
      </c>
      <c r="E373" s="7">
        <f t="shared" si="5"/>
        <v>81.399999999999991</v>
      </c>
      <c r="F373" s="7" t="s">
        <v>1007</v>
      </c>
      <c r="G373" s="7" t="s">
        <v>1002</v>
      </c>
      <c r="H373" s="7" t="s">
        <v>1009</v>
      </c>
      <c r="I373" s="10">
        <v>46051</v>
      </c>
      <c r="K373" s="7" t="s">
        <v>962</v>
      </c>
      <c r="L373" s="7" t="s">
        <v>919</v>
      </c>
      <c r="M373" s="7" t="s">
        <v>920</v>
      </c>
      <c r="N373" s="7" t="s">
        <v>921</v>
      </c>
      <c r="O373" s="7" t="s">
        <v>922</v>
      </c>
      <c r="P373" s="7" t="s">
        <v>923</v>
      </c>
      <c r="Q373" s="7" t="s">
        <v>1010</v>
      </c>
      <c r="R373" s="7" t="s">
        <v>1011</v>
      </c>
      <c r="S373" s="7" t="s">
        <v>992</v>
      </c>
      <c r="T373" s="7" t="s">
        <v>947</v>
      </c>
      <c r="U373" s="7" t="s">
        <v>947</v>
      </c>
    </row>
    <row r="374" spans="1:21" x14ac:dyDescent="0.15">
      <c r="A374" s="7" t="s">
        <v>912</v>
      </c>
      <c r="B374" s="7" t="s">
        <v>972</v>
      </c>
      <c r="C374" s="7" t="s">
        <v>986</v>
      </c>
      <c r="D374" s="7" t="s">
        <v>988</v>
      </c>
      <c r="E374" s="7">
        <f t="shared" si="5"/>
        <v>29.759999999999998</v>
      </c>
      <c r="F374" s="7" t="s">
        <v>1002</v>
      </c>
      <c r="G374" s="7" t="s">
        <v>998</v>
      </c>
      <c r="H374" s="7" t="s">
        <v>1003</v>
      </c>
      <c r="I374" s="10">
        <v>46051</v>
      </c>
      <c r="K374" s="7" t="s">
        <v>962</v>
      </c>
      <c r="L374" s="7" t="s">
        <v>919</v>
      </c>
      <c r="M374" s="7" t="s">
        <v>920</v>
      </c>
      <c r="N374" s="7" t="s">
        <v>921</v>
      </c>
      <c r="O374" s="7" t="s">
        <v>922</v>
      </c>
      <c r="P374" s="7" t="s">
        <v>923</v>
      </c>
      <c r="Q374" s="7" t="s">
        <v>1004</v>
      </c>
      <c r="R374" s="7" t="s">
        <v>1005</v>
      </c>
      <c r="S374" s="7" t="s">
        <v>953</v>
      </c>
      <c r="T374" s="7" t="s">
        <v>947</v>
      </c>
      <c r="U374" s="7" t="s">
        <v>947</v>
      </c>
    </row>
    <row r="375" spans="1:21" x14ac:dyDescent="0.15">
      <c r="A375" s="7" t="s">
        <v>912</v>
      </c>
      <c r="B375" s="7" t="s">
        <v>972</v>
      </c>
      <c r="C375" s="7" t="s">
        <v>979</v>
      </c>
      <c r="D375" s="7" t="s">
        <v>981</v>
      </c>
      <c r="E375" s="7">
        <f t="shared" si="5"/>
        <v>59.61</v>
      </c>
      <c r="F375" s="7" t="s">
        <v>993</v>
      </c>
      <c r="G375" s="7" t="s">
        <v>987</v>
      </c>
      <c r="H375" s="7" t="s">
        <v>994</v>
      </c>
      <c r="I375" s="10">
        <v>46051</v>
      </c>
      <c r="K375" s="7" t="s">
        <v>962</v>
      </c>
      <c r="L375" s="7" t="s">
        <v>919</v>
      </c>
      <c r="M375" s="7" t="s">
        <v>920</v>
      </c>
      <c r="N375" s="7" t="s">
        <v>921</v>
      </c>
      <c r="O375" s="7" t="s">
        <v>922</v>
      </c>
      <c r="P375" s="7" t="s">
        <v>923</v>
      </c>
      <c r="Q375" s="7" t="s">
        <v>995</v>
      </c>
      <c r="R375" s="7" t="s">
        <v>996</v>
      </c>
      <c r="S375" s="7" t="s">
        <v>992</v>
      </c>
      <c r="T375" s="7" t="s">
        <v>947</v>
      </c>
      <c r="U375" s="7" t="s">
        <v>947</v>
      </c>
    </row>
    <row r="376" spans="1:21" x14ac:dyDescent="0.15">
      <c r="A376" s="7" t="s">
        <v>912</v>
      </c>
      <c r="B376" s="7" t="s">
        <v>972</v>
      </c>
      <c r="C376" s="7" t="s">
        <v>997</v>
      </c>
      <c r="D376" s="7" t="s">
        <v>999</v>
      </c>
      <c r="E376" s="7">
        <f t="shared" si="5"/>
        <v>51.65</v>
      </c>
      <c r="F376" s="7" t="s">
        <v>998</v>
      </c>
      <c r="G376" s="7" t="s">
        <v>993</v>
      </c>
      <c r="H376" s="7" t="s">
        <v>994</v>
      </c>
      <c r="I376" s="10">
        <v>46051</v>
      </c>
      <c r="K376" s="7" t="s">
        <v>962</v>
      </c>
      <c r="L376" s="7" t="s">
        <v>919</v>
      </c>
      <c r="M376" s="7" t="s">
        <v>920</v>
      </c>
      <c r="N376" s="7" t="s">
        <v>921</v>
      </c>
      <c r="O376" s="7" t="s">
        <v>922</v>
      </c>
      <c r="P376" s="7" t="s">
        <v>923</v>
      </c>
      <c r="Q376" s="7" t="s">
        <v>1000</v>
      </c>
      <c r="R376" s="7" t="s">
        <v>1001</v>
      </c>
      <c r="S376" s="7" t="s">
        <v>992</v>
      </c>
      <c r="T376" s="7" t="s">
        <v>947</v>
      </c>
      <c r="U376" s="7" t="s">
        <v>947</v>
      </c>
    </row>
    <row r="377" spans="1:21" x14ac:dyDescent="0.15">
      <c r="A377" s="7" t="s">
        <v>912</v>
      </c>
      <c r="B377" s="7" t="s">
        <v>972</v>
      </c>
      <c r="C377" s="7" t="s">
        <v>986</v>
      </c>
      <c r="D377" s="7" t="s">
        <v>988</v>
      </c>
      <c r="E377" s="7">
        <f t="shared" si="5"/>
        <v>29.759999999999998</v>
      </c>
      <c r="F377" s="7" t="s">
        <v>987</v>
      </c>
      <c r="G377" s="7" t="s">
        <v>980</v>
      </c>
      <c r="H377" s="7" t="s">
        <v>989</v>
      </c>
      <c r="I377" s="10">
        <v>46051</v>
      </c>
      <c r="K377" s="7" t="s">
        <v>962</v>
      </c>
      <c r="L377" s="7" t="s">
        <v>919</v>
      </c>
      <c r="M377" s="7" t="s">
        <v>920</v>
      </c>
      <c r="N377" s="7" t="s">
        <v>921</v>
      </c>
      <c r="O377" s="7" t="s">
        <v>922</v>
      </c>
      <c r="P377" s="7" t="s">
        <v>923</v>
      </c>
      <c r="Q377" s="7" t="s">
        <v>990</v>
      </c>
      <c r="R377" s="7" t="s">
        <v>991</v>
      </c>
      <c r="S377" s="7" t="s">
        <v>992</v>
      </c>
      <c r="T377" s="7" t="s">
        <v>947</v>
      </c>
      <c r="U377" s="7" t="s">
        <v>947</v>
      </c>
    </row>
    <row r="378" spans="1:21" x14ac:dyDescent="0.15">
      <c r="A378" s="7" t="s">
        <v>912</v>
      </c>
      <c r="B378" s="7" t="s">
        <v>972</v>
      </c>
      <c r="C378" s="7" t="s">
        <v>979</v>
      </c>
      <c r="D378" s="7" t="s">
        <v>981</v>
      </c>
      <c r="E378" s="7">
        <f t="shared" si="5"/>
        <v>59.61</v>
      </c>
      <c r="F378" s="7" t="s">
        <v>980</v>
      </c>
      <c r="G378" s="7" t="s">
        <v>974</v>
      </c>
      <c r="H378" s="7" t="s">
        <v>982</v>
      </c>
      <c r="I378" s="10">
        <v>46051</v>
      </c>
      <c r="K378" s="7" t="s">
        <v>962</v>
      </c>
      <c r="L378" s="7" t="s">
        <v>919</v>
      </c>
      <c r="M378" s="7" t="s">
        <v>920</v>
      </c>
      <c r="N378" s="7" t="s">
        <v>921</v>
      </c>
      <c r="O378" s="7" t="s">
        <v>922</v>
      </c>
      <c r="P378" s="7" t="s">
        <v>923</v>
      </c>
      <c r="Q378" s="7" t="s">
        <v>983</v>
      </c>
      <c r="R378" s="7" t="s">
        <v>984</v>
      </c>
      <c r="S378" s="7" t="s">
        <v>985</v>
      </c>
      <c r="T378" s="7" t="s">
        <v>947</v>
      </c>
      <c r="U378" s="7" t="s">
        <v>947</v>
      </c>
    </row>
    <row r="379" spans="1:21" x14ac:dyDescent="0.15">
      <c r="A379" s="7" t="s">
        <v>912</v>
      </c>
      <c r="B379" s="7" t="s">
        <v>972</v>
      </c>
      <c r="C379" s="7" t="s">
        <v>973</v>
      </c>
      <c r="D379" s="7" t="s">
        <v>975</v>
      </c>
      <c r="E379" s="7">
        <f t="shared" si="5"/>
        <v>149.16</v>
      </c>
      <c r="F379" s="7" t="s">
        <v>974</v>
      </c>
      <c r="G379" s="7" t="s">
        <v>971</v>
      </c>
      <c r="H379" s="7" t="s">
        <v>976</v>
      </c>
      <c r="I379" s="10">
        <v>46051</v>
      </c>
      <c r="K379" s="7" t="s">
        <v>962</v>
      </c>
      <c r="L379" s="7" t="s">
        <v>919</v>
      </c>
      <c r="M379" s="7" t="s">
        <v>920</v>
      </c>
      <c r="N379" s="7" t="s">
        <v>921</v>
      </c>
      <c r="O379" s="7" t="s">
        <v>922</v>
      </c>
      <c r="P379" s="7" t="s">
        <v>923</v>
      </c>
      <c r="Q379" s="7" t="s">
        <v>977</v>
      </c>
      <c r="R379" s="7" t="s">
        <v>978</v>
      </c>
      <c r="S379" s="7" t="s">
        <v>958</v>
      </c>
      <c r="T379" s="7" t="s">
        <v>947</v>
      </c>
      <c r="U379" s="7" t="s">
        <v>947</v>
      </c>
    </row>
    <row r="380" spans="1:21" x14ac:dyDescent="0.15">
      <c r="A380" s="7" t="s">
        <v>912</v>
      </c>
      <c r="B380" s="7" t="s">
        <v>913</v>
      </c>
      <c r="C380" s="7" t="s">
        <v>522</v>
      </c>
      <c r="D380" s="7" t="s">
        <v>916</v>
      </c>
      <c r="E380" s="7">
        <f t="shared" si="5"/>
        <v>384.21</v>
      </c>
      <c r="F380" s="7" t="s">
        <v>968</v>
      </c>
      <c r="G380" s="7" t="s">
        <v>967</v>
      </c>
      <c r="H380" s="7" t="s">
        <v>969</v>
      </c>
      <c r="I380" s="10">
        <v>46051</v>
      </c>
      <c r="K380" s="7" t="s">
        <v>918</v>
      </c>
      <c r="L380" s="7" t="s">
        <v>919</v>
      </c>
      <c r="M380" s="7" t="s">
        <v>920</v>
      </c>
      <c r="N380" s="7" t="s">
        <v>921</v>
      </c>
      <c r="O380" s="7" t="s">
        <v>922</v>
      </c>
      <c r="P380" s="7" t="s">
        <v>923</v>
      </c>
      <c r="Q380" s="7" t="s">
        <v>924</v>
      </c>
      <c r="R380" s="7" t="s">
        <v>925</v>
      </c>
      <c r="S380" s="7" t="s">
        <v>926</v>
      </c>
      <c r="T380" s="7" t="s">
        <v>922</v>
      </c>
      <c r="U380" s="7" t="s">
        <v>927</v>
      </c>
    </row>
    <row r="381" spans="1:21" x14ac:dyDescent="0.15">
      <c r="A381" s="7" t="s">
        <v>912</v>
      </c>
      <c r="B381" s="7" t="s">
        <v>913</v>
      </c>
      <c r="C381" s="7" t="s">
        <v>117</v>
      </c>
      <c r="D381" s="7" t="s">
        <v>916</v>
      </c>
      <c r="E381" s="7">
        <f t="shared" si="5"/>
        <v>383.17</v>
      </c>
      <c r="F381" s="7" t="s">
        <v>970</v>
      </c>
      <c r="G381" s="7" t="s">
        <v>968</v>
      </c>
      <c r="H381" s="7" t="s">
        <v>969</v>
      </c>
      <c r="I381" s="10">
        <v>46051</v>
      </c>
      <c r="K381" s="7" t="s">
        <v>918</v>
      </c>
      <c r="L381" s="7" t="s">
        <v>919</v>
      </c>
      <c r="M381" s="7" t="s">
        <v>920</v>
      </c>
      <c r="N381" s="7" t="s">
        <v>921</v>
      </c>
      <c r="O381" s="7" t="s">
        <v>922</v>
      </c>
      <c r="P381" s="7" t="s">
        <v>923</v>
      </c>
      <c r="Q381" s="7" t="s">
        <v>924</v>
      </c>
      <c r="R381" s="7" t="s">
        <v>925</v>
      </c>
      <c r="S381" s="7" t="s">
        <v>926</v>
      </c>
      <c r="T381" s="7" t="s">
        <v>922</v>
      </c>
      <c r="U381" s="7" t="s">
        <v>927</v>
      </c>
    </row>
    <row r="382" spans="1:21" x14ac:dyDescent="0.15">
      <c r="A382" s="7" t="s">
        <v>912</v>
      </c>
      <c r="B382" s="7" t="s">
        <v>913</v>
      </c>
      <c r="C382" s="7" t="s">
        <v>99</v>
      </c>
      <c r="D382" s="7" t="s">
        <v>916</v>
      </c>
      <c r="E382" s="7">
        <f t="shared" si="5"/>
        <v>165.58</v>
      </c>
      <c r="F382" s="7" t="s">
        <v>971</v>
      </c>
      <c r="G382" s="7" t="s">
        <v>970</v>
      </c>
      <c r="H382" s="7" t="s">
        <v>969</v>
      </c>
      <c r="I382" s="10">
        <v>46051</v>
      </c>
      <c r="K382" s="7" t="s">
        <v>918</v>
      </c>
      <c r="L382" s="7" t="s">
        <v>919</v>
      </c>
      <c r="M382" s="7" t="s">
        <v>920</v>
      </c>
      <c r="N382" s="7" t="s">
        <v>921</v>
      </c>
      <c r="O382" s="7" t="s">
        <v>922</v>
      </c>
      <c r="P382" s="7" t="s">
        <v>923</v>
      </c>
      <c r="Q382" s="7" t="s">
        <v>924</v>
      </c>
      <c r="R382" s="7" t="s">
        <v>925</v>
      </c>
      <c r="S382" s="7" t="s">
        <v>926</v>
      </c>
      <c r="T382" s="7" t="s">
        <v>922</v>
      </c>
      <c r="U382" s="7" t="s">
        <v>927</v>
      </c>
    </row>
    <row r="383" spans="1:21" x14ac:dyDescent="0.15">
      <c r="A383" s="7" t="s">
        <v>912</v>
      </c>
      <c r="B383" s="7" t="s">
        <v>913</v>
      </c>
      <c r="C383" s="7" t="s">
        <v>693</v>
      </c>
      <c r="D383" s="7" t="s">
        <v>916</v>
      </c>
      <c r="E383" s="7">
        <f t="shared" si="5"/>
        <v>385.64</v>
      </c>
      <c r="F383" s="7" t="s">
        <v>965</v>
      </c>
      <c r="G383" s="7" t="s">
        <v>963</v>
      </c>
      <c r="H383" s="7" t="s">
        <v>966</v>
      </c>
      <c r="I383" s="10">
        <v>46052</v>
      </c>
      <c r="K383" s="7" t="s">
        <v>918</v>
      </c>
      <c r="L383" s="7" t="s">
        <v>919</v>
      </c>
      <c r="M383" s="7" t="s">
        <v>920</v>
      </c>
      <c r="N383" s="7" t="s">
        <v>921</v>
      </c>
      <c r="O383" s="7" t="s">
        <v>922</v>
      </c>
      <c r="P383" s="7" t="s">
        <v>923</v>
      </c>
      <c r="Q383" s="7" t="s">
        <v>924</v>
      </c>
      <c r="R383" s="7" t="s">
        <v>925</v>
      </c>
      <c r="S383" s="7" t="s">
        <v>926</v>
      </c>
      <c r="T383" s="7" t="s">
        <v>922</v>
      </c>
      <c r="U383" s="7" t="s">
        <v>927</v>
      </c>
    </row>
    <row r="384" spans="1:21" x14ac:dyDescent="0.15">
      <c r="A384" s="7" t="s">
        <v>912</v>
      </c>
      <c r="B384" s="7" t="s">
        <v>913</v>
      </c>
      <c r="C384" s="7" t="s">
        <v>611</v>
      </c>
      <c r="D384" s="7" t="s">
        <v>916</v>
      </c>
      <c r="E384" s="7">
        <f t="shared" si="5"/>
        <v>163.63</v>
      </c>
      <c r="F384" s="7" t="s">
        <v>967</v>
      </c>
      <c r="G384" s="7" t="s">
        <v>965</v>
      </c>
      <c r="H384" s="7" t="s">
        <v>966</v>
      </c>
      <c r="I384" s="10">
        <v>46052</v>
      </c>
      <c r="K384" s="7" t="s">
        <v>918</v>
      </c>
      <c r="L384" s="7" t="s">
        <v>919</v>
      </c>
      <c r="M384" s="7" t="s">
        <v>920</v>
      </c>
      <c r="N384" s="7" t="s">
        <v>921</v>
      </c>
      <c r="O384" s="7" t="s">
        <v>922</v>
      </c>
      <c r="P384" s="7" t="s">
        <v>923</v>
      </c>
      <c r="Q384" s="7" t="s">
        <v>924</v>
      </c>
      <c r="R384" s="7" t="s">
        <v>925</v>
      </c>
      <c r="S384" s="7" t="s">
        <v>926</v>
      </c>
      <c r="T384" s="7" t="s">
        <v>922</v>
      </c>
      <c r="U384" s="7" t="s">
        <v>927</v>
      </c>
    </row>
    <row r="385" spans="1:21" x14ac:dyDescent="0.15">
      <c r="A385" s="7" t="s">
        <v>912</v>
      </c>
      <c r="B385" s="7" t="s">
        <v>959</v>
      </c>
      <c r="C385" s="7" t="s">
        <v>367</v>
      </c>
      <c r="D385" s="7" t="s">
        <v>916</v>
      </c>
      <c r="E385" s="7">
        <f t="shared" si="5"/>
        <v>161</v>
      </c>
      <c r="F385" s="7" t="s">
        <v>963</v>
      </c>
      <c r="G385" s="7" t="s">
        <v>960</v>
      </c>
      <c r="H385" s="7" t="s">
        <v>964</v>
      </c>
      <c r="I385" s="10">
        <v>46052</v>
      </c>
      <c r="K385" s="7" t="s">
        <v>962</v>
      </c>
      <c r="L385" s="7" t="s">
        <v>919</v>
      </c>
      <c r="M385" s="7" t="s">
        <v>920</v>
      </c>
      <c r="N385" s="7" t="s">
        <v>921</v>
      </c>
      <c r="O385" s="7" t="s">
        <v>922</v>
      </c>
      <c r="P385" s="7" t="s">
        <v>923</v>
      </c>
      <c r="Q385" s="7" t="s">
        <v>947</v>
      </c>
      <c r="R385" s="7" t="s">
        <v>947</v>
      </c>
      <c r="S385" s="7" t="s">
        <v>947</v>
      </c>
      <c r="T385" s="7" t="s">
        <v>947</v>
      </c>
      <c r="U385" s="7" t="s">
        <v>947</v>
      </c>
    </row>
    <row r="386" spans="1:21" x14ac:dyDescent="0.15">
      <c r="A386" s="7" t="s">
        <v>912</v>
      </c>
      <c r="B386" s="7" t="s">
        <v>959</v>
      </c>
      <c r="C386" s="7" t="s">
        <v>197</v>
      </c>
      <c r="D386" s="7" t="s">
        <v>916</v>
      </c>
      <c r="E386" s="7">
        <f t="shared" ref="E386:E449" si="6">C386-D386</f>
        <v>58.69</v>
      </c>
      <c r="F386" s="7" t="s">
        <v>960</v>
      </c>
      <c r="G386" s="7" t="s">
        <v>954</v>
      </c>
      <c r="H386" s="7" t="s">
        <v>961</v>
      </c>
      <c r="I386" s="10">
        <v>46052</v>
      </c>
      <c r="K386" s="7" t="s">
        <v>962</v>
      </c>
      <c r="L386" s="7" t="s">
        <v>919</v>
      </c>
      <c r="M386" s="7" t="s">
        <v>920</v>
      </c>
      <c r="N386" s="7" t="s">
        <v>921</v>
      </c>
      <c r="O386" s="7" t="s">
        <v>922</v>
      </c>
      <c r="P386" s="7" t="s">
        <v>923</v>
      </c>
      <c r="Q386" s="7" t="s">
        <v>947</v>
      </c>
      <c r="R386" s="7" t="s">
        <v>947</v>
      </c>
      <c r="S386" s="7" t="s">
        <v>947</v>
      </c>
      <c r="T386" s="7" t="s">
        <v>947</v>
      </c>
      <c r="U386" s="7" t="s">
        <v>947</v>
      </c>
    </row>
    <row r="387" spans="1:21" x14ac:dyDescent="0.15">
      <c r="A387" s="7" t="s">
        <v>912</v>
      </c>
      <c r="B387" s="7" t="s">
        <v>940</v>
      </c>
      <c r="C387" s="7" t="s">
        <v>150</v>
      </c>
      <c r="D387" s="7">
        <v>0</v>
      </c>
      <c r="E387" s="7">
        <f t="shared" si="6"/>
        <v>63.78</v>
      </c>
      <c r="F387" s="7" t="s">
        <v>954</v>
      </c>
      <c r="G387" s="7" t="s">
        <v>949</v>
      </c>
      <c r="H387" s="7" t="s">
        <v>955</v>
      </c>
      <c r="I387" s="10">
        <v>46052</v>
      </c>
      <c r="K387" s="7" t="s">
        <v>943</v>
      </c>
      <c r="L387" s="7" t="s">
        <v>919</v>
      </c>
      <c r="M387" s="7" t="s">
        <v>920</v>
      </c>
      <c r="N387" s="7" t="s">
        <v>921</v>
      </c>
      <c r="O387" s="7" t="s">
        <v>922</v>
      </c>
      <c r="P387" s="7" t="s">
        <v>923</v>
      </c>
      <c r="Q387" s="7" t="s">
        <v>956</v>
      </c>
      <c r="R387" s="7" t="s">
        <v>957</v>
      </c>
      <c r="S387" s="7" t="s">
        <v>958</v>
      </c>
      <c r="T387" s="7" t="s">
        <v>947</v>
      </c>
      <c r="U387" s="7" t="s">
        <v>947</v>
      </c>
    </row>
    <row r="388" spans="1:21" x14ac:dyDescent="0.15">
      <c r="A388" s="7" t="s">
        <v>948</v>
      </c>
      <c r="B388" s="7" t="s">
        <v>940</v>
      </c>
      <c r="C388" s="7" t="s">
        <v>682</v>
      </c>
      <c r="D388" s="7">
        <v>0</v>
      </c>
      <c r="E388" s="7">
        <f t="shared" si="6"/>
        <v>-200.04</v>
      </c>
      <c r="F388" s="7" t="s">
        <v>949</v>
      </c>
      <c r="G388" s="7" t="s">
        <v>941</v>
      </c>
      <c r="H388" s="7" t="s">
        <v>950</v>
      </c>
      <c r="I388" s="10">
        <v>46052</v>
      </c>
      <c r="K388" s="7" t="s">
        <v>951</v>
      </c>
      <c r="L388" s="7" t="s">
        <v>370</v>
      </c>
      <c r="M388" s="7" t="s">
        <v>952</v>
      </c>
      <c r="N388" s="7" t="s">
        <v>953</v>
      </c>
      <c r="O388" s="7" t="s">
        <v>947</v>
      </c>
      <c r="P388" s="7" t="s">
        <v>947</v>
      </c>
      <c r="Q388" s="7" t="s">
        <v>919</v>
      </c>
      <c r="R388" s="7" t="s">
        <v>920</v>
      </c>
      <c r="S388" s="7" t="s">
        <v>921</v>
      </c>
      <c r="T388" s="7" t="s">
        <v>922</v>
      </c>
      <c r="U388" s="7" t="s">
        <v>923</v>
      </c>
    </row>
    <row r="389" spans="1:21" x14ac:dyDescent="0.15">
      <c r="A389" s="7" t="s">
        <v>912</v>
      </c>
      <c r="B389" s="7" t="s">
        <v>940</v>
      </c>
      <c r="C389" s="7" t="s">
        <v>675</v>
      </c>
      <c r="D389" s="7">
        <v>0</v>
      </c>
      <c r="E389" s="7">
        <f t="shared" si="6"/>
        <v>1500</v>
      </c>
      <c r="F389" s="7" t="s">
        <v>941</v>
      </c>
      <c r="G389" s="7" t="s">
        <v>938</v>
      </c>
      <c r="H389" s="7" t="s">
        <v>942</v>
      </c>
      <c r="I389" s="10">
        <v>46053</v>
      </c>
      <c r="K389" s="7" t="s">
        <v>943</v>
      </c>
      <c r="L389" s="7" t="s">
        <v>919</v>
      </c>
      <c r="M389" s="7" t="s">
        <v>920</v>
      </c>
      <c r="N389" s="7" t="s">
        <v>921</v>
      </c>
      <c r="O389" s="7" t="s">
        <v>922</v>
      </c>
      <c r="P389" s="7" t="s">
        <v>923</v>
      </c>
      <c r="Q389" s="7" t="s">
        <v>944</v>
      </c>
      <c r="R389" s="7" t="s">
        <v>945</v>
      </c>
      <c r="S389" s="7" t="s">
        <v>946</v>
      </c>
      <c r="T389" s="7" t="s">
        <v>947</v>
      </c>
      <c r="U389" s="7" t="s">
        <v>947</v>
      </c>
    </row>
    <row r="390" spans="1:21" x14ac:dyDescent="0.15">
      <c r="A390" s="7" t="s">
        <v>912</v>
      </c>
      <c r="B390" s="7" t="s">
        <v>913</v>
      </c>
      <c r="C390" s="7" t="s">
        <v>265</v>
      </c>
      <c r="D390" s="7" t="s">
        <v>916</v>
      </c>
      <c r="E390" s="7">
        <f t="shared" si="6"/>
        <v>10.77</v>
      </c>
      <c r="F390" s="7" t="s">
        <v>938</v>
      </c>
      <c r="G390" s="7" t="s">
        <v>937</v>
      </c>
      <c r="H390" s="7" t="s">
        <v>939</v>
      </c>
      <c r="I390" s="10">
        <v>46053</v>
      </c>
      <c r="K390" s="7" t="s">
        <v>918</v>
      </c>
      <c r="L390" s="7" t="s">
        <v>919</v>
      </c>
      <c r="M390" s="7" t="s">
        <v>920</v>
      </c>
      <c r="N390" s="7" t="s">
        <v>921</v>
      </c>
      <c r="O390" s="7" t="s">
        <v>922</v>
      </c>
      <c r="P390" s="7" t="s">
        <v>923</v>
      </c>
      <c r="Q390" s="7" t="s">
        <v>924</v>
      </c>
      <c r="R390" s="7" t="s">
        <v>925</v>
      </c>
      <c r="S390" s="7" t="s">
        <v>926</v>
      </c>
      <c r="T390" s="7" t="s">
        <v>922</v>
      </c>
      <c r="U390" s="7" t="s">
        <v>927</v>
      </c>
    </row>
    <row r="391" spans="1:21" x14ac:dyDescent="0.15">
      <c r="A391" s="7" t="s">
        <v>912</v>
      </c>
      <c r="B391" s="7" t="s">
        <v>913</v>
      </c>
      <c r="C391" s="7" t="s">
        <v>847</v>
      </c>
      <c r="D391" s="7" t="s">
        <v>916</v>
      </c>
      <c r="E391" s="7">
        <f t="shared" si="6"/>
        <v>42.04</v>
      </c>
      <c r="F391" s="7" t="s">
        <v>932</v>
      </c>
      <c r="G391" s="7" t="s">
        <v>931</v>
      </c>
      <c r="H391" s="7" t="s">
        <v>933</v>
      </c>
      <c r="I391" s="10">
        <v>46053</v>
      </c>
      <c r="K391" s="7" t="s">
        <v>918</v>
      </c>
      <c r="L391" s="7" t="s">
        <v>919</v>
      </c>
      <c r="M391" s="7" t="s">
        <v>920</v>
      </c>
      <c r="N391" s="7" t="s">
        <v>921</v>
      </c>
      <c r="O391" s="7" t="s">
        <v>922</v>
      </c>
      <c r="P391" s="7" t="s">
        <v>923</v>
      </c>
      <c r="Q391" s="7" t="s">
        <v>924</v>
      </c>
      <c r="R391" s="7" t="s">
        <v>925</v>
      </c>
      <c r="S391" s="7" t="s">
        <v>926</v>
      </c>
      <c r="T391" s="7" t="s">
        <v>922</v>
      </c>
      <c r="U391" s="7" t="s">
        <v>927</v>
      </c>
    </row>
    <row r="392" spans="1:21" x14ac:dyDescent="0.15">
      <c r="A392" s="7" t="s">
        <v>912</v>
      </c>
      <c r="B392" s="7" t="s">
        <v>913</v>
      </c>
      <c r="C392" s="7" t="s">
        <v>553</v>
      </c>
      <c r="D392" s="7" t="s">
        <v>916</v>
      </c>
      <c r="E392" s="7">
        <f t="shared" si="6"/>
        <v>106.02</v>
      </c>
      <c r="F392" s="7" t="s">
        <v>934</v>
      </c>
      <c r="G392" s="7" t="s">
        <v>932</v>
      </c>
      <c r="H392" s="7" t="s">
        <v>933</v>
      </c>
      <c r="I392" s="10">
        <v>46053</v>
      </c>
      <c r="K392" s="7" t="s">
        <v>918</v>
      </c>
      <c r="L392" s="7" t="s">
        <v>919</v>
      </c>
      <c r="M392" s="7" t="s">
        <v>920</v>
      </c>
      <c r="N392" s="7" t="s">
        <v>921</v>
      </c>
      <c r="O392" s="7" t="s">
        <v>922</v>
      </c>
      <c r="P392" s="7" t="s">
        <v>923</v>
      </c>
      <c r="Q392" s="7" t="s">
        <v>924</v>
      </c>
      <c r="R392" s="7" t="s">
        <v>925</v>
      </c>
      <c r="S392" s="7" t="s">
        <v>926</v>
      </c>
      <c r="T392" s="7" t="s">
        <v>922</v>
      </c>
      <c r="U392" s="7" t="s">
        <v>927</v>
      </c>
    </row>
    <row r="393" spans="1:21" x14ac:dyDescent="0.15">
      <c r="A393" s="7" t="s">
        <v>912</v>
      </c>
      <c r="B393" s="7" t="s">
        <v>913</v>
      </c>
      <c r="C393" s="7" t="s">
        <v>328</v>
      </c>
      <c r="D393" s="7" t="s">
        <v>916</v>
      </c>
      <c r="E393" s="7">
        <f t="shared" si="6"/>
        <v>89.96</v>
      </c>
      <c r="F393" s="7" t="s">
        <v>935</v>
      </c>
      <c r="G393" s="7" t="s">
        <v>934</v>
      </c>
      <c r="H393" s="7" t="s">
        <v>933</v>
      </c>
      <c r="I393" s="10">
        <v>46053</v>
      </c>
      <c r="K393" s="7" t="s">
        <v>918</v>
      </c>
      <c r="L393" s="7" t="s">
        <v>919</v>
      </c>
      <c r="M393" s="7" t="s">
        <v>920</v>
      </c>
      <c r="N393" s="7" t="s">
        <v>921</v>
      </c>
      <c r="O393" s="7" t="s">
        <v>922</v>
      </c>
      <c r="P393" s="7" t="s">
        <v>923</v>
      </c>
      <c r="Q393" s="7" t="s">
        <v>924</v>
      </c>
      <c r="R393" s="7" t="s">
        <v>925</v>
      </c>
      <c r="S393" s="7" t="s">
        <v>926</v>
      </c>
      <c r="T393" s="7" t="s">
        <v>922</v>
      </c>
      <c r="U393" s="7" t="s">
        <v>927</v>
      </c>
    </row>
    <row r="394" spans="1:21" x14ac:dyDescent="0.15">
      <c r="A394" s="7" t="s">
        <v>912</v>
      </c>
      <c r="B394" s="7" t="s">
        <v>913</v>
      </c>
      <c r="C394" s="7" t="s">
        <v>788</v>
      </c>
      <c r="D394" s="7" t="s">
        <v>916</v>
      </c>
      <c r="E394" s="7">
        <f t="shared" si="6"/>
        <v>235.33</v>
      </c>
      <c r="F394" s="7" t="s">
        <v>936</v>
      </c>
      <c r="G394" s="7" t="s">
        <v>935</v>
      </c>
      <c r="H394" s="7" t="s">
        <v>933</v>
      </c>
      <c r="I394" s="10">
        <v>46053</v>
      </c>
      <c r="K394" s="7" t="s">
        <v>918</v>
      </c>
      <c r="L394" s="7" t="s">
        <v>919</v>
      </c>
      <c r="M394" s="7" t="s">
        <v>920</v>
      </c>
      <c r="N394" s="7" t="s">
        <v>921</v>
      </c>
      <c r="O394" s="7" t="s">
        <v>922</v>
      </c>
      <c r="P394" s="7" t="s">
        <v>923</v>
      </c>
      <c r="Q394" s="7" t="s">
        <v>924</v>
      </c>
      <c r="R394" s="7" t="s">
        <v>925</v>
      </c>
      <c r="S394" s="7" t="s">
        <v>926</v>
      </c>
      <c r="T394" s="7" t="s">
        <v>922</v>
      </c>
      <c r="U394" s="7" t="s">
        <v>927</v>
      </c>
    </row>
    <row r="395" spans="1:21" x14ac:dyDescent="0.15">
      <c r="A395" s="7" t="s">
        <v>912</v>
      </c>
      <c r="B395" s="7" t="s">
        <v>913</v>
      </c>
      <c r="C395" s="7" t="s">
        <v>735</v>
      </c>
      <c r="D395" s="7" t="s">
        <v>916</v>
      </c>
      <c r="E395" s="7">
        <f t="shared" si="6"/>
        <v>21.46</v>
      </c>
      <c r="F395" s="7" t="s">
        <v>937</v>
      </c>
      <c r="G395" s="7" t="s">
        <v>936</v>
      </c>
      <c r="H395" s="7" t="s">
        <v>933</v>
      </c>
      <c r="I395" s="10">
        <v>46053</v>
      </c>
      <c r="K395" s="7" t="s">
        <v>918</v>
      </c>
      <c r="L395" s="7" t="s">
        <v>919</v>
      </c>
      <c r="M395" s="7" t="s">
        <v>920</v>
      </c>
      <c r="N395" s="7" t="s">
        <v>921</v>
      </c>
      <c r="O395" s="7" t="s">
        <v>922</v>
      </c>
      <c r="P395" s="7" t="s">
        <v>923</v>
      </c>
      <c r="Q395" s="7" t="s">
        <v>924</v>
      </c>
      <c r="R395" s="7" t="s">
        <v>925</v>
      </c>
      <c r="S395" s="7" t="s">
        <v>926</v>
      </c>
      <c r="T395" s="7" t="s">
        <v>922</v>
      </c>
      <c r="U395" s="7" t="s">
        <v>927</v>
      </c>
    </row>
    <row r="396" spans="1:21" x14ac:dyDescent="0.15">
      <c r="A396" s="7" t="s">
        <v>912</v>
      </c>
      <c r="B396" s="7" t="s">
        <v>913</v>
      </c>
      <c r="C396" s="7" t="s">
        <v>369</v>
      </c>
      <c r="D396" s="7" t="s">
        <v>916</v>
      </c>
      <c r="E396" s="7">
        <f t="shared" si="6"/>
        <v>35.68</v>
      </c>
      <c r="F396" s="7" t="s">
        <v>929</v>
      </c>
      <c r="G396" s="7" t="s">
        <v>928</v>
      </c>
      <c r="H396" s="7" t="s">
        <v>930</v>
      </c>
      <c r="I396" s="10">
        <v>46053</v>
      </c>
      <c r="K396" s="7" t="s">
        <v>918</v>
      </c>
      <c r="L396" s="7" t="s">
        <v>919</v>
      </c>
      <c r="M396" s="7" t="s">
        <v>920</v>
      </c>
      <c r="N396" s="7" t="s">
        <v>921</v>
      </c>
      <c r="O396" s="7" t="s">
        <v>922</v>
      </c>
      <c r="P396" s="7" t="s">
        <v>923</v>
      </c>
      <c r="Q396" s="7" t="s">
        <v>924</v>
      </c>
      <c r="R396" s="7" t="s">
        <v>925</v>
      </c>
      <c r="S396" s="7" t="s">
        <v>926</v>
      </c>
      <c r="T396" s="7" t="s">
        <v>922</v>
      </c>
      <c r="U396" s="7" t="s">
        <v>927</v>
      </c>
    </row>
    <row r="397" spans="1:21" x14ac:dyDescent="0.15">
      <c r="A397" s="7" t="s">
        <v>912</v>
      </c>
      <c r="B397" s="7" t="s">
        <v>913</v>
      </c>
      <c r="C397" s="7" t="s">
        <v>0</v>
      </c>
      <c r="D397" s="7" t="s">
        <v>916</v>
      </c>
      <c r="E397" s="7">
        <f t="shared" si="6"/>
        <v>10.44</v>
      </c>
      <c r="F397" s="7" t="s">
        <v>931</v>
      </c>
      <c r="G397" s="7" t="s">
        <v>929</v>
      </c>
      <c r="H397" s="7" t="s">
        <v>930</v>
      </c>
      <c r="I397" s="10">
        <v>46053</v>
      </c>
      <c r="K397" s="7" t="s">
        <v>918</v>
      </c>
      <c r="L397" s="7" t="s">
        <v>919</v>
      </c>
      <c r="M397" s="7" t="s">
        <v>920</v>
      </c>
      <c r="N397" s="7" t="s">
        <v>921</v>
      </c>
      <c r="O397" s="7" t="s">
        <v>922</v>
      </c>
      <c r="P397" s="7" t="s">
        <v>923</v>
      </c>
      <c r="Q397" s="7" t="s">
        <v>924</v>
      </c>
      <c r="R397" s="7" t="s">
        <v>925</v>
      </c>
      <c r="S397" s="7" t="s">
        <v>926</v>
      </c>
      <c r="T397" s="7" t="s">
        <v>922</v>
      </c>
      <c r="U397" s="7" t="s">
        <v>927</v>
      </c>
    </row>
    <row r="398" spans="1:21" x14ac:dyDescent="0.15">
      <c r="A398" s="7" t="s">
        <v>912</v>
      </c>
      <c r="B398" s="7" t="s">
        <v>913</v>
      </c>
      <c r="C398" s="7" t="s">
        <v>400</v>
      </c>
      <c r="D398" s="7" t="s">
        <v>916</v>
      </c>
      <c r="E398" s="7">
        <f t="shared" si="6"/>
        <v>34.94</v>
      </c>
      <c r="F398" s="7" t="s">
        <v>914</v>
      </c>
      <c r="G398" s="7" t="s">
        <v>915</v>
      </c>
      <c r="H398" s="7" t="s">
        <v>917</v>
      </c>
      <c r="I398" s="10">
        <v>46053</v>
      </c>
      <c r="K398" s="7" t="s">
        <v>918</v>
      </c>
      <c r="L398" s="7" t="s">
        <v>919</v>
      </c>
      <c r="M398" s="7" t="s">
        <v>920</v>
      </c>
      <c r="N398" s="7" t="s">
        <v>921</v>
      </c>
      <c r="O398" s="7" t="s">
        <v>922</v>
      </c>
      <c r="P398" s="7" t="s">
        <v>923</v>
      </c>
      <c r="Q398" s="7" t="s">
        <v>924</v>
      </c>
      <c r="R398" s="7" t="s">
        <v>925</v>
      </c>
      <c r="S398" s="7" t="s">
        <v>926</v>
      </c>
      <c r="T398" s="7" t="s">
        <v>922</v>
      </c>
      <c r="U398" s="7" t="s">
        <v>927</v>
      </c>
    </row>
    <row r="399" spans="1:21" x14ac:dyDescent="0.15">
      <c r="A399" s="7" t="s">
        <v>912</v>
      </c>
      <c r="B399" s="7" t="s">
        <v>913</v>
      </c>
      <c r="C399" s="7" t="s">
        <v>826</v>
      </c>
      <c r="D399" s="7" t="s">
        <v>916</v>
      </c>
      <c r="E399" s="7">
        <f t="shared" si="6"/>
        <v>91.86</v>
      </c>
      <c r="F399" s="7" t="s">
        <v>928</v>
      </c>
      <c r="G399" s="7" t="s">
        <v>914</v>
      </c>
      <c r="H399" s="7" t="s">
        <v>917</v>
      </c>
      <c r="I399" s="10">
        <v>46053</v>
      </c>
      <c r="K399" s="7" t="s">
        <v>918</v>
      </c>
      <c r="L399" s="7" t="s">
        <v>919</v>
      </c>
      <c r="M399" s="7" t="s">
        <v>920</v>
      </c>
      <c r="N399" s="7" t="s">
        <v>921</v>
      </c>
      <c r="O399" s="7" t="s">
        <v>922</v>
      </c>
      <c r="P399" s="7" t="s">
        <v>923</v>
      </c>
      <c r="Q399" s="7" t="s">
        <v>924</v>
      </c>
      <c r="R399" s="7" t="s">
        <v>925</v>
      </c>
      <c r="S399" s="7" t="s">
        <v>926</v>
      </c>
      <c r="T399" s="7" t="s">
        <v>922</v>
      </c>
      <c r="U399" s="7" t="s">
        <v>927</v>
      </c>
    </row>
  </sheetData>
  <autoFilter ref="A1:U1" xr:uid="{58AF0F28-DD64-4D7C-B419-D494BEDE2B9A}">
    <sortState xmlns:xlrd2="http://schemas.microsoft.com/office/spreadsheetml/2017/richdata2" ref="A2:U399">
      <sortCondition ref="H1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7BA7D-B4B3-4684-8BEA-3B9F8A43D7D8}">
  <dimension ref="A1:D29"/>
  <sheetViews>
    <sheetView workbookViewId="0">
      <selection activeCell="B2" sqref="B2:B12"/>
    </sheetView>
  </sheetViews>
  <sheetFormatPr defaultRowHeight="12.75" x14ac:dyDescent="0.15"/>
  <cols>
    <col min="1" max="1" width="24" style="11" customWidth="1"/>
    <col min="2" max="2" width="16.5" customWidth="1"/>
    <col min="3" max="3" width="11.1640625" bestFit="1" customWidth="1"/>
    <col min="4" max="4" width="13.6640625" customWidth="1"/>
  </cols>
  <sheetData>
    <row r="1" spans="1:4" x14ac:dyDescent="0.15">
      <c r="A1" s="11" t="s">
        <v>542</v>
      </c>
      <c r="B1" t="s">
        <v>2073</v>
      </c>
      <c r="C1" t="s">
        <v>2074</v>
      </c>
      <c r="D1" t="s">
        <v>2075</v>
      </c>
    </row>
    <row r="2" spans="1:4" x14ac:dyDescent="0.15">
      <c r="A2" s="12">
        <v>46023</v>
      </c>
      <c r="B2">
        <f>SUMIF('extrato-stone-literarius'!C:C,Planilha1!A2,'extrato-stone-literarius'!F:F)</f>
        <v>109.38</v>
      </c>
      <c r="C2">
        <f>SUMIF('extrato stone'!I:I,Planilha1!A2,'extrato stone'!E:E)</f>
        <v>109.38</v>
      </c>
      <c r="D2">
        <f t="shared" ref="D2:D29" si="0">B2-C2</f>
        <v>0</v>
      </c>
    </row>
    <row r="3" spans="1:4" x14ac:dyDescent="0.15">
      <c r="A3" s="12">
        <v>46024</v>
      </c>
      <c r="B3">
        <f>SUMIF('extrato-stone-literarius'!C:C,Planilha1!A3,'extrato-stone-literarius'!F:F)</f>
        <v>206.64</v>
      </c>
      <c r="C3">
        <f>SUMIF('extrato stone'!I:I,Planilha1!A3,'extrato stone'!E:E)</f>
        <v>206.64</v>
      </c>
      <c r="D3">
        <f t="shared" si="0"/>
        <v>0</v>
      </c>
    </row>
    <row r="4" spans="1:4" x14ac:dyDescent="0.15">
      <c r="A4" s="12">
        <v>46026</v>
      </c>
      <c r="B4">
        <f>SUMIF('extrato-stone-literarius'!C:C,Planilha1!A4,'extrato-stone-literarius'!F:F)</f>
        <v>15966.839999999998</v>
      </c>
      <c r="C4">
        <f>SUMIF('extrato stone'!I:I,Planilha1!A4,'extrato stone'!E:E)</f>
        <v>15966.84</v>
      </c>
      <c r="D4">
        <f t="shared" si="0"/>
        <v>0</v>
      </c>
    </row>
    <row r="5" spans="1:4" x14ac:dyDescent="0.15">
      <c r="A5" s="12">
        <v>46027</v>
      </c>
      <c r="B5">
        <f>SUMIF('extrato-stone-literarius'!C:C,Planilha1!A5,'extrato-stone-literarius'!F:F)</f>
        <v>-20921.739999999998</v>
      </c>
      <c r="C5">
        <f>SUMIF('extrato stone'!I:I,Planilha1!A5,'extrato stone'!E:E)</f>
        <v>-20921.739999999998</v>
      </c>
      <c r="D5">
        <f t="shared" si="0"/>
        <v>0</v>
      </c>
    </row>
    <row r="6" spans="1:4" x14ac:dyDescent="0.15">
      <c r="A6" s="12">
        <v>46028</v>
      </c>
      <c r="B6">
        <f>SUMIF('extrato-stone-literarius'!C:C,Planilha1!A6,'extrato-stone-literarius'!F:F)</f>
        <v>21740.239999999998</v>
      </c>
      <c r="C6">
        <f>SUMIF('extrato stone'!I:I,Planilha1!A6,'extrato stone'!E:E)</f>
        <v>21740.240000000002</v>
      </c>
      <c r="D6">
        <f t="shared" si="0"/>
        <v>0</v>
      </c>
    </row>
    <row r="7" spans="1:4" x14ac:dyDescent="0.15">
      <c r="A7" s="12">
        <v>46029</v>
      </c>
      <c r="B7">
        <f>SUMIF('extrato-stone-literarius'!C:C,Planilha1!A7,'extrato-stone-literarius'!F:F)</f>
        <v>-22402.57</v>
      </c>
      <c r="C7">
        <f>SUMIF('extrato stone'!I:I,Planilha1!A7,'extrato stone'!E:E)</f>
        <v>-22402.569999999996</v>
      </c>
      <c r="D7">
        <f t="shared" si="0"/>
        <v>0</v>
      </c>
    </row>
    <row r="8" spans="1:4" x14ac:dyDescent="0.15">
      <c r="A8" s="12">
        <v>46030</v>
      </c>
      <c r="B8">
        <f>SUMIF('extrato-stone-literarius'!C:C,Planilha1!A8,'extrato-stone-literarius'!F:F)</f>
        <v>1096.3700000000001</v>
      </c>
      <c r="C8">
        <f>SUMIF('extrato stone'!I:I,Planilha1!A8,'extrato stone'!E:E)</f>
        <v>1096.3700000000001</v>
      </c>
      <c r="D8">
        <f t="shared" si="0"/>
        <v>0</v>
      </c>
    </row>
    <row r="9" spans="1:4" x14ac:dyDescent="0.15">
      <c r="A9" s="12">
        <v>46031</v>
      </c>
      <c r="B9">
        <f>SUMIF('extrato-stone-literarius'!C:C,Planilha1!A9,'extrato-stone-literarius'!F:F)</f>
        <v>-1000</v>
      </c>
      <c r="C9">
        <f>SUMIF('extrato stone'!I:I,Planilha1!A9,'extrato stone'!E:E)</f>
        <v>-1000</v>
      </c>
      <c r="D9">
        <f t="shared" si="0"/>
        <v>0</v>
      </c>
    </row>
    <row r="10" spans="1:4" x14ac:dyDescent="0.15">
      <c r="A10" s="12">
        <v>46032</v>
      </c>
      <c r="B10">
        <f>SUMIF('extrato-stone-literarius'!C:C,Planilha1!A10,'extrato-stone-literarius'!F:F)</f>
        <v>6738.92</v>
      </c>
      <c r="C10">
        <f>SUMIF('extrato stone'!I:I,Planilha1!A10,'extrato stone'!E:E)</f>
        <v>6738.92</v>
      </c>
      <c r="D10">
        <f t="shared" si="0"/>
        <v>0</v>
      </c>
    </row>
    <row r="11" spans="1:4" x14ac:dyDescent="0.15">
      <c r="A11" s="12">
        <v>46033</v>
      </c>
      <c r="B11">
        <f>SUMIF('extrato-stone-literarius'!C:C,Planilha1!A11,'extrato-stone-literarius'!F:F)</f>
        <v>15355.689999999997</v>
      </c>
      <c r="C11">
        <f>SUMIF('extrato stone'!I:I,Planilha1!A11,'extrato stone'!E:E)</f>
        <v>15355.689999999995</v>
      </c>
      <c r="D11">
        <f t="shared" si="0"/>
        <v>0</v>
      </c>
    </row>
    <row r="12" spans="1:4" x14ac:dyDescent="0.15">
      <c r="A12" s="12">
        <v>46034</v>
      </c>
      <c r="B12">
        <f>SUMIF('extrato-stone-literarius'!C:C,Planilha1!A12,'extrato-stone-literarius'!F:F)</f>
        <v>11085.54</v>
      </c>
      <c r="C12">
        <f>SUMIF('extrato stone'!I:I,Planilha1!A12,'extrato stone'!E:E)</f>
        <v>11085.54</v>
      </c>
      <c r="D12">
        <f t="shared" si="0"/>
        <v>0</v>
      </c>
    </row>
    <row r="13" spans="1:4" x14ac:dyDescent="0.15">
      <c r="A13" s="12">
        <v>46035</v>
      </c>
      <c r="B13">
        <f>SUMIF('extrato-stone-literarius'!C:C,Planilha1!A13,'extrato-stone-literarius'!F:F)</f>
        <v>9351.51</v>
      </c>
      <c r="C13">
        <f>SUMIF('extrato stone'!I:I,Planilha1!A13,'extrato stone'!E:E)</f>
        <v>9351.51</v>
      </c>
      <c r="D13">
        <f t="shared" si="0"/>
        <v>0</v>
      </c>
    </row>
    <row r="14" spans="1:4" x14ac:dyDescent="0.15">
      <c r="A14" s="12">
        <v>46036</v>
      </c>
      <c r="B14">
        <f>SUMIF('extrato-stone-literarius'!C:C,Planilha1!A14,'extrato-stone-literarius'!F:F)</f>
        <v>-42952.82</v>
      </c>
      <c r="C14">
        <f>SUMIF('extrato stone'!I:I,Planilha1!A14,'extrato stone'!E:E)</f>
        <v>-42952.819999999992</v>
      </c>
      <c r="D14">
        <f t="shared" si="0"/>
        <v>0</v>
      </c>
    </row>
    <row r="15" spans="1:4" x14ac:dyDescent="0.15">
      <c r="A15" s="12">
        <v>46037</v>
      </c>
      <c r="B15">
        <f>SUMIF('extrato-stone-literarius'!C:C,Planilha1!A15,'extrato-stone-literarius'!F:F)</f>
        <v>2504.69</v>
      </c>
      <c r="C15">
        <f>SUMIF('extrato stone'!I:I,Planilha1!A15,'extrato stone'!E:E)</f>
        <v>2504.69</v>
      </c>
      <c r="D15">
        <f t="shared" si="0"/>
        <v>0</v>
      </c>
    </row>
    <row r="16" spans="1:4" x14ac:dyDescent="0.15">
      <c r="A16" s="12">
        <v>46038</v>
      </c>
      <c r="B16">
        <f>SUMIF('extrato-stone-literarius'!C:C,Planilha1!A16,'extrato-stone-literarius'!F:F)</f>
        <v>599.41</v>
      </c>
      <c r="C16">
        <f>SUMIF('extrato stone'!I:I,Planilha1!A16,'extrato stone'!E:E)</f>
        <v>599.41000000000008</v>
      </c>
      <c r="D16">
        <f t="shared" si="0"/>
        <v>0</v>
      </c>
    </row>
    <row r="17" spans="1:4" x14ac:dyDescent="0.15">
      <c r="A17" s="12">
        <v>46040</v>
      </c>
      <c r="B17">
        <f>SUMIF('extrato-stone-literarius'!C:C,Planilha1!A17,'extrato-stone-literarius'!F:F)</f>
        <v>9447.2900000000009</v>
      </c>
      <c r="C17">
        <f>SUMIF('extrato stone'!I:I,Planilha1!A17,'extrato stone'!E:E)</f>
        <v>9447.2899999999991</v>
      </c>
      <c r="D17">
        <f t="shared" si="0"/>
        <v>0</v>
      </c>
    </row>
    <row r="18" spans="1:4" x14ac:dyDescent="0.15">
      <c r="A18" s="12">
        <v>46041</v>
      </c>
      <c r="B18">
        <f>SUMIF('extrato-stone-literarius'!C:C,Planilha1!A18,'extrato-stone-literarius'!F:F)</f>
        <v>-16947.839999999997</v>
      </c>
      <c r="C18">
        <f>SUMIF('extrato stone'!I:I,Planilha1!A18,'extrato stone'!E:E)</f>
        <v>-16947.839999999997</v>
      </c>
      <c r="D18">
        <f t="shared" si="0"/>
        <v>0</v>
      </c>
    </row>
    <row r="19" spans="1:4" x14ac:dyDescent="0.15">
      <c r="A19" s="12">
        <v>46042</v>
      </c>
      <c r="B19">
        <f>SUMIF('extrato-stone-literarius'!C:C,Planilha1!A19,'extrato-stone-literarius'!F:F)</f>
        <v>1545.27</v>
      </c>
      <c r="C19">
        <f>SUMIF('extrato stone'!I:I,Planilha1!A19,'extrato stone'!E:E)</f>
        <v>1545.27</v>
      </c>
      <c r="D19">
        <f t="shared" si="0"/>
        <v>0</v>
      </c>
    </row>
    <row r="20" spans="1:4" x14ac:dyDescent="0.15">
      <c r="A20" s="12">
        <v>46043</v>
      </c>
      <c r="B20">
        <f>SUMIF('extrato-stone-literarius'!C:C,Planilha1!A20,'extrato-stone-literarius'!F:F)</f>
        <v>636.48</v>
      </c>
      <c r="C20">
        <f>SUMIF('extrato stone'!I:I,Planilha1!A20,'extrato stone'!E:E)</f>
        <v>636.48</v>
      </c>
      <c r="D20">
        <f t="shared" si="0"/>
        <v>0</v>
      </c>
    </row>
    <row r="21" spans="1:4" x14ac:dyDescent="0.15">
      <c r="A21" s="12">
        <v>46044</v>
      </c>
      <c r="B21">
        <f>SUMIF('extrato-stone-literarius'!C:C,Planilha1!A21,'extrato-stone-literarius'!F:F)</f>
        <v>6450.2699999999995</v>
      </c>
      <c r="C21">
        <f>SUMIF('extrato stone'!I:I,Planilha1!A21,'extrato stone'!E:E)</f>
        <v>6450.27</v>
      </c>
      <c r="D21">
        <f t="shared" si="0"/>
        <v>0</v>
      </c>
    </row>
    <row r="22" spans="1:4" x14ac:dyDescent="0.15">
      <c r="A22" s="12">
        <v>46045</v>
      </c>
      <c r="B22">
        <f>SUMIF('extrato-stone-literarius'!C:C,Planilha1!A22,'extrato-stone-literarius'!F:F)</f>
        <v>500.11</v>
      </c>
      <c r="C22">
        <f>SUMIF('extrato stone'!I:I,Planilha1!A22,'extrato stone'!E:E)</f>
        <v>500.11</v>
      </c>
      <c r="D22">
        <f t="shared" si="0"/>
        <v>0</v>
      </c>
    </row>
    <row r="23" spans="1:4" x14ac:dyDescent="0.15">
      <c r="A23" s="12">
        <v>46047</v>
      </c>
      <c r="B23">
        <f>SUMIF('extrato-stone-literarius'!C:C,Planilha1!A23,'extrato-stone-literarius'!F:F)</f>
        <v>23119.73</v>
      </c>
      <c r="C23">
        <f>SUMIF('extrato stone'!I:I,Planilha1!A23,'extrato stone'!E:E)</f>
        <v>23119.729999999992</v>
      </c>
      <c r="D23">
        <f t="shared" si="0"/>
        <v>0</v>
      </c>
    </row>
    <row r="24" spans="1:4" x14ac:dyDescent="0.15">
      <c r="A24" s="12">
        <v>46048</v>
      </c>
      <c r="B24">
        <f>SUMIF('extrato-stone-literarius'!C:C,Planilha1!A24,'extrato-stone-literarius'!F:F)</f>
        <v>2380.2000000000007</v>
      </c>
      <c r="C24">
        <f>SUMIF('extrato stone'!I:I,Planilha1!A24,'extrato stone'!E:E)</f>
        <v>2380.2000000000003</v>
      </c>
      <c r="D24">
        <f t="shared" si="0"/>
        <v>0</v>
      </c>
    </row>
    <row r="25" spans="1:4" x14ac:dyDescent="0.15">
      <c r="A25" s="12">
        <v>46049</v>
      </c>
      <c r="B25">
        <f>SUMIF('extrato-stone-literarius'!C:C,Planilha1!A25,'extrato-stone-literarius'!F:F)</f>
        <v>20607.769999999997</v>
      </c>
      <c r="C25">
        <f>SUMIF('extrato stone'!I:I,Planilha1!A25,'extrato stone'!E:E)</f>
        <v>20607.77</v>
      </c>
      <c r="D25">
        <f t="shared" si="0"/>
        <v>0</v>
      </c>
    </row>
    <row r="26" spans="1:4" x14ac:dyDescent="0.15">
      <c r="A26" s="12">
        <v>46050</v>
      </c>
      <c r="B26">
        <f>SUMIF('extrato-stone-literarius'!C:C,Planilha1!A26,'extrato-stone-literarius'!F:F)</f>
        <v>-35845.75</v>
      </c>
      <c r="C26">
        <f>SUMIF('extrato stone'!I:I,Planilha1!A26,'extrato stone'!E:E)</f>
        <v>-35845.75</v>
      </c>
      <c r="D26">
        <f t="shared" si="0"/>
        <v>0</v>
      </c>
    </row>
    <row r="27" spans="1:4" x14ac:dyDescent="0.15">
      <c r="A27" s="12">
        <v>46051</v>
      </c>
      <c r="B27">
        <f>SUMIF('extrato-stone-literarius'!C:C,Planilha1!A27,'extrato-stone-literarius'!F:F)</f>
        <v>-16090.32</v>
      </c>
      <c r="C27">
        <f>SUMIF('extrato stone'!I:I,Planilha1!A27,'extrato stone'!E:E)</f>
        <v>-16090.32</v>
      </c>
      <c r="D27">
        <f t="shared" si="0"/>
        <v>0</v>
      </c>
    </row>
    <row r="28" spans="1:4" x14ac:dyDescent="0.15">
      <c r="A28" s="12">
        <v>46052</v>
      </c>
      <c r="B28">
        <f>SUMIF('extrato-stone-literarius'!C:C,Planilha1!A28,'extrato-stone-literarius'!F:F)</f>
        <v>632.70000000000005</v>
      </c>
      <c r="C28">
        <f>SUMIF('extrato stone'!I:I,Planilha1!A28,'extrato stone'!E:E)</f>
        <v>632.70000000000005</v>
      </c>
      <c r="D28">
        <f t="shared" si="0"/>
        <v>0</v>
      </c>
    </row>
    <row r="29" spans="1:4" x14ac:dyDescent="0.15">
      <c r="A29" s="12">
        <v>46053</v>
      </c>
      <c r="B29">
        <f>SUMIF('extrato-stone-literarius'!C:C,Planilha1!A29,'extrato-stone-literarius'!F:F)</f>
        <v>2178.5</v>
      </c>
      <c r="C29">
        <f>SUMIF('extrato stone'!I:I,Planilha1!A29,'extrato stone'!E:E)</f>
        <v>2178.5</v>
      </c>
      <c r="D29">
        <f t="shared" si="0"/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extrato-stone-literarius</vt:lpstr>
      <vt:lpstr>Planilha2</vt:lpstr>
      <vt:lpstr>extrato stone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Rafael Financeiro - Heziom</cp:lastModifiedBy>
  <dcterms:created xsi:type="dcterms:W3CDTF">2026-02-06T18:24:16Z</dcterms:created>
  <dcterms:modified xsi:type="dcterms:W3CDTF">2026-02-11T15:51:23Z</dcterms:modified>
</cp:coreProperties>
</file>