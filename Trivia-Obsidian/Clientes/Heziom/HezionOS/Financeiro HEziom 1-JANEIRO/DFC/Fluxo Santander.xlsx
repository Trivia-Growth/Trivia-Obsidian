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itoraheziom-my.sharepoint.com/personal/financeiro_editoraheziom_com_br/Documents/Financeiro Editora Heziom/2026/Contabilidade/Fechamento Compartilhado/1-JANEIRO/DFC/"/>
    </mc:Choice>
  </mc:AlternateContent>
  <xr:revisionPtr revIDLastSave="182" documentId="8_{C1875011-6F56-459F-8A9F-68FD04DA04C1}" xr6:coauthVersionLast="47" xr6:coauthVersionMax="47" xr10:uidLastSave="{65ED2D14-1590-4832-860B-08B9911F5701}"/>
  <bookViews>
    <workbookView minimized="1" xWindow="3420" yWindow="4290" windowWidth="21600" windowHeight="11295" xr2:uid="{B972D936-53B2-49C7-9E6B-63D9C6CE5396}"/>
  </bookViews>
  <sheets>
    <sheet name="extrato-literarius" sheetId="1" r:id="rId1"/>
    <sheet name="Planilha1" sheetId="4" r:id="rId2"/>
    <sheet name="extrato-santander" sheetId="2" r:id="rId3"/>
    <sheet name="literarius-santander" sheetId="3" r:id="rId4"/>
  </sheets>
  <definedNames>
    <definedName name="_xlnm._FilterDatabase" localSheetId="0" hidden="1">'extrato-literarius'!$A$1:$J$317</definedName>
    <definedName name="_xlnm._FilterDatabase" localSheetId="2" hidden="1">'extrato-santander'!$A$2:$E$291</definedName>
    <definedName name="_xlnm._FilterDatabase" localSheetId="3" hidden="1">'literarius-santander'!$A$1:$D$22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" i="3"/>
  <c r="C20" i="3"/>
  <c r="C18" i="3"/>
  <c r="C17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9" i="3"/>
  <c r="C21" i="3"/>
  <c r="C22" i="3"/>
  <c r="C2" i="3"/>
  <c r="D9" i="3" l="1"/>
  <c r="D14" i="3"/>
  <c r="D6" i="3"/>
  <c r="D3" i="3"/>
  <c r="D7" i="3"/>
  <c r="D5" i="3"/>
  <c r="D13" i="3"/>
  <c r="D17" i="3"/>
  <c r="D2" i="3"/>
  <c r="D15" i="3"/>
  <c r="D4" i="3"/>
  <c r="D18" i="3"/>
  <c r="D10" i="3"/>
  <c r="D8" i="3"/>
  <c r="D16" i="3"/>
  <c r="D20" i="3"/>
  <c r="D12" i="3"/>
  <c r="D19" i="3"/>
  <c r="D11" i="3"/>
  <c r="D21" i="3"/>
  <c r="D22" i="3"/>
</calcChain>
</file>

<file path=xl/sharedStrings.xml><?xml version="1.0" encoding="utf-8"?>
<sst xmlns="http://schemas.openxmlformats.org/spreadsheetml/2006/main" count="3220" uniqueCount="776">
  <si>
    <t>21709</t>
  </si>
  <si>
    <t>JOAO GABRIEL NOVAIS</t>
  </si>
  <si>
    <t>32898</t>
  </si>
  <si>
    <t>2462</t>
  </si>
  <si>
    <t>IGREJA PRESBITERIANA DE PINHEIROS</t>
  </si>
  <si>
    <t>2433</t>
  </si>
  <si>
    <t>Origem</t>
  </si>
  <si>
    <t>29271</t>
  </si>
  <si>
    <t>TRANSFERENCIA ENTRE CONTAS</t>
  </si>
  <si>
    <t>EDITORA HAGNOS LTDA</t>
  </si>
  <si>
    <t>1962</t>
  </si>
  <si>
    <t>RJ SISTEMAS ELETRONICOS LTDA</t>
  </si>
  <si>
    <t>SOCIEDADE BIBLICA DO BRASIL                      4</t>
  </si>
  <si>
    <t>11763</t>
  </si>
  <si>
    <t>30845</t>
  </si>
  <si>
    <t>BKJ1611 - BIBLIA KING JAMES LTDA</t>
  </si>
  <si>
    <t>Camara Brasileira do Livro</t>
  </si>
  <si>
    <t>PEDRO HENRIQUE DE FARIAS SOBRINHO</t>
  </si>
  <si>
    <t>20477</t>
  </si>
  <si>
    <t>10680</t>
  </si>
  <si>
    <t>Luiz Fernando Mello</t>
  </si>
  <si>
    <t>28598</t>
  </si>
  <si>
    <t>TARIFA MENSALIDADE PACOTE SERV</t>
  </si>
  <si>
    <t>Remuneração Autônomos - Livraria</t>
  </si>
  <si>
    <t>27815</t>
  </si>
  <si>
    <t>Cod 3208</t>
  </si>
  <si>
    <t>08/01/2026</t>
  </si>
  <si>
    <t>27304</t>
  </si>
  <si>
    <t>13º Salário</t>
  </si>
  <si>
    <t>BIANCA DE ASSIS FARIAS</t>
  </si>
  <si>
    <t>TARIFA AVULSA ENVIO PIX     21</t>
  </si>
  <si>
    <t>Energia Eletrica</t>
  </si>
  <si>
    <t>10824</t>
  </si>
  <si>
    <t>23685</t>
  </si>
  <si>
    <t>27813</t>
  </si>
  <si>
    <t>1984</t>
  </si>
  <si>
    <t>Remuneração Autônomos - Editorial</t>
  </si>
  <si>
    <t>REBECA CHIMINAZZO</t>
  </si>
  <si>
    <t>2440</t>
  </si>
  <si>
    <t>IVANISE BITTENCOURT ROSA</t>
  </si>
  <si>
    <t>PAULO LUCIANO NASCIMENTO</t>
  </si>
  <si>
    <t>15870</t>
  </si>
  <si>
    <t>Administrativo</t>
  </si>
  <si>
    <t>1981</t>
  </si>
  <si>
    <t>2197</t>
  </si>
  <si>
    <t>3914</t>
  </si>
  <si>
    <t>1963</t>
  </si>
  <si>
    <t>2191</t>
  </si>
  <si>
    <t>32906</t>
  </si>
  <si>
    <t>31017</t>
  </si>
  <si>
    <t>TARIFA AVULSA ENVIO PIX     23</t>
  </si>
  <si>
    <t>2457</t>
  </si>
  <si>
    <t>TAR LIQ COB CORBAN DIGITAL CMP</t>
  </si>
  <si>
    <t>1959</t>
  </si>
  <si>
    <t>20721</t>
  </si>
  <si>
    <t>4510</t>
  </si>
  <si>
    <t>20815</t>
  </si>
  <si>
    <t>30166</t>
  </si>
  <si>
    <t>To On Log Entregas Ltda</t>
  </si>
  <si>
    <t>Empresa Brasileira de Correios e Telegrafos - ECT</t>
  </si>
  <si>
    <t>21735</t>
  </si>
  <si>
    <t xml:space="preserve">DEBITO AUT. FAT.CARTAO MASTER </t>
  </si>
  <si>
    <t>30044</t>
  </si>
  <si>
    <t>27900</t>
  </si>
  <si>
    <t>Eduardo Mano de Andrade</t>
  </si>
  <si>
    <t>12361</t>
  </si>
  <si>
    <t>Editorial</t>
  </si>
  <si>
    <t>RAFAEL BARBOSA</t>
  </si>
  <si>
    <t>TAR LIQ COB COM REG COMPE</t>
  </si>
  <si>
    <t>2444</t>
  </si>
  <si>
    <t>Comissao Vendedores</t>
  </si>
  <si>
    <t>Materiais de Escritório</t>
  </si>
  <si>
    <t>30513</t>
  </si>
  <si>
    <t>31015</t>
  </si>
  <si>
    <t>TD Synnex LTDA</t>
  </si>
  <si>
    <t>2595</t>
  </si>
  <si>
    <t>20767</t>
  </si>
  <si>
    <t>Impostos E Taxas</t>
  </si>
  <si>
    <t>TARIFA AVULSA ENVIO PIX</t>
  </si>
  <si>
    <t>1980</t>
  </si>
  <si>
    <t>Fgts</t>
  </si>
  <si>
    <t>2534</t>
  </si>
  <si>
    <t>TARIFA AVULSA ENVIO PIX     14</t>
  </si>
  <si>
    <t>23154</t>
  </si>
  <si>
    <t>21790</t>
  </si>
  <si>
    <t>30037</t>
  </si>
  <si>
    <t>2599</t>
  </si>
  <si>
    <t>Ana Maria Zechmann</t>
  </si>
  <si>
    <t>2437</t>
  </si>
  <si>
    <t>29/01/2026</t>
  </si>
  <si>
    <t>Amanda Rayssa Oliveira da Silva</t>
  </si>
  <si>
    <t>2439</t>
  </si>
  <si>
    <t>Luz Para o Caminho</t>
  </si>
  <si>
    <t>2427</t>
  </si>
  <si>
    <t>2431</t>
  </si>
  <si>
    <t>Remuneração Autonomos - Administração</t>
  </si>
  <si>
    <t>27311</t>
  </si>
  <si>
    <t>12/01/2026</t>
  </si>
  <si>
    <t>Edições Vida Nova</t>
  </si>
  <si>
    <t>Sistemas e Softwares -Adm Marketing</t>
  </si>
  <si>
    <t>23161</t>
  </si>
  <si>
    <t>TED RECEBIDA     4080447700014</t>
  </si>
  <si>
    <t>32897</t>
  </si>
  <si>
    <t>Expedição</t>
  </si>
  <si>
    <t>ENEL CIA DE ENERGIA DE SP</t>
  </si>
  <si>
    <t>TED RECEBIDA     2126450300014</t>
  </si>
  <si>
    <t>6272</t>
  </si>
  <si>
    <t>Igor Santos Correia Rocha</t>
  </si>
  <si>
    <t>VISAO NACIONAL PARA A CONSCIENCIA CRISTA</t>
  </si>
  <si>
    <t>Fiscal</t>
  </si>
  <si>
    <t>Evento</t>
  </si>
  <si>
    <t>29470</t>
  </si>
  <si>
    <t>26782</t>
  </si>
  <si>
    <t>2587</t>
  </si>
  <si>
    <t>Promove Artes Graficas e Editora Ltda.</t>
  </si>
  <si>
    <t>2190</t>
  </si>
  <si>
    <t>2449</t>
  </si>
  <si>
    <t>19/01/2026</t>
  </si>
  <si>
    <t>Victoria Arrais</t>
  </si>
  <si>
    <t>02/01/2026</t>
  </si>
  <si>
    <t>28082</t>
  </si>
  <si>
    <t>29279</t>
  </si>
  <si>
    <t>31020</t>
  </si>
  <si>
    <t>10854</t>
  </si>
  <si>
    <t>20457</t>
  </si>
  <si>
    <t>TED RECEBIDA     330.038.905-4</t>
  </si>
  <si>
    <t>Exames médicos</t>
  </si>
  <si>
    <t>SEIBREF - SINDICATO DOS EMPREGADOS EM INST. BENEF.</t>
  </si>
  <si>
    <t>32352</t>
  </si>
  <si>
    <t>BV - BIBLIA E LIVROS</t>
  </si>
  <si>
    <t>2199</t>
  </si>
  <si>
    <t>28281</t>
  </si>
  <si>
    <t>PIX RECEBIDO     4080447700014</t>
  </si>
  <si>
    <t>SAMUEL LOPES</t>
  </si>
  <si>
    <t>32896</t>
  </si>
  <si>
    <t>20709</t>
  </si>
  <si>
    <t>2456</t>
  </si>
  <si>
    <t>23198</t>
  </si>
  <si>
    <t>Despesas Editorial - Revisão de Prova</t>
  </si>
  <si>
    <t>2597</t>
  </si>
  <si>
    <t>32432</t>
  </si>
  <si>
    <t>TARIFA AVULSA ENVIO PIX     07</t>
  </si>
  <si>
    <t>CR COB BLOQ COMP CONF RECEBIME</t>
  </si>
  <si>
    <t>31025</t>
  </si>
  <si>
    <t>21695</t>
  </si>
  <si>
    <t>29280</t>
  </si>
  <si>
    <t>Frete Sobre Mercadorias</t>
  </si>
  <si>
    <t>Despesas Bancárias</t>
  </si>
  <si>
    <t>3798</t>
  </si>
  <si>
    <t>Remuneração Autônomos - Financeiro</t>
  </si>
  <si>
    <t>23/01/2026</t>
  </si>
  <si>
    <t>28460</t>
  </si>
  <si>
    <t>2432</t>
  </si>
  <si>
    <t>30727</t>
  </si>
  <si>
    <t xml:space="preserve">Sem Parar </t>
  </si>
  <si>
    <t>32920</t>
  </si>
  <si>
    <t>Ana Clara Gonçalves de Freitas</t>
  </si>
  <si>
    <t>VIVIANE ENNES EDITORA</t>
  </si>
  <si>
    <t>2435</t>
  </si>
  <si>
    <t>2204</t>
  </si>
  <si>
    <t>30182</t>
  </si>
  <si>
    <t>2426</t>
  </si>
  <si>
    <t>21837</t>
  </si>
  <si>
    <t>20617</t>
  </si>
  <si>
    <t>31472</t>
  </si>
  <si>
    <t>30042</t>
  </si>
  <si>
    <t>ALBERTO MURAKAMI</t>
  </si>
  <si>
    <t>1983</t>
  </si>
  <si>
    <t>21908</t>
  </si>
  <si>
    <t>31954</t>
  </si>
  <si>
    <t>1986</t>
  </si>
  <si>
    <t>12366</t>
  </si>
  <si>
    <t>2590</t>
  </si>
  <si>
    <t>Salarios A Pagar</t>
  </si>
  <si>
    <t>2447</t>
  </si>
  <si>
    <t>24616</t>
  </si>
  <si>
    <t>27315</t>
  </si>
  <si>
    <t>Livraria</t>
  </si>
  <si>
    <t>Remuneração Autônomos - Marketing</t>
  </si>
  <si>
    <t>Maria Paula Stempkowski</t>
  </si>
  <si>
    <t>PIX RECEBIDO     6099785500016</t>
  </si>
  <si>
    <t>1990</t>
  </si>
  <si>
    <t>28814</t>
  </si>
  <si>
    <t>INTELINOVE</t>
  </si>
  <si>
    <t>23688</t>
  </si>
  <si>
    <t>Aluguel</t>
  </si>
  <si>
    <t>20784</t>
  </si>
  <si>
    <t>20734</t>
  </si>
  <si>
    <t>28280</t>
  </si>
  <si>
    <t>2171</t>
  </si>
  <si>
    <t>21747</t>
  </si>
  <si>
    <t>2448</t>
  </si>
  <si>
    <t>27/01/2026</t>
  </si>
  <si>
    <t>2203</t>
  </si>
  <si>
    <t>Materiais Para Revenda</t>
  </si>
  <si>
    <t>TARIFA MANUTENCAO TIT VENCIDO</t>
  </si>
  <si>
    <t>D</t>
  </si>
  <si>
    <t>Receitas financeiras</t>
  </si>
  <si>
    <t>32364</t>
  </si>
  <si>
    <t>2445</t>
  </si>
  <si>
    <t>2187</t>
  </si>
  <si>
    <t>30446</t>
  </si>
  <si>
    <t>Itamara Vieira Alves dos Santos</t>
  </si>
  <si>
    <t>2451</t>
  </si>
  <si>
    <t>27333</t>
  </si>
  <si>
    <t>Vale Refeicao</t>
  </si>
  <si>
    <t>Missao Evangélica Literária</t>
  </si>
  <si>
    <t>30040</t>
  </si>
  <si>
    <t>2192</t>
  </si>
  <si>
    <t>30/01/2026</t>
  </si>
  <si>
    <t>21872</t>
  </si>
  <si>
    <t>MANDAE SERVICOS DE CONSULTORIA EM LOGISTICA S/A</t>
  </si>
  <si>
    <t>31074</t>
  </si>
  <si>
    <t xml:space="preserve">PAGAMENTO CARTAO DE CREDITO   </t>
  </si>
  <si>
    <t>29441</t>
  </si>
  <si>
    <t>20605</t>
  </si>
  <si>
    <t>2193</t>
  </si>
  <si>
    <t>2438</t>
  </si>
  <si>
    <t>27902</t>
  </si>
  <si>
    <t>CPC Offline</t>
  </si>
  <si>
    <t>21776</t>
  </si>
  <si>
    <t>12916</t>
  </si>
  <si>
    <t>30052</t>
  </si>
  <si>
    <t>Despesas Editorial - Diagramação</t>
  </si>
  <si>
    <t>30760</t>
  </si>
  <si>
    <t>10155</t>
  </si>
  <si>
    <t>2442</t>
  </si>
  <si>
    <t>2593</t>
  </si>
  <si>
    <t xml:space="preserve">TRANSPO EXPRESS TRANSPORTE E LOGISTICA LTDA - EPP </t>
  </si>
  <si>
    <t>5417</t>
  </si>
  <si>
    <t>3045</t>
  </si>
  <si>
    <t>2584</t>
  </si>
  <si>
    <t>20581</t>
  </si>
  <si>
    <t>32904</t>
  </si>
  <si>
    <t>31939</t>
  </si>
  <si>
    <t>20827</t>
  </si>
  <si>
    <t>ALELO</t>
  </si>
  <si>
    <t>MARCOS MELO</t>
  </si>
  <si>
    <t>30038</t>
  </si>
  <si>
    <t>FELIPE ROCHA BATISTA</t>
  </si>
  <si>
    <t>Pedágio</t>
  </si>
  <si>
    <t>29214</t>
  </si>
  <si>
    <t>BANCÁRIO</t>
  </si>
  <si>
    <t>2196</t>
  </si>
  <si>
    <t>2195</t>
  </si>
  <si>
    <t>Empréstimos e financiamentos</t>
  </si>
  <si>
    <t>2591</t>
  </si>
  <si>
    <t>TED RECEBIDA     146.681.655-4</t>
  </si>
  <si>
    <t>Paris Arrais Editoracao LTDA</t>
  </si>
  <si>
    <t>2588</t>
  </si>
  <si>
    <t>27814</t>
  </si>
  <si>
    <t>Materiais Aplicados Venda Prod</t>
  </si>
  <si>
    <t>27342</t>
  </si>
  <si>
    <t>LITERARIUS</t>
  </si>
  <si>
    <t>2596</t>
  </si>
  <si>
    <t>1925</t>
  </si>
  <si>
    <t>2589</t>
  </si>
  <si>
    <t>HEVELYN VIANA SOUSA</t>
  </si>
  <si>
    <t>RONALDO LIDORIO</t>
  </si>
  <si>
    <t>10661</t>
  </si>
  <si>
    <t>PIX RECEBIDO     41894313895</t>
  </si>
  <si>
    <t>32905</t>
  </si>
  <si>
    <t>27901</t>
  </si>
  <si>
    <t>27312</t>
  </si>
  <si>
    <t>CR COB DINHEIRO CONF RECEBIMEN</t>
  </si>
  <si>
    <t>1992</t>
  </si>
  <si>
    <t>PATRICIA NAKASHIMA HINTZE</t>
  </si>
  <si>
    <t>21823</t>
  </si>
  <si>
    <t>32900</t>
  </si>
  <si>
    <t>07/01/2026</t>
  </si>
  <si>
    <t>SERASA S A</t>
  </si>
  <si>
    <t>29988</t>
  </si>
  <si>
    <t>2461</t>
  </si>
  <si>
    <t>2594</t>
  </si>
  <si>
    <t>20796</t>
  </si>
  <si>
    <t>28695</t>
  </si>
  <si>
    <t>21/01/2026</t>
  </si>
  <si>
    <t>TAR BAIXA COB SIMPLES-ELETRONI</t>
  </si>
  <si>
    <t>Diego dos Santos Pedreira</t>
  </si>
  <si>
    <t>1988</t>
  </si>
  <si>
    <t>1989</t>
  </si>
  <si>
    <t>PIX RECEBIDO     01493045792</t>
  </si>
  <si>
    <t>Plano de Contas</t>
  </si>
  <si>
    <t>10550</t>
  </si>
  <si>
    <t>20501</t>
  </si>
  <si>
    <t>Despesas Eventos Externos</t>
  </si>
  <si>
    <t>2206</t>
  </si>
  <si>
    <t>COMPANHIA DE SANEAMENTO BASICO DO ESTADO DE SP</t>
  </si>
  <si>
    <t>3306</t>
  </si>
  <si>
    <t>32901</t>
  </si>
  <si>
    <t>30897</t>
  </si>
  <si>
    <t>NILSON RIBEIRO LUZ JUNIOR</t>
  </si>
  <si>
    <t>Valor</t>
  </si>
  <si>
    <t>31018</t>
  </si>
  <si>
    <t>1993</t>
  </si>
  <si>
    <t>31471</t>
  </si>
  <si>
    <t>2208</t>
  </si>
  <si>
    <t>27833</t>
  </si>
  <si>
    <t>2459</t>
  </si>
  <si>
    <t>Receita de vendas</t>
  </si>
  <si>
    <t>30164</t>
  </si>
  <si>
    <t>2460</t>
  </si>
  <si>
    <t>2463</t>
  </si>
  <si>
    <t>2443</t>
  </si>
  <si>
    <t>2201</t>
  </si>
  <si>
    <t>2586</t>
  </si>
  <si>
    <t>2453</t>
  </si>
  <si>
    <t>21643</t>
  </si>
  <si>
    <t>2441</t>
  </si>
  <si>
    <t>29959</t>
  </si>
  <si>
    <t>Despesas Editorial - Produção Editorial</t>
  </si>
  <si>
    <t>30039</t>
  </si>
  <si>
    <t>BKM Assessoria LTDA</t>
  </si>
  <si>
    <t>20239</t>
  </si>
  <si>
    <t>21723</t>
  </si>
  <si>
    <t>2458</t>
  </si>
  <si>
    <t>2188</t>
  </si>
  <si>
    <t>20545</t>
  </si>
  <si>
    <t>JB TOUR SERVICE</t>
  </si>
  <si>
    <t>Geo Grafica e Editora LTDA</t>
  </si>
  <si>
    <t>2436</t>
  </si>
  <si>
    <t>EDITORA BETANIA</t>
  </si>
  <si>
    <t>23686</t>
  </si>
  <si>
    <t>31956</t>
  </si>
  <si>
    <t>30190</t>
  </si>
  <si>
    <t>1987</t>
  </si>
  <si>
    <t>Impressões (CMV)</t>
  </si>
  <si>
    <t>05/01/2026</t>
  </si>
  <si>
    <t>C</t>
  </si>
  <si>
    <t>21061</t>
  </si>
  <si>
    <t>2194</t>
  </si>
  <si>
    <t>Bonus</t>
  </si>
  <si>
    <t>Paula Fernanda</t>
  </si>
  <si>
    <t>TW2 Tecnologia LTDA</t>
  </si>
  <si>
    <t>Agua</t>
  </si>
  <si>
    <t>21854</t>
  </si>
  <si>
    <t>2450</t>
  </si>
  <si>
    <t>20746</t>
  </si>
  <si>
    <t>PIX RECEBIDO     2741591100013</t>
  </si>
  <si>
    <t>Claudevan dos Santos Silva</t>
  </si>
  <si>
    <t>21893</t>
  </si>
  <si>
    <t>30168</t>
  </si>
  <si>
    <t>3909</t>
  </si>
  <si>
    <t>1991</t>
  </si>
  <si>
    <t>Despesas Custos Eventos</t>
  </si>
  <si>
    <t>MARCIA PEKKALA BARRIOS MEDEIROS.</t>
  </si>
  <si>
    <t>23687</t>
  </si>
  <si>
    <t>30191</t>
  </si>
  <si>
    <t>CPC Online</t>
  </si>
  <si>
    <t>Papiro Soluções Textuais e de Sustentabilidade Ltda Me</t>
  </si>
  <si>
    <t>24508</t>
  </si>
  <si>
    <t>ASSOCIACAO IGREJA PRESBITERIANA DE PINHEIROS TV</t>
  </si>
  <si>
    <t>Qualicorp Adm de Beneficios SA</t>
  </si>
  <si>
    <t>09/01/2026</t>
  </si>
  <si>
    <t>2598</t>
  </si>
  <si>
    <t>32361</t>
  </si>
  <si>
    <t>24633</t>
  </si>
  <si>
    <t>Despesas Editorial - Preparação</t>
  </si>
  <si>
    <t>32638</t>
  </si>
  <si>
    <t>Tipo</t>
  </si>
  <si>
    <t>Receita Federal</t>
  </si>
  <si>
    <t>Rendimento Contamax Santander</t>
  </si>
  <si>
    <t>Porto Saúde S.A</t>
  </si>
  <si>
    <t>TELEFONICA BRASIL S.A.</t>
  </si>
  <si>
    <t>TRANSFERENCIAS ENTRE CONTAS</t>
  </si>
  <si>
    <t>26830</t>
  </si>
  <si>
    <t>Documento</t>
  </si>
  <si>
    <t>Data</t>
  </si>
  <si>
    <t>5128</t>
  </si>
  <si>
    <t>32908</t>
  </si>
  <si>
    <t>Assistencia Medica</t>
  </si>
  <si>
    <t>Lucas Dias Silva</t>
  </si>
  <si>
    <t>ARESTA VISUAL - EIRELI</t>
  </si>
  <si>
    <t>26769</t>
  </si>
  <si>
    <t>13/01/2026</t>
  </si>
  <si>
    <t>VIDA MELHOR EDITORA LTDA</t>
  </si>
  <si>
    <t>Descrição</t>
  </si>
  <si>
    <t>PIX RECEBIDO     07290754867</t>
  </si>
  <si>
    <t>27832</t>
  </si>
  <si>
    <t>2592</t>
  </si>
  <si>
    <t>Contribuicao Sindical</t>
  </si>
  <si>
    <t>Desp Prest Serv Pj</t>
  </si>
  <si>
    <t>20557</t>
  </si>
  <si>
    <t>11357</t>
  </si>
  <si>
    <t>FLEXPACK INDUSTRIA E COMERCIO DE EMBALAGENS LTDA</t>
  </si>
  <si>
    <t>28813</t>
  </si>
  <si>
    <t>2430</t>
  </si>
  <si>
    <t>2446</t>
  </si>
  <si>
    <t>1926</t>
  </si>
  <si>
    <t>Transporte - Taxi/Uber</t>
  </si>
  <si>
    <t>Jose Alfredo Mammini</t>
  </si>
  <si>
    <t>31976</t>
  </si>
  <si>
    <t>23459</t>
  </si>
  <si>
    <t>2202</t>
  </si>
  <si>
    <t>PIX RECEBIDO     18465246874</t>
  </si>
  <si>
    <t>Outras despesas</t>
  </si>
  <si>
    <t>Vale Cesta Basica</t>
  </si>
  <si>
    <t>TAR LIQ COB COM REG CAIXA CH</t>
  </si>
  <si>
    <t>32899</t>
  </si>
  <si>
    <t>23196</t>
  </si>
  <si>
    <t>31959</t>
  </si>
  <si>
    <t>TIAGO ELIAS</t>
  </si>
  <si>
    <t>30041</t>
  </si>
  <si>
    <t>Abner Arrais</t>
  </si>
  <si>
    <t>Despesas Editorial - Edição</t>
  </si>
  <si>
    <t>2172</t>
  </si>
  <si>
    <t>1982</t>
  </si>
  <si>
    <t>Combustivel</t>
  </si>
  <si>
    <t>21073</t>
  </si>
  <si>
    <t>29190</t>
  </si>
  <si>
    <t>Centro Resultados</t>
  </si>
  <si>
    <t>2429</t>
  </si>
  <si>
    <t>2455</t>
  </si>
  <si>
    <t>27828</t>
  </si>
  <si>
    <t>Número</t>
  </si>
  <si>
    <t>23085</t>
  </si>
  <si>
    <t>Vale Transporte</t>
  </si>
  <si>
    <t>15/01/2026</t>
  </si>
  <si>
    <t>26783</t>
  </si>
  <si>
    <t>12358</t>
  </si>
  <si>
    <t>28415</t>
  </si>
  <si>
    <t>30051</t>
  </si>
  <si>
    <t>32574</t>
  </si>
  <si>
    <t>27903</t>
  </si>
  <si>
    <t>28/01/2026</t>
  </si>
  <si>
    <t>J V MEIRELLES INDUSTRIA E COMERCIO DE CAFE LTDA</t>
  </si>
  <si>
    <t>12915</t>
  </si>
  <si>
    <t>06/01/2026</t>
  </si>
  <si>
    <t>VENDA DE LIVROS</t>
  </si>
  <si>
    <t>RENDIMENTO LIQUIDO DE CONTAMAX</t>
  </si>
  <si>
    <t>PRECEITO EDITORA LTDA</t>
  </si>
  <si>
    <t>Remuneração Autônomos - Comercial</t>
  </si>
  <si>
    <t>ASSOC. REL. EDITORA MUNDO CRISTAO</t>
  </si>
  <si>
    <t>20444</t>
  </si>
  <si>
    <t>Edleia Lopes</t>
  </si>
  <si>
    <t>21939</t>
  </si>
  <si>
    <t>20/01/2026</t>
  </si>
  <si>
    <t>21627</t>
  </si>
  <si>
    <t>Suzano SA</t>
  </si>
  <si>
    <t>6111</t>
  </si>
  <si>
    <t>Eneias Rubens da Silva Santos</t>
  </si>
  <si>
    <t>1960</t>
  </si>
  <si>
    <t>Vinvolve LTDA</t>
  </si>
  <si>
    <t>Devolução de Venda</t>
  </si>
  <si>
    <t>ROSTHER GUIMARAES LOPES</t>
  </si>
  <si>
    <t>28447</t>
  </si>
  <si>
    <t>2664</t>
  </si>
  <si>
    <t>DANNY MEDEIROS CHARAO</t>
  </si>
  <si>
    <t>2452</t>
  </si>
  <si>
    <t>19929</t>
  </si>
  <si>
    <t>32903</t>
  </si>
  <si>
    <t>Emilly Oliveira Martins</t>
  </si>
  <si>
    <t>28434</t>
  </si>
  <si>
    <t>29178</t>
  </si>
  <si>
    <t>2200</t>
  </si>
  <si>
    <t>MINISTERIO DO TRABALHO</t>
  </si>
  <si>
    <t>26/01/2026</t>
  </si>
  <si>
    <t>Ministério do Trabalho</t>
  </si>
  <si>
    <t>21682</t>
  </si>
  <si>
    <t>28476</t>
  </si>
  <si>
    <t>20489</t>
  </si>
  <si>
    <t>21252</t>
  </si>
  <si>
    <t>Marketing E Publicidade</t>
  </si>
  <si>
    <t>2434</t>
  </si>
  <si>
    <t>2205</t>
  </si>
  <si>
    <t>CONDOMINIO PANORAMA - CENTRAL</t>
  </si>
  <si>
    <t>BAIXA</t>
  </si>
  <si>
    <t>2198</t>
  </si>
  <si>
    <t>21669</t>
  </si>
  <si>
    <t>20593</t>
  </si>
  <si>
    <t>GUILHERME JUNIOR GUIMARAES</t>
  </si>
  <si>
    <t>AGOSTINHO CAMPOS MEIRELES JUNIOR</t>
  </si>
  <si>
    <t>Producao Material Proprio</t>
  </si>
  <si>
    <t>2207</t>
  </si>
  <si>
    <t>1985</t>
  </si>
  <si>
    <t>27764</t>
  </si>
  <si>
    <t>TARIFA AVULSA ENVIO PIX     20</t>
  </si>
  <si>
    <t>IPSIS GRAFICA E EDITORA S/A</t>
  </si>
  <si>
    <t>27072</t>
  </si>
  <si>
    <t>27313</t>
  </si>
  <si>
    <t>Direitos Autorais</t>
  </si>
  <si>
    <t>10840</t>
  </si>
  <si>
    <t>32640</t>
  </si>
  <si>
    <t>Flowbiz Tecnologia da Informacao S.A</t>
  </si>
  <si>
    <t>Internet</t>
  </si>
  <si>
    <t>30491</t>
  </si>
  <si>
    <t>2174</t>
  </si>
  <si>
    <t>29227</t>
  </si>
  <si>
    <t>21921</t>
  </si>
  <si>
    <t>Gabriel Santos Costa</t>
  </si>
  <si>
    <t>21049</t>
  </si>
  <si>
    <t>32902</t>
  </si>
  <si>
    <t>2585</t>
  </si>
  <si>
    <t>Cod 0561 | Cod 1082 | Cod 1138 | Cod 1170 | Cod 1176 | Cod 1191 | Cod 1196 | Cod 1200 | Cod 1646 | Cod 8301</t>
  </si>
  <si>
    <t>1961</t>
  </si>
  <si>
    <t>6871</t>
  </si>
  <si>
    <t>FRANCYELLE FERREIRA SOUZA EGG</t>
  </si>
  <si>
    <t>Lanches e Refeições Equipe</t>
  </si>
  <si>
    <t>Marcos Roberto Loiola Arrais</t>
  </si>
  <si>
    <t>23114</t>
  </si>
  <si>
    <t>21807</t>
  </si>
  <si>
    <t>26838</t>
  </si>
  <si>
    <t>10988</t>
  </si>
  <si>
    <t>16736</t>
  </si>
  <si>
    <t>24488</t>
  </si>
  <si>
    <t>32637</t>
  </si>
  <si>
    <t>10675</t>
  </si>
  <si>
    <t>30043</t>
  </si>
  <si>
    <t>5137</t>
  </si>
  <si>
    <t>MISSAO EVANGELICA LITERARIA</t>
  </si>
  <si>
    <t>LILLE SCHOOL INTELIGENCIA E ESTRATEGIA</t>
  </si>
  <si>
    <t>Financeiro</t>
  </si>
  <si>
    <t>27788</t>
  </si>
  <si>
    <t>32935</t>
  </si>
  <si>
    <t>Prefeitura de São Paulo</t>
  </si>
  <si>
    <t>10625</t>
  </si>
  <si>
    <t>3052</t>
  </si>
  <si>
    <t>12372</t>
  </si>
  <si>
    <t>2428</t>
  </si>
  <si>
    <t>10628</t>
  </si>
  <si>
    <t>LAW CONSULTORIA EMPRESARIAL LTDA</t>
  </si>
  <si>
    <t>2173</t>
  </si>
  <si>
    <t>Omega Occupational Ltda</t>
  </si>
  <si>
    <t>Despesas Editorial - Tradução</t>
  </si>
  <si>
    <t>J V Meirelles Industria e Comercio de Cafe Ltda</t>
  </si>
  <si>
    <t>JC Tardivo Editora</t>
  </si>
  <si>
    <t>22/01/2026</t>
  </si>
  <si>
    <t>20890</t>
  </si>
  <si>
    <t>CONTABIL RIBEIRO</t>
  </si>
  <si>
    <t>113</t>
  </si>
  <si>
    <t>Sistemas e Softwares Comerciais</t>
  </si>
  <si>
    <t>Diretoria - PJ</t>
  </si>
  <si>
    <t>2189</t>
  </si>
  <si>
    <t>Arival Dias Casimiro</t>
  </si>
  <si>
    <t>Remuneração Autônomos - Expedição</t>
  </si>
  <si>
    <t>23125</t>
  </si>
  <si>
    <t>26781</t>
  </si>
  <si>
    <t>BOOKINFO LTDA</t>
  </si>
  <si>
    <t>16/01/2026</t>
  </si>
  <si>
    <t>1964</t>
  </si>
  <si>
    <t>30474</t>
  </si>
  <si>
    <t>MVB Brasil Ltda</t>
  </si>
  <si>
    <t>Contabilidade</t>
  </si>
  <si>
    <t>2454</t>
  </si>
  <si>
    <t>23083</t>
  </si>
  <si>
    <t>11758</t>
  </si>
  <si>
    <t>28815</t>
  </si>
  <si>
    <t>27600</t>
  </si>
  <si>
    <t>14/01/2026</t>
  </si>
  <si>
    <t>TED RECEBIDA     1543694000010</t>
  </si>
  <si>
    <t>Despesas Com Diretoria</t>
  </si>
  <si>
    <t>AGENCIA</t>
  </si>
  <si>
    <t>0729</t>
  </si>
  <si>
    <t>CONTA</t>
  </si>
  <si>
    <t>130020815</t>
  </si>
  <si>
    <t/>
  </si>
  <si>
    <t>PIX RECEBIDO  07290754867</t>
  </si>
  <si>
    <t>TED RECEBIDA  40804477000144</t>
  </si>
  <si>
    <t>PIX ENVIADO  53 321 629 MARCOS ROBERTO</t>
  </si>
  <si>
    <t>PIX ENVIADO  40 284 132 GUILHERME JUNI</t>
  </si>
  <si>
    <t>PAGAMENTO DE BOLETO OUTROS BANCOS  LUZ PARA O CAMINHO</t>
  </si>
  <si>
    <t>0000000000</t>
  </si>
  <si>
    <t>PAGAMENTO DE BOLETO  VIDA MELHOR EDI</t>
  </si>
  <si>
    <t>PAGAMENTO DE BOLETO  EDITORA HAGNOS</t>
  </si>
  <si>
    <t>PAGAMENTO DE BOLETO OUTROS BANCOS  FLEXPACK INDUSTRIA E COME</t>
  </si>
  <si>
    <t>PAGAMENTO DE BOLETO  PORTO SEGURO -</t>
  </si>
  <si>
    <t>PAGAMENTO DE BOLETO OUTROS BANCOS  CONTABIL RIBEIRO LTDA</t>
  </si>
  <si>
    <t>PIX ENVIADO  21 972 538 ABNER HENRIQUE</t>
  </si>
  <si>
    <t>PAGAMENTO DE BOLETO OUTROS BANCOS  EDITORA HAGNOS LTDA</t>
  </si>
  <si>
    <t>PAGAMENTO DE BOLETO OUTROS BANCOS  EMPRESA BRASILEIRA DE COR</t>
  </si>
  <si>
    <t>PAGAMENTO DE BOLETO OUTROS BANCOS  IPSIS GRAFICA E EDITORA S</t>
  </si>
  <si>
    <t>PAGAMENTO DE BOLETO OUTROS BANCOS  FLOWBIZ TECNOLOGIA DA INF</t>
  </si>
  <si>
    <t>PIX RECEBIDO  40804477000144</t>
  </si>
  <si>
    <t>PAGAMENTO CARTAO DE CREDITO  AMAZON-VISA</t>
  </si>
  <si>
    <t>0000477144</t>
  </si>
  <si>
    <t>PEDAGIO ELETRONICO - SEM PARAR  SEM PARAR</t>
  </si>
  <si>
    <t xml:space="preserve">TARIFA AVULSA ENVIO PIX  </t>
  </si>
  <si>
    <t>CR COB BLOQ COMP CONF RECEBIMENTO  0729/000028892</t>
  </si>
  <si>
    <t xml:space="preserve">RENDIMENTO LIQUIDO DE CONTAMAX  7000 RENDIMENTO LIQUIDO DE CONTAMAX     </t>
  </si>
  <si>
    <t xml:space="preserve">TARIFA MANUTENCAO TIT VENCIDO  </t>
  </si>
  <si>
    <t>198927</t>
  </si>
  <si>
    <t>PIX ENVIADO  TO ON LOG</t>
  </si>
  <si>
    <t>16593136</t>
  </si>
  <si>
    <t>PAGAMENTO DE BOLETO OUTROS BANCOS  SOC RELIGIOSA EDIC VIDA N</t>
  </si>
  <si>
    <t>PIX ENVIADO  PNH TRAVEL</t>
  </si>
  <si>
    <t>PIX ENVIADO  EDUARDO MANO DE ANDRADE</t>
  </si>
  <si>
    <t>PIX ENVIADO  CAMARA BRASILEIRA DO LIVR</t>
  </si>
  <si>
    <t>PAGAMENTO DE BOLETO  QUALICORP ADMINISTRADORA</t>
  </si>
  <si>
    <t xml:space="preserve">TAR BAIXA COB SIMPLES-ELETRONICA  </t>
  </si>
  <si>
    <t xml:space="preserve">TAR LIQ COB COM REG COMPE  </t>
  </si>
  <si>
    <t>PAGAMENTO DE BOLETO OUTROS BANCOS  J V M I COMERCIO CAFE LTD</t>
  </si>
  <si>
    <t>PAGAMENTO DE BOLETO OUTROS BANCOS  G3 SECURITIZADORA DE ATIV</t>
  </si>
  <si>
    <t>PIX ENVIADO  VICTORIA CARDOSO ALDAMA P</t>
  </si>
  <si>
    <t>PIX ENVIADO  ANA MARIA NEVES SAC ZECHM</t>
  </si>
  <si>
    <t>TED RECEBIDA  15436940000103</t>
  </si>
  <si>
    <t>PIX ENVIADO  55 145 400 LUCAS DIAS SIL</t>
  </si>
  <si>
    <t>09584510</t>
  </si>
  <si>
    <t>PIX ENVIADO  ADC MEDIA GROUP</t>
  </si>
  <si>
    <t>PIX ENVIADO  PAPIRO SOLUCOES TEXTUAIS</t>
  </si>
  <si>
    <t>PIX ENVIADO  DANNY MEDEIROS CHARAO 009</t>
  </si>
  <si>
    <t>PAGAMENTO DE BOLETO  PROMOVE ARTES G</t>
  </si>
  <si>
    <t>PAGAMENTO CARTAO DE CREDITO  AMAZON-AMEX</t>
  </si>
  <si>
    <t>PAGAMENTO CARTAO DE CREDITO  AMAZON-ELO</t>
  </si>
  <si>
    <t>PAGAMENTO CARTAO DE CREDITO  AMAZON-MASTER</t>
  </si>
  <si>
    <t>TARIFA AVULSA ENVIO PIX  07/01/2026</t>
  </si>
  <si>
    <t>PIX ENVIADO  BKM ASSESSORIA</t>
  </si>
  <si>
    <t>PAGAMENTO DE BOLETO OUTROS BANCOS  SINDICATO DOS EMPREGADOS</t>
  </si>
  <si>
    <t>TED RECEBIDA  146.681.655-49</t>
  </si>
  <si>
    <t>PIX ENVIADO  PRECEITO EDITORA LTDA</t>
  </si>
  <si>
    <t>PIX ENVIADO  RAFAEL PEREIRA BARBOSA</t>
  </si>
  <si>
    <t>PIX ENVIADO  24 549 182 ALBERTO MURAKA</t>
  </si>
  <si>
    <t>PIX ENVIADO  REBECA CHIMINAZZO DE FIGU</t>
  </si>
  <si>
    <t>PAGAMENTO DE BOLETO OUTROS BANCOS  PROMOVE ARTES GRAFICAS LT</t>
  </si>
  <si>
    <t>PAGAMENTO DE BOLETO OUTROS BANCOS  LITERARIUS SISTEMAS E CON</t>
  </si>
  <si>
    <t>PAGAMENTO DE BOLETO OUTROS BANCOS  GEO GRAFICA E EDITORA LTD</t>
  </si>
  <si>
    <t>PAGAMENTO DE BOLETO OUTROS BANCOS  LILLE SCHOOL INTELIGENCIA</t>
  </si>
  <si>
    <t>PAGAMENTO DE BOLETO OUTROS BANCOS  SOCIEDADE BIBLICA DO BRAS</t>
  </si>
  <si>
    <t>PAGAMENTO DE BOLETO OUTROS BANCOS  MISSAO EVANGELICA LITERAR</t>
  </si>
  <si>
    <t>PAGAMENTO DE BOLETO OUTROS BANCOS  VINVOLVE LTDA</t>
  </si>
  <si>
    <t>PAGAMENTO DE BOLETO OUTROS BANCOS  BOOKINFO</t>
  </si>
  <si>
    <t>PAGAMENTO DE BOLETO OUTROS BANCOS  ASSOCIACAO IGREJA PRESBIT</t>
  </si>
  <si>
    <t>DEBITO AUT. FAT.CARTAO MASTER CARD  FINAL 7369</t>
  </si>
  <si>
    <t>DEBITO AUT. FAT.CARTAO MASTER CARD  FINAL 6277</t>
  </si>
  <si>
    <t>TARIFA MENSALIDADE PACOTE SERVICOS  DEZEMBRO / 2025</t>
  </si>
  <si>
    <t>PIX ENVIADO  JOSE ALFREDO MAMMINI</t>
  </si>
  <si>
    <t>PIX ENVIADO  BIANCA DE ASSIS FARIAS</t>
  </si>
  <si>
    <t>PIX ENVIADO  LUIZ FERNANDO MARTINS DE</t>
  </si>
  <si>
    <t>PAGAMENTO DE BOLETO OUTROS BANCOS  TRANSPO EXPRESS T L LTDA</t>
  </si>
  <si>
    <t>PAGAMENTO DE BOLETO OUTROS BANCOS  MANDAE SERVICOS DE CONSUL</t>
  </si>
  <si>
    <t>PAGAMENTO DE BOLETO OUTROS BANCOS  TD SYNNEX</t>
  </si>
  <si>
    <t>PAGAMENTO DE BOLETO OUTROS BANCOS  LAW CONS EMPRESARIAL LTDA</t>
  </si>
  <si>
    <t>PAGAMENTO DE BOLETO OUTROS BANCOS  VISAO NACIONAL PARA A CON</t>
  </si>
  <si>
    <t>PIX ENVIADO  EN IAS RUBENS DA SILVA SA</t>
  </si>
  <si>
    <t>PIX ENVIADO  RONALDO ALMEIDA LIDORIO</t>
  </si>
  <si>
    <t>PIX ENVIADO  FELIPE ROCHA BATISTA</t>
  </si>
  <si>
    <t>PIX ENVIADO  JG CONSULTORIA E GESTAO</t>
  </si>
  <si>
    <t>PIX ENVIADO  MARCOS LUIZ OLIVEIRA MELO</t>
  </si>
  <si>
    <t>PIX ENVIADO  EDLEIA MONTES LOPES RODRI</t>
  </si>
  <si>
    <t>PIX ENVIADO  AGOSTINHO CAMPOS MEIRELES</t>
  </si>
  <si>
    <t>15335504</t>
  </si>
  <si>
    <t>PIX ENVIADO  SABESP</t>
  </si>
  <si>
    <t>15335497</t>
  </si>
  <si>
    <t>PIX ENVIADO  TELEFONICA BRAS</t>
  </si>
  <si>
    <t>PIX ENVIADO  VIVIANE DIAS ENNES REICHE</t>
  </si>
  <si>
    <t>PIX ENVIADO  ROSTHER GUIMARAES LOPES</t>
  </si>
  <si>
    <t>PIX ENVIADO  JC TARDIVO EDITORA</t>
  </si>
  <si>
    <t>PIX ENVIADO  SAMUEL ROCHA LOPES</t>
  </si>
  <si>
    <t>PIX ENVIADO  NILSON RIBEIRO LUZ JUNIOR</t>
  </si>
  <si>
    <t>TED RECEBIDA  21264503000144</t>
  </si>
  <si>
    <t>TARIFA AVULSA ENVIO PIX  14/01/2026</t>
  </si>
  <si>
    <t>PIX ENVIADO  PEDRO HENRIQUE DE FARIA S</t>
  </si>
  <si>
    <t>PIX ENVIADO  ENEL DISTRIBUICAO SAO PAU</t>
  </si>
  <si>
    <t>PIX ENVIADO  TIAGO ELIAS</t>
  </si>
  <si>
    <t>PIX RECEBIDO  27415911000136</t>
  </si>
  <si>
    <t>PIX RECEBIDO  60997855000160</t>
  </si>
  <si>
    <t>PIX RECEBIDO  01493045792</t>
  </si>
  <si>
    <t>PAGAMENTO DE BOLETO OUTROS BANCOS  ASSOC RELIG ED MUNDO CRIS</t>
  </si>
  <si>
    <t>PAGAMENTO DE BOLETO OUTROS BANCOS  MISSAO EVANGELICA BETANIA</t>
  </si>
  <si>
    <t>PAGAMENTO DE BOLETO OUTROS BANCOS  BKJ1611BIBLIA KING JAMES</t>
  </si>
  <si>
    <t>PAGAMENTO DE BOLETO  ASSOCIACAO RELIGIOSA EDIT</t>
  </si>
  <si>
    <t>PIX ENVIADO  JAILTON BARBOSA DA SILVA</t>
  </si>
  <si>
    <t>PIX ENVIADO  PJBANK</t>
  </si>
  <si>
    <t>PAGAMENTO DE BOLETO OUTROS BANCOS  TW2 TECNOLOGIA LTDA ME</t>
  </si>
  <si>
    <t>PAGAMENTO DE BOLETO OUTROS BANCOS  OMEGA OCCUPATIONAL EIRELI</t>
  </si>
  <si>
    <t>PAGAMENTO DE BOLETO OUTROS BANCOS  MVB BRASIL LTDA.</t>
  </si>
  <si>
    <t>PIX ENVIADO  CEF MATRIZ</t>
  </si>
  <si>
    <t>PIX ENVIADO  RECEITA FEDERAL</t>
  </si>
  <si>
    <t>PIX ENVIADO  IPP TV</t>
  </si>
  <si>
    <t>PAGAMENTO DE TRIBUTO PMSP  INTERNET PM SAO PAULO</t>
  </si>
  <si>
    <t>DEBITO AUT. FAT.CARTAO MASTER CARD  FINAL 9094</t>
  </si>
  <si>
    <t>TARIFA AVULSA ENVIO PIX  20/01/2026</t>
  </si>
  <si>
    <t>14294632</t>
  </si>
  <si>
    <t>TARIFA AVULSA ENVIO PIX  21/01/2026</t>
  </si>
  <si>
    <t>PAGAMENTO DE BOLETO  EDITORA HAGNOS LTDA</t>
  </si>
  <si>
    <t>PIX ENVIADO  MARCIA PEKKALA BARRIOS ME</t>
  </si>
  <si>
    <t>PAGAMENTO DE BOLETO OUTROS BANCOS  INTELINOVE SOLUCOES EM TE</t>
  </si>
  <si>
    <t>PAGAMENTO DE BOLETO OUTROS BANCOS  SERASA SA</t>
  </si>
  <si>
    <t>PIX RECEBIDO  18465246874</t>
  </si>
  <si>
    <t>TARIFA AVULSA ENVIO PIX  23/01/2026</t>
  </si>
  <si>
    <t xml:space="preserve">TAR LIQ COB COM REG CAIXA CH  </t>
  </si>
  <si>
    <t>PAGAMENTO DE BOLETO OUTROS BANCOS  RJ SISTEMAS</t>
  </si>
  <si>
    <t>PIX ENVIADO  HEVELYN VIANA SOUSA</t>
  </si>
  <si>
    <t>CR COB DINHEIRO CONF RECEBIMENTO  0729/000028892</t>
  </si>
  <si>
    <t>TED RECEBIDA  330.038.905-49</t>
  </si>
  <si>
    <t>PIX ENVIADO  45 643 940 TIAGO ELIAS</t>
  </si>
  <si>
    <t xml:space="preserve">TAR LIQ COB CORBAN DIGITAL CMP  </t>
  </si>
  <si>
    <t>PAGAMENTO DE BOLETO OUTROS BANCOS  ALELO INSTITUICAO DE PAGA</t>
  </si>
  <si>
    <t>12525674</t>
  </si>
  <si>
    <t>PIX RECEBIDO  41894313895</t>
  </si>
  <si>
    <t>PIX ENVIADO  IVANISE BITTENCOURT ROSA</t>
  </si>
  <si>
    <t>PIX ENVIADO  58 571 256 IGOR SANTOS CO</t>
  </si>
  <si>
    <t>PIX ENVIADO  60 825 508 RAFAEL PEREIRA</t>
  </si>
  <si>
    <t>PIX ENVIADO  PAULO LUCIANO NASCIMENTO</t>
  </si>
  <si>
    <t>PIX ENVIADO  IGREJA PRESBITERIANA DE P</t>
  </si>
  <si>
    <t>PIX ENVIADO  PAULA FERNANDA DOS SANTOS</t>
  </si>
  <si>
    <t>PIX ENVIADO  ITAMARA VIEIRA ALVES DOS</t>
  </si>
  <si>
    <t>PIX ENVIADO  MARIA PAULA STEMPKOWSKI D</t>
  </si>
  <si>
    <t>PIX ENVIADO  EMILLY OLIVEIRA MARTINS</t>
  </si>
  <si>
    <t>PIX ENVIADO  GABRIEL SANTOS COSTA</t>
  </si>
  <si>
    <t>PIX ENVIADO  FRANCYELLE FERREIRA SOUZA</t>
  </si>
  <si>
    <t>PIX ENVIADO  DIEGO DOS SANTOS PEDREIRA</t>
  </si>
  <si>
    <t>PAGAMENTO DE BOLETO OUTROS BANCOS  SUZANO SA</t>
  </si>
  <si>
    <t>PIX ENVIADO  ARESTA VISUAL LTDA</t>
  </si>
  <si>
    <t>PIX ENVIADO  ANA CLARA GONCALVES DE FR</t>
  </si>
  <si>
    <t>PIX ENVIADO  AMANDA RAYSSA OLIVEIRA DA</t>
  </si>
  <si>
    <t>Histórico</t>
  </si>
  <si>
    <t>Valor (R$)</t>
  </si>
  <si>
    <t>Saldo (R$)</t>
  </si>
  <si>
    <t>Literárius</t>
  </si>
  <si>
    <t>Santander</t>
  </si>
  <si>
    <t>Diferença</t>
  </si>
  <si>
    <t>34666</t>
  </si>
  <si>
    <t>Codigo</t>
  </si>
  <si>
    <t>Contas contábeis</t>
  </si>
  <si>
    <t>132 a 134</t>
  </si>
  <si>
    <t>AQUISIÇÃO DE LIVROS</t>
  </si>
  <si>
    <t>VENDA DE EBOOK</t>
  </si>
  <si>
    <t>180 a 192</t>
  </si>
  <si>
    <t>Despesas Editorial - Capa</t>
  </si>
  <si>
    <t>Despesas Editorial - Conferência de Emendas | Despesas Editorial - Revisão de Prova</t>
  </si>
  <si>
    <t>Despesas Editorial - Ilustração</t>
  </si>
  <si>
    <t>Produção Material Próprio</t>
  </si>
  <si>
    <t>Despesas Postais e fretes</t>
  </si>
  <si>
    <t>Antecipação - Direito Autoral</t>
  </si>
  <si>
    <t>Benfeitoria em Imoveis de 3º</t>
  </si>
  <si>
    <t>Bens de pequeno valor</t>
  </si>
  <si>
    <t>Bens Imobilizados Empresa</t>
  </si>
  <si>
    <t>Bolsa de Estudos</t>
  </si>
  <si>
    <t>Brinde Para Colaboradores</t>
  </si>
  <si>
    <t>Brindes Clientes</t>
  </si>
  <si>
    <t>Capacitação Profissional</t>
  </si>
  <si>
    <t>Cod 1082</t>
  </si>
  <si>
    <t>Cod 1138</t>
  </si>
  <si>
    <t>Cod 1170</t>
  </si>
  <si>
    <t>Cod 1176</t>
  </si>
  <si>
    <t>Cod 1191</t>
  </si>
  <si>
    <t>Cod 1196</t>
  </si>
  <si>
    <t>Cod 1200</t>
  </si>
  <si>
    <t>Cod 1646</t>
  </si>
  <si>
    <t>Cod 1708</t>
  </si>
  <si>
    <t>Cod 8031</t>
  </si>
  <si>
    <t>Cod 8301</t>
  </si>
  <si>
    <t>Cofins/Csll a Recolher</t>
  </si>
  <si>
    <t>Cursos E Treinamentos</t>
  </si>
  <si>
    <t>Darf Pis/Cofins - Codigo 5952</t>
  </si>
  <si>
    <t>Darf S/ Irf - Codigo 1708</t>
  </si>
  <si>
    <t>Desp Prest Serv Pf</t>
  </si>
  <si>
    <t>Despesas Cartorarias</t>
  </si>
  <si>
    <t>Despesas Autor</t>
  </si>
  <si>
    <t>Embalagens e Mareriais Graficos</t>
  </si>
  <si>
    <t>Estacionamento</t>
  </si>
  <si>
    <t>Fgts Ferias</t>
  </si>
  <si>
    <t>Estorno e Reembolso</t>
  </si>
  <si>
    <t>231 LANÇAR NA NATUREZA DA DESPESA</t>
  </si>
  <si>
    <t>Monitoramento Sede</t>
  </si>
  <si>
    <t>Royalties</t>
  </si>
  <si>
    <t>PIS 8301</t>
  </si>
  <si>
    <t>Terreno e Dependências - Sede</t>
  </si>
  <si>
    <t>Juros pagos/passivos</t>
  </si>
  <si>
    <t>Lanches e Refeições Comercial</t>
  </si>
  <si>
    <t>DIRETORIA - PJ</t>
  </si>
  <si>
    <t>Seguros</t>
  </si>
  <si>
    <t>Condomínio</t>
  </si>
  <si>
    <t>DESPESAS OPERACIONAIS</t>
  </si>
  <si>
    <t>4.3.1</t>
  </si>
  <si>
    <t>DESPESAS ADMINISTRATIVAS</t>
  </si>
  <si>
    <t>4.3.1.01</t>
  </si>
  <si>
    <t>Materiais Impressos</t>
  </si>
  <si>
    <t>Cod 0561</t>
  </si>
  <si>
    <t>Rescisões</t>
  </si>
  <si>
    <t>188 A 192</t>
  </si>
  <si>
    <t>Cod 5952</t>
  </si>
  <si>
    <t>Móveis, Máquinas e Utensílios</t>
  </si>
  <si>
    <t>Condominio</t>
  </si>
  <si>
    <t>Cod 1162</t>
  </si>
  <si>
    <t>Conta contábil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</si>
</sst>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;[Red]\-&quot;R$ &quot;#,##0.00"/>
  </numFmts>
  <fonts count="8" x14ac:knownFonts="1">
    <font>
      <sz val="8"/>
      <color rgb="FF6D6D6D"/>
      <name val="Tahoma"/>
    </font>
    <font>
      <b/>
      <sz val="10"/>
      <color rgb="FF6D6D6D"/>
      <name val="Tahoma"/>
      <family val="2"/>
    </font>
    <font>
      <b/>
      <sz val="10"/>
      <color rgb="FF000000"/>
      <name val="Tahoma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b/>
      <sz val="1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  <fill>
      <patternFill patternType="solid">
        <fgColor rgb="FFCBD6F6"/>
      </patternFill>
    </fill>
    <fill>
      <patternFill patternType="solid">
        <fgColor auto="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26"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center" vertical="top" wrapText="1"/>
    </xf>
    <xf numFmtId="0" fontId="2" fillId="2" borderId="1" xfId="0" applyNumberFormat="1" applyFont="1" applyFill="1" applyBorder="1" applyAlignment="1" applyProtection="1">
      <alignment horizontal="right" vertical="top" wrapText="1"/>
    </xf>
    <xf numFmtId="0" fontId="2" fillId="2" borderId="1" xfId="0" applyNumberFormat="1" applyFont="1" applyFill="1" applyBorder="1" applyAlignment="1" applyProtection="1">
      <alignment horizontal="center" vertical="top" wrapText="1"/>
    </xf>
    <xf numFmtId="14" fontId="2" fillId="2" borderId="1" xfId="0" applyNumberFormat="1" applyFont="1" applyFill="1" applyBorder="1" applyAlignment="1" applyProtection="1">
      <alignment horizontal="left" vertical="top" wrapText="1"/>
    </xf>
    <xf numFmtId="4" fontId="2" fillId="2" borderId="1" xfId="0" applyNumberFormat="1" applyFont="1" applyFill="1" applyBorder="1" applyAlignment="1" applyProtection="1">
      <alignment horizontal="right" vertical="top" wrapText="1"/>
    </xf>
    <xf numFmtId="0" fontId="3" fillId="4" borderId="2" xfId="0" applyFont="1" applyFill="1" applyBorder="1" applyAlignment="1">
      <alignment horizontal="center" vertical="center" wrapText="1"/>
    </xf>
    <xf numFmtId="0" fontId="0" fillId="2" borderId="0" xfId="0" applyAlignment="1"/>
    <xf numFmtId="0" fontId="4" fillId="5" borderId="2" xfId="0" applyFont="1" applyFill="1" applyBorder="1" applyAlignment="1">
      <alignment horizontal="left" vertical="center" wrapText="1"/>
    </xf>
    <xf numFmtId="164" fontId="4" fillId="5" borderId="2" xfId="0" applyNumberFormat="1" applyFont="1" applyFill="1" applyBorder="1" applyAlignment="1">
      <alignment horizontal="left" vertical="center" wrapText="1"/>
    </xf>
    <xf numFmtId="14" fontId="4" fillId="5" borderId="0" xfId="0" applyNumberFormat="1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164" fontId="4" fillId="5" borderId="0" xfId="0" applyNumberFormat="1" applyFont="1" applyFill="1" applyAlignment="1">
      <alignment horizontal="left" vertical="center" wrapText="1"/>
    </xf>
    <xf numFmtId="0" fontId="4" fillId="5" borderId="0" xfId="0" applyFont="1" applyFill="1" applyBorder="1" applyAlignment="1">
      <alignment horizontal="left" vertical="center" wrapText="1"/>
    </xf>
    <xf numFmtId="164" fontId="4" fillId="0" borderId="0" xfId="0" applyNumberFormat="1" applyFont="1" applyFill="1" applyAlignment="1">
      <alignment horizontal="left" vertical="center" wrapText="1"/>
    </xf>
    <xf numFmtId="2" fontId="1" fillId="2" borderId="0" xfId="0" applyNumberFormat="1" applyFont="1" applyFill="1" applyBorder="1" applyAlignment="1" applyProtection="1">
      <alignment horizontal="left" vertical="top" wrapText="1"/>
    </xf>
    <xf numFmtId="0" fontId="5" fillId="6" borderId="0" xfId="0" applyFont="1" applyFill="1" applyAlignment="1"/>
    <xf numFmtId="0" fontId="6" fillId="7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1" fillId="2" borderId="0" xfId="0" applyNumberFormat="1" applyFont="1" applyFill="1" applyBorder="1" applyAlignment="1" applyProtection="1">
      <alignment horizontal="center" vertical="top" wrapText="1"/>
    </xf>
    <xf numFmtId="0" fontId="2" fillId="3" borderId="3" xfId="0" applyNumberFormat="1" applyFont="1" applyFill="1" applyBorder="1" applyAlignment="1" applyProtection="1">
      <alignment horizontal="center" vertical="top" wrapText="1"/>
    </xf>
    <xf numFmtId="0" fontId="2" fillId="2" borderId="3" xfId="0" applyNumberFormat="1" applyFont="1" applyFill="1" applyBorder="1" applyAlignment="1" applyProtection="1">
      <alignment horizontal="left" vertical="top" wrapText="1"/>
    </xf>
    <xf numFmtId="0" fontId="7" fillId="3" borderId="2" xfId="0" applyNumberFormat="1" applyFont="1" applyFill="1" applyBorder="1" applyAlignment="1" applyProtection="1">
      <alignment horizontal="center" vertical="center" wrapText="1"/>
    </xf>
    <xf numFmtId="0" fontId="7" fillId="2" borderId="2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B0FA-6A06-4C9B-B57D-6BA84DB6C7E7}">
  <sheetPr filterMode="1">
    <pageSetUpPr autoPageBreaks="0" fitToPage="1"/>
  </sheetPr>
  <dimension ref="A1:J344"/>
  <sheetViews>
    <sheetView tabSelected="1" showOutlineSymbols="0" workbookViewId="0">
      <selection activeCell="H308" sqref="H308:J308"/>
    </sheetView>
  </sheetViews>
  <sheetFormatPr defaultColWidth="14.1640625" defaultRowHeight="15" customHeight="1" x14ac:dyDescent="0.15"/>
  <cols>
    <col min="1" max="1" width="6.6640625"/>
    <col min="2" max="2" width="12.33203125"/>
    <col min="3" max="3" width="31.33203125" customWidth="1"/>
    <col min="4" max="4" width="16.6640625"/>
    <col min="5" max="5" width="48.1640625"/>
    <col min="6" max="6" width="15.83203125"/>
    <col min="7" max="7" width="13.1640625"/>
    <col min="8" max="8" width="37.83203125"/>
    <col min="9" max="9" width="26.5"/>
    <col min="10" max="10" width="25" style="25" customWidth="1"/>
  </cols>
  <sheetData>
    <row r="1" spans="1:10" s="21" customFormat="1" ht="16.5" customHeight="1" x14ac:dyDescent="0.15">
      <c r="A1" s="3" t="s">
        <v>359</v>
      </c>
      <c r="B1" s="3" t="s">
        <v>414</v>
      </c>
      <c r="C1" s="3"/>
      <c r="D1" s="3" t="s">
        <v>366</v>
      </c>
      <c r="E1" s="3" t="s">
        <v>376</v>
      </c>
      <c r="F1" s="3" t="s">
        <v>292</v>
      </c>
      <c r="G1" s="3" t="s">
        <v>6</v>
      </c>
      <c r="H1" s="3" t="s">
        <v>282</v>
      </c>
      <c r="I1" s="22" t="s">
        <v>410</v>
      </c>
      <c r="J1" s="24" t="s">
        <v>775</v>
      </c>
    </row>
    <row r="2" spans="1:10" ht="15.75" hidden="1" customHeight="1" x14ac:dyDescent="0.15">
      <c r="A2" s="5" t="s">
        <v>196</v>
      </c>
      <c r="B2" s="4" t="s">
        <v>317</v>
      </c>
      <c r="C2" s="6">
        <v>46024</v>
      </c>
      <c r="D2" s="1" t="s">
        <v>317</v>
      </c>
      <c r="E2" s="1" t="s">
        <v>528</v>
      </c>
      <c r="F2" s="7">
        <v>-6505</v>
      </c>
      <c r="G2" s="1" t="s">
        <v>466</v>
      </c>
      <c r="H2" s="1" t="s">
        <v>542</v>
      </c>
      <c r="I2" s="23" t="s">
        <v>42</v>
      </c>
      <c r="J2" s="25">
        <f>VLOOKUP(H2,Planilha1!B:C,2,0)</f>
        <v>214</v>
      </c>
    </row>
    <row r="3" spans="1:10" ht="15.75" hidden="1" customHeight="1" x14ac:dyDescent="0.15">
      <c r="A3" s="5" t="s">
        <v>196</v>
      </c>
      <c r="B3" s="4" t="s">
        <v>232</v>
      </c>
      <c r="C3" s="6">
        <v>46024</v>
      </c>
      <c r="D3" s="1" t="s">
        <v>232</v>
      </c>
      <c r="E3" s="1" t="s">
        <v>362</v>
      </c>
      <c r="F3" s="7">
        <v>-1710.17</v>
      </c>
      <c r="G3" s="1" t="s">
        <v>466</v>
      </c>
      <c r="H3" s="1" t="s">
        <v>370</v>
      </c>
      <c r="I3" s="23" t="s">
        <v>42</v>
      </c>
      <c r="J3" s="25">
        <f>VLOOKUP(H3,Planilha1!B:C,2,0)</f>
        <v>200</v>
      </c>
    </row>
    <row r="4" spans="1:10" ht="15.75" hidden="1" customHeight="1" x14ac:dyDescent="0.15">
      <c r="A4" s="5" t="s">
        <v>196</v>
      </c>
      <c r="B4" s="4" t="s">
        <v>544</v>
      </c>
      <c r="C4" s="6">
        <v>46024</v>
      </c>
      <c r="D4" s="1" t="s">
        <v>544</v>
      </c>
      <c r="E4" s="1" t="s">
        <v>384</v>
      </c>
      <c r="F4" s="7">
        <v>-3289.16</v>
      </c>
      <c r="G4" s="1" t="s">
        <v>466</v>
      </c>
      <c r="H4" s="1" t="s">
        <v>251</v>
      </c>
      <c r="I4" s="23" t="s">
        <v>103</v>
      </c>
      <c r="J4" s="25">
        <f>VLOOKUP(H4,Planilha1!B:C,2,0)</f>
        <v>224</v>
      </c>
    </row>
    <row r="5" spans="1:10" ht="15.75" hidden="1" customHeight="1" x14ac:dyDescent="0.15">
      <c r="A5" s="5" t="s">
        <v>196</v>
      </c>
      <c r="B5" s="4" t="s">
        <v>519</v>
      </c>
      <c r="C5" s="6">
        <v>46024</v>
      </c>
      <c r="D5" s="1" t="s">
        <v>519</v>
      </c>
      <c r="E5" s="1" t="s">
        <v>9</v>
      </c>
      <c r="F5" s="4">
        <v>-270.72000000000003</v>
      </c>
      <c r="G5" s="1" t="s">
        <v>466</v>
      </c>
      <c r="H5" s="1" t="s">
        <v>194</v>
      </c>
      <c r="I5" s="23" t="s">
        <v>219</v>
      </c>
      <c r="J5" s="25">
        <f>VLOOKUP(H5,Planilha1!B:C,2,0)</f>
        <v>80</v>
      </c>
    </row>
    <row r="6" spans="1:10" ht="15.75" hidden="1" customHeight="1" x14ac:dyDescent="0.15">
      <c r="A6" s="5" t="s">
        <v>196</v>
      </c>
      <c r="B6" s="4" t="s">
        <v>100</v>
      </c>
      <c r="C6" s="6">
        <v>46024</v>
      </c>
      <c r="D6" s="1" t="s">
        <v>100</v>
      </c>
      <c r="E6" s="1" t="s">
        <v>498</v>
      </c>
      <c r="F6" s="7">
        <v>-1105</v>
      </c>
      <c r="G6" s="1" t="s">
        <v>466</v>
      </c>
      <c r="H6" s="1" t="s">
        <v>404</v>
      </c>
      <c r="I6" s="23" t="s">
        <v>66</v>
      </c>
      <c r="J6" s="25">
        <f>VLOOKUP(H6,Planilha1!B:C,2,0)</f>
        <v>185</v>
      </c>
    </row>
    <row r="7" spans="1:10" ht="15.75" hidden="1" customHeight="1" x14ac:dyDescent="0.15">
      <c r="A7" s="5" t="s">
        <v>196</v>
      </c>
      <c r="B7" s="4" t="s">
        <v>535</v>
      </c>
      <c r="C7" s="6">
        <v>46024</v>
      </c>
      <c r="D7" s="1" t="s">
        <v>535</v>
      </c>
      <c r="E7" s="1" t="s">
        <v>470</v>
      </c>
      <c r="F7" s="4">
        <v>-810</v>
      </c>
      <c r="G7" s="1" t="s">
        <v>466</v>
      </c>
      <c r="H7" s="1" t="s">
        <v>138</v>
      </c>
      <c r="I7" s="23" t="s">
        <v>66</v>
      </c>
      <c r="J7" s="25">
        <f>VLOOKUP(H7,Planilha1!B:C,2,0)</f>
        <v>752</v>
      </c>
    </row>
    <row r="8" spans="1:10" ht="15.75" hidden="1" customHeight="1" x14ac:dyDescent="0.15">
      <c r="A8" s="5" t="s">
        <v>196</v>
      </c>
      <c r="B8" s="4" t="s">
        <v>83</v>
      </c>
      <c r="C8" s="6">
        <v>46024</v>
      </c>
      <c r="D8" s="1" t="s">
        <v>83</v>
      </c>
      <c r="E8" s="1" t="s">
        <v>470</v>
      </c>
      <c r="F8" s="4">
        <v>-78</v>
      </c>
      <c r="G8" s="1" t="s">
        <v>466</v>
      </c>
      <c r="H8" s="1" t="s">
        <v>138</v>
      </c>
      <c r="I8" s="23" t="s">
        <v>66</v>
      </c>
      <c r="J8" s="25">
        <f>VLOOKUP(H8,Planilha1!B:C,2,0)</f>
        <v>752</v>
      </c>
    </row>
    <row r="9" spans="1:10" ht="15.75" hidden="1" customHeight="1" x14ac:dyDescent="0.15">
      <c r="A9" s="5" t="s">
        <v>196</v>
      </c>
      <c r="B9" s="4" t="s">
        <v>515</v>
      </c>
      <c r="C9" s="6">
        <v>46024</v>
      </c>
      <c r="D9" s="1" t="s">
        <v>515</v>
      </c>
      <c r="E9" s="1" t="s">
        <v>375</v>
      </c>
      <c r="F9" s="7">
        <v>-4796.51</v>
      </c>
      <c r="G9" s="1" t="s">
        <v>466</v>
      </c>
      <c r="H9" s="1" t="s">
        <v>194</v>
      </c>
      <c r="I9" s="23" t="s">
        <v>219</v>
      </c>
      <c r="J9" s="25">
        <f>VLOOKUP(H9,Planilha1!B:C,2,0)</f>
        <v>80</v>
      </c>
    </row>
    <row r="10" spans="1:10" ht="15.75" hidden="1" customHeight="1" x14ac:dyDescent="0.15">
      <c r="A10" s="5" t="s">
        <v>328</v>
      </c>
      <c r="B10" s="4" t="s">
        <v>255</v>
      </c>
      <c r="C10" s="6">
        <v>46024</v>
      </c>
      <c r="D10" s="1" t="s">
        <v>255</v>
      </c>
      <c r="E10" s="1" t="s">
        <v>101</v>
      </c>
      <c r="F10" s="7">
        <v>19598.72</v>
      </c>
      <c r="G10" s="1" t="s">
        <v>242</v>
      </c>
      <c r="H10" s="1" t="s">
        <v>8</v>
      </c>
      <c r="I10" s="23" t="s">
        <v>364</v>
      </c>
      <c r="J10" s="25">
        <f>VLOOKUP(H10,Planilha1!B:C,2,0)</f>
        <v>0</v>
      </c>
    </row>
    <row r="11" spans="1:10" ht="15.75" hidden="1" customHeight="1" x14ac:dyDescent="0.15">
      <c r="A11" s="5" t="s">
        <v>328</v>
      </c>
      <c r="B11" s="4" t="s">
        <v>388</v>
      </c>
      <c r="C11" s="6">
        <v>46024</v>
      </c>
      <c r="D11" s="1" t="s">
        <v>388</v>
      </c>
      <c r="E11" s="1" t="s">
        <v>377</v>
      </c>
      <c r="F11" s="4">
        <v>160</v>
      </c>
      <c r="G11" s="1" t="s">
        <v>242</v>
      </c>
      <c r="H11" s="1" t="s">
        <v>428</v>
      </c>
      <c r="I11" s="23" t="s">
        <v>299</v>
      </c>
      <c r="J11" s="25" t="str">
        <f>VLOOKUP(H11,Planilha1!B:C,2,0)</f>
        <v>132 a 134</v>
      </c>
    </row>
    <row r="12" spans="1:10" ht="15.75" hidden="1" customHeight="1" x14ac:dyDescent="0.15">
      <c r="A12" s="5" t="s">
        <v>196</v>
      </c>
      <c r="B12" s="4" t="s">
        <v>41</v>
      </c>
      <c r="C12" s="6">
        <v>46024</v>
      </c>
      <c r="D12" s="1" t="s">
        <v>41</v>
      </c>
      <c r="E12" s="1" t="s">
        <v>92</v>
      </c>
      <c r="F12" s="4">
        <v>-725</v>
      </c>
      <c r="G12" s="1" t="s">
        <v>466</v>
      </c>
      <c r="H12" s="1" t="s">
        <v>194</v>
      </c>
      <c r="I12" s="23" t="s">
        <v>219</v>
      </c>
      <c r="J12" s="25">
        <f>VLOOKUP(H12,Planilha1!B:C,2,0)</f>
        <v>80</v>
      </c>
    </row>
    <row r="13" spans="1:10" ht="15.75" hidden="1" customHeight="1" x14ac:dyDescent="0.15">
      <c r="A13" s="5" t="s">
        <v>196</v>
      </c>
      <c r="B13" s="4" t="s">
        <v>368</v>
      </c>
      <c r="C13" s="6">
        <v>46027</v>
      </c>
      <c r="D13" s="1" t="s">
        <v>368</v>
      </c>
      <c r="E13" s="1" t="s">
        <v>9</v>
      </c>
      <c r="F13" s="7">
        <v>-1586.1</v>
      </c>
      <c r="G13" s="1" t="s">
        <v>466</v>
      </c>
      <c r="H13" s="1" t="s">
        <v>194</v>
      </c>
      <c r="I13" s="23" t="s">
        <v>219</v>
      </c>
      <c r="J13" s="25">
        <f>VLOOKUP(H13,Planilha1!B:C,2,0)</f>
        <v>80</v>
      </c>
    </row>
    <row r="14" spans="1:10" ht="15.75" hidden="1" customHeight="1" x14ac:dyDescent="0.15">
      <c r="A14" s="5" t="s">
        <v>196</v>
      </c>
      <c r="B14" s="4" t="s">
        <v>19</v>
      </c>
      <c r="C14" s="6">
        <v>46027</v>
      </c>
      <c r="D14" s="1" t="s">
        <v>19</v>
      </c>
      <c r="E14" s="1" t="s">
        <v>477</v>
      </c>
      <c r="F14" s="7">
        <v>-12009.09</v>
      </c>
      <c r="G14" s="1" t="s">
        <v>466</v>
      </c>
      <c r="H14" s="1" t="s">
        <v>472</v>
      </c>
      <c r="I14" s="23" t="s">
        <v>326</v>
      </c>
      <c r="J14" s="25">
        <f>VLOOKUP(H14,Planilha1!B:C,2,0)</f>
        <v>80</v>
      </c>
    </row>
    <row r="15" spans="1:10" ht="15.75" hidden="1" customHeight="1" x14ac:dyDescent="0.15">
      <c r="A15" s="5" t="s">
        <v>196</v>
      </c>
      <c r="B15" s="4" t="s">
        <v>481</v>
      </c>
      <c r="C15" s="6">
        <v>46027</v>
      </c>
      <c r="D15" s="1" t="s">
        <v>481</v>
      </c>
      <c r="E15" s="1" t="s">
        <v>9</v>
      </c>
      <c r="F15" s="7">
        <v>-1288.99</v>
      </c>
      <c r="G15" s="1" t="s">
        <v>466</v>
      </c>
      <c r="H15" s="1" t="s">
        <v>194</v>
      </c>
      <c r="I15" s="23" t="s">
        <v>219</v>
      </c>
      <c r="J15" s="25">
        <f>VLOOKUP(H15,Planilha1!B:C,2,0)</f>
        <v>80</v>
      </c>
    </row>
    <row r="16" spans="1:10" ht="15.75" hidden="1" customHeight="1" x14ac:dyDescent="0.15">
      <c r="A16" s="5" t="s">
        <v>196</v>
      </c>
      <c r="B16" s="4" t="s">
        <v>506</v>
      </c>
      <c r="C16" s="6">
        <v>46027</v>
      </c>
      <c r="D16" s="1" t="s">
        <v>506</v>
      </c>
      <c r="E16" s="1" t="s">
        <v>477</v>
      </c>
      <c r="F16" s="7">
        <v>-18475.52</v>
      </c>
      <c r="G16" s="1" t="s">
        <v>466</v>
      </c>
      <c r="H16" s="1" t="s">
        <v>472</v>
      </c>
      <c r="I16" s="23" t="s">
        <v>326</v>
      </c>
      <c r="J16" s="25">
        <f>VLOOKUP(H16,Planilha1!B:C,2,0)</f>
        <v>80</v>
      </c>
    </row>
    <row r="17" spans="1:10" ht="15.75" hidden="1" customHeight="1" x14ac:dyDescent="0.15">
      <c r="A17" s="5" t="s">
        <v>196</v>
      </c>
      <c r="B17" s="4" t="s">
        <v>215</v>
      </c>
      <c r="C17" s="6">
        <v>46027</v>
      </c>
      <c r="D17" s="1" t="s">
        <v>215</v>
      </c>
      <c r="E17" s="1" t="s">
        <v>483</v>
      </c>
      <c r="F17" s="7">
        <v>-2178</v>
      </c>
      <c r="G17" s="1" t="s">
        <v>466</v>
      </c>
      <c r="H17" s="1" t="s">
        <v>99</v>
      </c>
      <c r="I17" s="23" t="s">
        <v>348</v>
      </c>
      <c r="J17" s="25">
        <f>VLOOKUP(H17,Planilha1!B:C,2,0)</f>
        <v>244</v>
      </c>
    </row>
    <row r="18" spans="1:10" ht="15.75" hidden="1" customHeight="1" x14ac:dyDescent="0.15">
      <c r="A18" s="5" t="s">
        <v>196</v>
      </c>
      <c r="B18" s="4" t="s">
        <v>259</v>
      </c>
      <c r="C18" s="6">
        <v>46027</v>
      </c>
      <c r="D18" s="1" t="s">
        <v>259</v>
      </c>
      <c r="E18" s="1" t="s">
        <v>477</v>
      </c>
      <c r="F18" s="7">
        <v>-14318.53</v>
      </c>
      <c r="G18" s="1" t="s">
        <v>466</v>
      </c>
      <c r="H18" s="1" t="s">
        <v>472</v>
      </c>
      <c r="I18" s="23" t="s">
        <v>326</v>
      </c>
      <c r="J18" s="25">
        <f>VLOOKUP(H18,Planilha1!B:C,2,0)</f>
        <v>80</v>
      </c>
    </row>
    <row r="19" spans="1:10" ht="15.75" hidden="1" customHeight="1" x14ac:dyDescent="0.15">
      <c r="A19" s="5" t="s">
        <v>196</v>
      </c>
      <c r="B19" s="4" t="s">
        <v>469</v>
      </c>
      <c r="C19" s="6">
        <v>46027</v>
      </c>
      <c r="D19" s="1" t="s">
        <v>469</v>
      </c>
      <c r="E19" s="1" t="s">
        <v>59</v>
      </c>
      <c r="F19" s="7">
        <v>-5133.3100000000004</v>
      </c>
      <c r="G19" s="1" t="s">
        <v>466</v>
      </c>
      <c r="H19" s="1" t="s">
        <v>146</v>
      </c>
      <c r="I19" s="23" t="s">
        <v>103</v>
      </c>
      <c r="J19" s="25">
        <f>VLOOKUP(H19,Planilha1!B:C,2,0)</f>
        <v>164</v>
      </c>
    </row>
    <row r="20" spans="1:10" ht="15.75" hidden="1" customHeight="1" x14ac:dyDescent="0.15">
      <c r="A20" s="5" t="s">
        <v>196</v>
      </c>
      <c r="B20" s="4" t="s">
        <v>13</v>
      </c>
      <c r="C20" s="6">
        <v>46027</v>
      </c>
      <c r="D20" s="1" t="s">
        <v>13</v>
      </c>
      <c r="E20" s="1" t="s">
        <v>9</v>
      </c>
      <c r="F20" s="4">
        <v>-307.72000000000003</v>
      </c>
      <c r="G20" s="1" t="s">
        <v>466</v>
      </c>
      <c r="H20" s="1" t="s">
        <v>194</v>
      </c>
      <c r="I20" s="23" t="s">
        <v>219</v>
      </c>
      <c r="J20" s="25">
        <f>VLOOKUP(H20,Planilha1!B:C,2,0)</f>
        <v>80</v>
      </c>
    </row>
    <row r="21" spans="1:10" ht="15.75" hidden="1" customHeight="1" x14ac:dyDescent="0.15">
      <c r="A21" s="5" t="s">
        <v>196</v>
      </c>
      <c r="B21" s="4" t="s">
        <v>499</v>
      </c>
      <c r="C21" s="6">
        <v>46027</v>
      </c>
      <c r="D21" s="1" t="s">
        <v>499</v>
      </c>
      <c r="E21" s="1" t="s">
        <v>403</v>
      </c>
      <c r="F21" s="4">
        <v>-975.69</v>
      </c>
      <c r="G21" s="1" t="s">
        <v>466</v>
      </c>
      <c r="H21" s="1" t="s">
        <v>138</v>
      </c>
      <c r="I21" s="23" t="s">
        <v>66</v>
      </c>
      <c r="J21" s="25">
        <f>VLOOKUP(H21,Planilha1!B:C,2,0)</f>
        <v>752</v>
      </c>
    </row>
    <row r="22" spans="1:10" ht="15.75" hidden="1" customHeight="1" x14ac:dyDescent="0.15">
      <c r="A22" s="5" t="s">
        <v>196</v>
      </c>
      <c r="B22" s="4" t="s">
        <v>373</v>
      </c>
      <c r="C22" s="6">
        <v>46027</v>
      </c>
      <c r="D22" s="1" t="s">
        <v>373</v>
      </c>
      <c r="E22" s="1" t="s">
        <v>154</v>
      </c>
      <c r="F22" s="4">
        <v>-64.739999999999995</v>
      </c>
      <c r="G22" s="1" t="s">
        <v>466</v>
      </c>
      <c r="H22" s="1" t="s">
        <v>240</v>
      </c>
      <c r="I22" s="23" t="s">
        <v>103</v>
      </c>
      <c r="J22" s="25">
        <f>VLOOKUP(H22,Planilha1!B:C,2,0)</f>
        <v>711</v>
      </c>
    </row>
    <row r="23" spans="1:10" ht="15.75" hidden="1" customHeight="1" x14ac:dyDescent="0.15">
      <c r="A23" s="5" t="s">
        <v>328</v>
      </c>
      <c r="B23" s="4" t="s">
        <v>46</v>
      </c>
      <c r="C23" s="6">
        <v>46027</v>
      </c>
      <c r="D23" s="1" t="s">
        <v>46</v>
      </c>
      <c r="E23" s="1" t="s">
        <v>101</v>
      </c>
      <c r="F23" s="7">
        <v>25101.72</v>
      </c>
      <c r="G23" s="1" t="s">
        <v>242</v>
      </c>
      <c r="H23" s="1" t="s">
        <v>8</v>
      </c>
      <c r="I23" s="23" t="s">
        <v>364</v>
      </c>
      <c r="J23" s="25">
        <f>VLOOKUP(H23,Planilha1!B:C,2,0)</f>
        <v>0</v>
      </c>
    </row>
    <row r="24" spans="1:10" ht="15.75" hidden="1" customHeight="1" x14ac:dyDescent="0.15">
      <c r="A24" s="5" t="s">
        <v>328</v>
      </c>
      <c r="B24" s="4" t="s">
        <v>53</v>
      </c>
      <c r="C24" s="6">
        <v>46027</v>
      </c>
      <c r="D24" s="1" t="s">
        <v>53</v>
      </c>
      <c r="E24" s="1" t="s">
        <v>142</v>
      </c>
      <c r="F24" s="7">
        <v>3144.43</v>
      </c>
      <c r="G24" s="1" t="s">
        <v>242</v>
      </c>
      <c r="H24" s="1" t="s">
        <v>428</v>
      </c>
      <c r="I24" s="23" t="s">
        <v>299</v>
      </c>
      <c r="J24" s="25" t="str">
        <f>VLOOKUP(H24,Planilha1!B:C,2,0)</f>
        <v>132 a 134</v>
      </c>
    </row>
    <row r="25" spans="1:10" ht="15.75" hidden="1" customHeight="1" x14ac:dyDescent="0.15">
      <c r="A25" s="5" t="s">
        <v>328</v>
      </c>
      <c r="B25" s="4" t="s">
        <v>494</v>
      </c>
      <c r="C25" s="6">
        <v>46027</v>
      </c>
      <c r="D25" s="1" t="s">
        <v>494</v>
      </c>
      <c r="E25" s="1" t="s">
        <v>213</v>
      </c>
      <c r="F25" s="7">
        <v>4842.54</v>
      </c>
      <c r="G25" s="1" t="s">
        <v>242</v>
      </c>
      <c r="H25" s="1" t="s">
        <v>428</v>
      </c>
      <c r="I25" s="23" t="s">
        <v>299</v>
      </c>
      <c r="J25" s="25" t="str">
        <f>VLOOKUP(H25,Planilha1!B:C,2,0)</f>
        <v>132 a 134</v>
      </c>
    </row>
    <row r="26" spans="1:10" ht="15.75" hidden="1" customHeight="1" x14ac:dyDescent="0.15">
      <c r="A26" s="5" t="s">
        <v>196</v>
      </c>
      <c r="B26" s="4" t="s">
        <v>441</v>
      </c>
      <c r="C26" s="6">
        <v>46027</v>
      </c>
      <c r="D26" s="1" t="s">
        <v>441</v>
      </c>
      <c r="E26" s="1" t="s">
        <v>78</v>
      </c>
      <c r="F26" s="4">
        <v>-5.78</v>
      </c>
      <c r="G26" s="1" t="s">
        <v>242</v>
      </c>
      <c r="H26" s="1" t="s">
        <v>147</v>
      </c>
      <c r="I26" s="23" t="s">
        <v>511</v>
      </c>
      <c r="J26" s="25">
        <f>VLOOKUP(H26,Planilha1!B:C,2,0)</f>
        <v>252</v>
      </c>
    </row>
    <row r="27" spans="1:10" ht="15.75" hidden="1" customHeight="1" x14ac:dyDescent="0.15">
      <c r="A27" s="5" t="s">
        <v>328</v>
      </c>
      <c r="B27" s="4" t="s">
        <v>10</v>
      </c>
      <c r="C27" s="6">
        <v>46027</v>
      </c>
      <c r="D27" s="1" t="s">
        <v>10</v>
      </c>
      <c r="E27" s="1" t="s">
        <v>132</v>
      </c>
      <c r="F27" s="7">
        <v>28000</v>
      </c>
      <c r="G27" s="1" t="s">
        <v>242</v>
      </c>
      <c r="H27" s="1" t="s">
        <v>8</v>
      </c>
      <c r="I27" s="23" t="s">
        <v>364</v>
      </c>
      <c r="J27" s="25">
        <f>VLOOKUP(H27,Planilha1!B:C,2,0)</f>
        <v>0</v>
      </c>
    </row>
    <row r="28" spans="1:10" ht="15.75" hidden="1" customHeight="1" x14ac:dyDescent="0.15">
      <c r="A28" s="5" t="s">
        <v>328</v>
      </c>
      <c r="B28" s="4" t="s">
        <v>176</v>
      </c>
      <c r="C28" s="6">
        <v>46028</v>
      </c>
      <c r="D28" s="1" t="s">
        <v>176</v>
      </c>
      <c r="E28" s="1" t="s">
        <v>361</v>
      </c>
      <c r="F28" s="4">
        <v>2.88</v>
      </c>
      <c r="G28" s="1" t="s">
        <v>466</v>
      </c>
      <c r="H28" s="1" t="s">
        <v>197</v>
      </c>
      <c r="I28" s="23" t="s">
        <v>511</v>
      </c>
      <c r="J28" s="25">
        <f>VLOOKUP(H28,Planilha1!B:C,2,0)</f>
        <v>135</v>
      </c>
    </row>
    <row r="29" spans="1:10" ht="15.75" hidden="1" customHeight="1" x14ac:dyDescent="0.15">
      <c r="A29" s="5" t="s">
        <v>196</v>
      </c>
      <c r="B29" s="4" t="s">
        <v>539</v>
      </c>
      <c r="C29" s="6">
        <v>46028</v>
      </c>
      <c r="D29" s="1" t="s">
        <v>539</v>
      </c>
      <c r="E29" s="1" t="s">
        <v>195</v>
      </c>
      <c r="F29" s="4">
        <v>-3.28</v>
      </c>
      <c r="G29" s="1" t="s">
        <v>242</v>
      </c>
      <c r="H29" s="1" t="s">
        <v>147</v>
      </c>
      <c r="I29" s="23" t="s">
        <v>511</v>
      </c>
      <c r="J29" s="25">
        <f>VLOOKUP(H29,Planilha1!B:C,2,0)</f>
        <v>252</v>
      </c>
    </row>
    <row r="30" spans="1:10" ht="15.75" hidden="1" customHeight="1" x14ac:dyDescent="0.15">
      <c r="A30" s="5" t="s">
        <v>196</v>
      </c>
      <c r="B30" s="4" t="s">
        <v>478</v>
      </c>
      <c r="C30" s="6">
        <v>46028</v>
      </c>
      <c r="D30" s="1" t="s">
        <v>478</v>
      </c>
      <c r="E30" s="1" t="s">
        <v>16</v>
      </c>
      <c r="F30" s="4">
        <v>-27.4</v>
      </c>
      <c r="G30" s="1" t="s">
        <v>466</v>
      </c>
      <c r="H30" s="1" t="s">
        <v>381</v>
      </c>
      <c r="I30" s="23" t="s">
        <v>66</v>
      </c>
      <c r="J30" s="25">
        <f>VLOOKUP(H30,Planilha1!B:C,2,0)</f>
        <v>217</v>
      </c>
    </row>
    <row r="31" spans="1:10" ht="15.75" hidden="1" customHeight="1" x14ac:dyDescent="0.15">
      <c r="A31" s="5" t="s">
        <v>196</v>
      </c>
      <c r="B31" s="4" t="s">
        <v>137</v>
      </c>
      <c r="C31" s="6">
        <v>46028</v>
      </c>
      <c r="D31" s="1" t="s">
        <v>137</v>
      </c>
      <c r="E31" s="1" t="s">
        <v>403</v>
      </c>
      <c r="F31" s="4">
        <v>-960</v>
      </c>
      <c r="G31" s="1" t="s">
        <v>466</v>
      </c>
      <c r="H31" s="1" t="s">
        <v>223</v>
      </c>
      <c r="I31" s="23" t="s">
        <v>66</v>
      </c>
      <c r="J31" s="25">
        <f>VLOOKUP(H31,Planilha1!B:C,2,0)</f>
        <v>185</v>
      </c>
    </row>
    <row r="32" spans="1:10" ht="15.75" hidden="1" customHeight="1" x14ac:dyDescent="0.15">
      <c r="A32" s="5" t="s">
        <v>196</v>
      </c>
      <c r="B32" s="4" t="s">
        <v>33</v>
      </c>
      <c r="C32" s="6">
        <v>46028</v>
      </c>
      <c r="D32" s="1" t="s">
        <v>33</v>
      </c>
      <c r="E32" s="1" t="s">
        <v>64</v>
      </c>
      <c r="F32" s="4">
        <v>-880</v>
      </c>
      <c r="G32" s="1" t="s">
        <v>466</v>
      </c>
      <c r="H32" s="1" t="s">
        <v>223</v>
      </c>
      <c r="I32" s="23" t="s">
        <v>66</v>
      </c>
      <c r="J32" s="25">
        <f>VLOOKUP(H32,Planilha1!B:C,2,0)</f>
        <v>185</v>
      </c>
    </row>
    <row r="33" spans="1:10" ht="15.75" hidden="1" customHeight="1" x14ac:dyDescent="0.15">
      <c r="A33" s="5" t="s">
        <v>196</v>
      </c>
      <c r="B33" s="4" t="s">
        <v>322</v>
      </c>
      <c r="C33" s="6">
        <v>46028</v>
      </c>
      <c r="D33" s="1" t="s">
        <v>322</v>
      </c>
      <c r="E33" s="1" t="s">
        <v>64</v>
      </c>
      <c r="F33" s="7">
        <v>-1120</v>
      </c>
      <c r="G33" s="1" t="s">
        <v>466</v>
      </c>
      <c r="H33" s="1" t="s">
        <v>223</v>
      </c>
      <c r="I33" s="23" t="s">
        <v>66</v>
      </c>
      <c r="J33" s="25">
        <f>VLOOKUP(H33,Planilha1!B:C,2,0)</f>
        <v>185</v>
      </c>
    </row>
    <row r="34" spans="1:10" ht="15.75" hidden="1" customHeight="1" x14ac:dyDescent="0.15">
      <c r="A34" s="5" t="s">
        <v>196</v>
      </c>
      <c r="B34" s="4" t="s">
        <v>346</v>
      </c>
      <c r="C34" s="6">
        <v>46028</v>
      </c>
      <c r="D34" s="1" t="s">
        <v>346</v>
      </c>
      <c r="E34" s="1" t="s">
        <v>64</v>
      </c>
      <c r="F34" s="4">
        <v>-240</v>
      </c>
      <c r="G34" s="1" t="s">
        <v>466</v>
      </c>
      <c r="H34" s="1" t="s">
        <v>223</v>
      </c>
      <c r="I34" s="23" t="s">
        <v>66</v>
      </c>
      <c r="J34" s="25">
        <f>VLOOKUP(H34,Planilha1!B:C,2,0)</f>
        <v>185</v>
      </c>
    </row>
    <row r="35" spans="1:10" ht="15.75" hidden="1" customHeight="1" x14ac:dyDescent="0.15">
      <c r="A35" s="5" t="s">
        <v>196</v>
      </c>
      <c r="B35" s="4" t="s">
        <v>184</v>
      </c>
      <c r="C35" s="6">
        <v>46028</v>
      </c>
      <c r="D35" s="1" t="s">
        <v>184</v>
      </c>
      <c r="E35" s="1" t="s">
        <v>64</v>
      </c>
      <c r="F35" s="4">
        <v>-720</v>
      </c>
      <c r="G35" s="1" t="s">
        <v>466</v>
      </c>
      <c r="H35" s="1" t="s">
        <v>223</v>
      </c>
      <c r="I35" s="23" t="s">
        <v>66</v>
      </c>
      <c r="J35" s="25">
        <f>VLOOKUP(H35,Planilha1!B:C,2,0)</f>
        <v>185</v>
      </c>
    </row>
    <row r="36" spans="1:10" ht="15.75" hidden="1" customHeight="1" x14ac:dyDescent="0.15">
      <c r="A36" s="5" t="s">
        <v>196</v>
      </c>
      <c r="B36" s="4" t="s">
        <v>415</v>
      </c>
      <c r="C36" s="6">
        <v>46028</v>
      </c>
      <c r="D36" s="1" t="s">
        <v>415</v>
      </c>
      <c r="E36" s="1" t="s">
        <v>266</v>
      </c>
      <c r="F36" s="7">
        <v>-1454.62</v>
      </c>
      <c r="G36" s="1" t="s">
        <v>466</v>
      </c>
      <c r="H36" s="1" t="s">
        <v>285</v>
      </c>
      <c r="I36" s="23" t="s">
        <v>219</v>
      </c>
      <c r="J36" s="25">
        <f>VLOOKUP(H36,Planilha1!B:C,2,0)</f>
        <v>247</v>
      </c>
    </row>
    <row r="37" spans="1:10" ht="15.75" hidden="1" customHeight="1" x14ac:dyDescent="0.15">
      <c r="A37" s="5" t="s">
        <v>196</v>
      </c>
      <c r="B37" s="4" t="s">
        <v>502</v>
      </c>
      <c r="C37" s="6">
        <v>46028</v>
      </c>
      <c r="D37" s="1" t="s">
        <v>502</v>
      </c>
      <c r="E37" s="1" t="s">
        <v>477</v>
      </c>
      <c r="F37" s="7">
        <v>-16764.060000000001</v>
      </c>
      <c r="G37" s="1" t="s">
        <v>466</v>
      </c>
      <c r="H37" s="1" t="s">
        <v>472</v>
      </c>
      <c r="I37" s="23" t="s">
        <v>326</v>
      </c>
      <c r="J37" s="25">
        <f>VLOOKUP(H37,Planilha1!B:C,2,0)</f>
        <v>80</v>
      </c>
    </row>
    <row r="38" spans="1:10" ht="15.75" hidden="1" customHeight="1" x14ac:dyDescent="0.15">
      <c r="A38" s="5" t="s">
        <v>196</v>
      </c>
      <c r="B38" s="4" t="s">
        <v>283</v>
      </c>
      <c r="C38" s="6">
        <v>46028</v>
      </c>
      <c r="D38" s="1" t="s">
        <v>283</v>
      </c>
      <c r="E38" s="1" t="s">
        <v>98</v>
      </c>
      <c r="F38" s="4">
        <v>-423.91</v>
      </c>
      <c r="G38" s="1" t="s">
        <v>466</v>
      </c>
      <c r="H38" s="1" t="s">
        <v>194</v>
      </c>
      <c r="I38" s="23" t="s">
        <v>219</v>
      </c>
      <c r="J38" s="25">
        <f>VLOOKUP(H38,Planilha1!B:C,2,0)</f>
        <v>80</v>
      </c>
    </row>
    <row r="39" spans="1:10" ht="15.75" hidden="1" customHeight="1" x14ac:dyDescent="0.15">
      <c r="A39" s="5" t="s">
        <v>196</v>
      </c>
      <c r="B39" s="4" t="s">
        <v>449</v>
      </c>
      <c r="C39" s="6">
        <v>46028</v>
      </c>
      <c r="D39" s="1" t="s">
        <v>449</v>
      </c>
      <c r="E39" s="1" t="s">
        <v>58</v>
      </c>
      <c r="F39" s="4">
        <v>-579.9</v>
      </c>
      <c r="G39" s="1" t="s">
        <v>466</v>
      </c>
      <c r="H39" s="1" t="s">
        <v>146</v>
      </c>
      <c r="I39" s="23" t="s">
        <v>103</v>
      </c>
      <c r="J39" s="25">
        <f>VLOOKUP(H39,Planilha1!B:C,2,0)</f>
        <v>164</v>
      </c>
    </row>
    <row r="40" spans="1:10" ht="15.75" hidden="1" customHeight="1" x14ac:dyDescent="0.15">
      <c r="A40" s="5" t="s">
        <v>196</v>
      </c>
      <c r="B40" s="4" t="s">
        <v>479</v>
      </c>
      <c r="C40" s="6">
        <v>46028</v>
      </c>
      <c r="D40" s="1" t="s">
        <v>479</v>
      </c>
      <c r="E40" s="1" t="s">
        <v>352</v>
      </c>
      <c r="F40" s="7">
        <v>-8242.51</v>
      </c>
      <c r="G40" s="1" t="s">
        <v>466</v>
      </c>
      <c r="H40" s="1" t="s">
        <v>531</v>
      </c>
      <c r="I40" s="23" t="s">
        <v>42</v>
      </c>
      <c r="J40" s="25">
        <f>VLOOKUP(H40,Planilha1!B:C,2,0)</f>
        <v>187</v>
      </c>
    </row>
    <row r="41" spans="1:10" ht="15.75" hidden="1" customHeight="1" x14ac:dyDescent="0.15">
      <c r="A41" s="5" t="s">
        <v>328</v>
      </c>
      <c r="B41" s="4" t="s">
        <v>79</v>
      </c>
      <c r="C41" s="6">
        <v>46029</v>
      </c>
      <c r="D41" s="1" t="s">
        <v>79</v>
      </c>
      <c r="E41" s="1" t="s">
        <v>142</v>
      </c>
      <c r="F41" s="4">
        <v>910.93</v>
      </c>
      <c r="G41" s="1" t="s">
        <v>242</v>
      </c>
      <c r="H41" s="1" t="s">
        <v>428</v>
      </c>
      <c r="I41" s="23" t="s">
        <v>299</v>
      </c>
      <c r="J41" s="25" t="str">
        <f>VLOOKUP(H41,Planilha1!B:C,2,0)</f>
        <v>132 a 134</v>
      </c>
    </row>
    <row r="42" spans="1:10" ht="15.75" hidden="1" customHeight="1" x14ac:dyDescent="0.15">
      <c r="A42" s="5" t="s">
        <v>328</v>
      </c>
      <c r="B42" s="4" t="s">
        <v>43</v>
      </c>
      <c r="C42" s="6">
        <v>46029</v>
      </c>
      <c r="D42" s="1" t="s">
        <v>43</v>
      </c>
      <c r="E42" s="1" t="s">
        <v>549</v>
      </c>
      <c r="F42" s="7">
        <v>4294.1000000000004</v>
      </c>
      <c r="G42" s="1" t="s">
        <v>242</v>
      </c>
      <c r="H42" s="1" t="s">
        <v>428</v>
      </c>
      <c r="I42" s="23" t="s">
        <v>299</v>
      </c>
      <c r="J42" s="25" t="str">
        <f>VLOOKUP(H42,Planilha1!B:C,2,0)</f>
        <v>132 a 134</v>
      </c>
    </row>
    <row r="43" spans="1:10" ht="15.75" hidden="1" customHeight="1" x14ac:dyDescent="0.15">
      <c r="A43" s="5" t="s">
        <v>328</v>
      </c>
      <c r="B43" s="4" t="s">
        <v>406</v>
      </c>
      <c r="C43" s="6">
        <v>46029</v>
      </c>
      <c r="D43" s="1" t="s">
        <v>406</v>
      </c>
      <c r="E43" s="1" t="s">
        <v>132</v>
      </c>
      <c r="F43" s="7">
        <v>25000</v>
      </c>
      <c r="G43" s="1" t="s">
        <v>242</v>
      </c>
      <c r="H43" s="1" t="s">
        <v>8</v>
      </c>
      <c r="I43" s="23" t="s">
        <v>364</v>
      </c>
      <c r="J43" s="25">
        <f>VLOOKUP(H43,Planilha1!B:C,2,0)</f>
        <v>0</v>
      </c>
    </row>
    <row r="44" spans="1:10" ht="15.75" hidden="1" customHeight="1" x14ac:dyDescent="0.15">
      <c r="A44" s="5" t="s">
        <v>328</v>
      </c>
      <c r="B44" s="4" t="s">
        <v>167</v>
      </c>
      <c r="C44" s="6">
        <v>46029</v>
      </c>
      <c r="D44" s="1" t="s">
        <v>167</v>
      </c>
      <c r="E44" s="1" t="s">
        <v>101</v>
      </c>
      <c r="F44" s="7">
        <v>34119.370000000003</v>
      </c>
      <c r="G44" s="1" t="s">
        <v>242</v>
      </c>
      <c r="H44" s="1" t="s">
        <v>8</v>
      </c>
      <c r="I44" s="23" t="s">
        <v>364</v>
      </c>
      <c r="J44" s="25">
        <f>VLOOKUP(H44,Planilha1!B:C,2,0)</f>
        <v>0</v>
      </c>
    </row>
    <row r="45" spans="1:10" ht="15.75" hidden="1" customHeight="1" x14ac:dyDescent="0.15">
      <c r="A45" s="5" t="s">
        <v>196</v>
      </c>
      <c r="B45" s="4" t="s">
        <v>96</v>
      </c>
      <c r="C45" s="6">
        <v>46029</v>
      </c>
      <c r="D45" s="1" t="s">
        <v>96</v>
      </c>
      <c r="E45" s="1" t="s">
        <v>87</v>
      </c>
      <c r="F45" s="4">
        <v>-30.96</v>
      </c>
      <c r="G45" s="1" t="s">
        <v>466</v>
      </c>
      <c r="H45" s="1" t="s">
        <v>389</v>
      </c>
      <c r="I45" s="23" t="s">
        <v>511</v>
      </c>
      <c r="J45" s="25">
        <f>VLOOKUP(H45,Planilha1!B:C,2,0)</f>
        <v>238</v>
      </c>
    </row>
    <row r="46" spans="1:10" ht="15.75" hidden="1" customHeight="1" x14ac:dyDescent="0.15">
      <c r="A46" s="5" t="s">
        <v>196</v>
      </c>
      <c r="B46" s="4" t="s">
        <v>263</v>
      </c>
      <c r="C46" s="6">
        <v>46029</v>
      </c>
      <c r="D46" s="1" t="s">
        <v>263</v>
      </c>
      <c r="E46" s="1" t="s">
        <v>16</v>
      </c>
      <c r="F46" s="4">
        <v>-27.4</v>
      </c>
      <c r="G46" s="1" t="s">
        <v>466</v>
      </c>
      <c r="H46" s="1" t="s">
        <v>381</v>
      </c>
      <c r="I46" s="23" t="s">
        <v>66</v>
      </c>
      <c r="J46" s="25">
        <f>VLOOKUP(H46,Planilha1!B:C,2,0)</f>
        <v>217</v>
      </c>
    </row>
    <row r="47" spans="1:10" ht="15.75" hidden="1" customHeight="1" x14ac:dyDescent="0.15">
      <c r="A47" s="5" t="s">
        <v>196</v>
      </c>
      <c r="B47" s="4" t="s">
        <v>27</v>
      </c>
      <c r="C47" s="6">
        <v>46029</v>
      </c>
      <c r="D47" s="1" t="s">
        <v>27</v>
      </c>
      <c r="E47" s="1" t="s">
        <v>118</v>
      </c>
      <c r="F47" s="4">
        <v>-134.85</v>
      </c>
      <c r="G47" s="1" t="s">
        <v>466</v>
      </c>
      <c r="H47" s="1" t="s">
        <v>389</v>
      </c>
      <c r="I47" s="23" t="s">
        <v>66</v>
      </c>
      <c r="J47" s="25">
        <f>VLOOKUP(H47,Planilha1!B:C,2,0)</f>
        <v>238</v>
      </c>
    </row>
    <row r="48" spans="1:10" ht="15.75" hidden="1" customHeight="1" x14ac:dyDescent="0.15">
      <c r="A48" s="5" t="s">
        <v>196</v>
      </c>
      <c r="B48" s="4" t="s">
        <v>204</v>
      </c>
      <c r="C48" s="6">
        <v>46029</v>
      </c>
      <c r="D48" s="1" t="s">
        <v>204</v>
      </c>
      <c r="E48" s="1" t="s">
        <v>9</v>
      </c>
      <c r="F48" s="7">
        <v>-2891.32</v>
      </c>
      <c r="G48" s="1" t="s">
        <v>466</v>
      </c>
      <c r="H48" s="1" t="s">
        <v>194</v>
      </c>
      <c r="I48" s="23" t="s">
        <v>219</v>
      </c>
      <c r="J48" s="25">
        <f>VLOOKUP(H48,Planilha1!B:C,2,0)</f>
        <v>80</v>
      </c>
    </row>
    <row r="49" spans="1:10" ht="15.75" hidden="1" customHeight="1" x14ac:dyDescent="0.15">
      <c r="A49" s="5" t="s">
        <v>196</v>
      </c>
      <c r="B49" s="4" t="s">
        <v>252</v>
      </c>
      <c r="C49" s="6">
        <v>46029</v>
      </c>
      <c r="D49" s="1" t="s">
        <v>252</v>
      </c>
      <c r="E49" s="1" t="s">
        <v>524</v>
      </c>
      <c r="F49" s="4">
        <v>-219.5</v>
      </c>
      <c r="G49" s="1" t="s">
        <v>466</v>
      </c>
      <c r="H49" s="1" t="s">
        <v>497</v>
      </c>
      <c r="I49" s="23" t="s">
        <v>42</v>
      </c>
      <c r="J49" s="25">
        <f>VLOOKUP(H49,Planilha1!B:C,2,0)</f>
        <v>215</v>
      </c>
    </row>
    <row r="50" spans="1:10" ht="15.75" hidden="1" customHeight="1" x14ac:dyDescent="0.15">
      <c r="A50" s="5" t="s">
        <v>196</v>
      </c>
      <c r="B50" s="4" t="s">
        <v>35</v>
      </c>
      <c r="C50" s="6">
        <v>46029</v>
      </c>
      <c r="D50" s="1" t="s">
        <v>35</v>
      </c>
      <c r="E50" s="1" t="s">
        <v>68</v>
      </c>
      <c r="F50" s="4">
        <v>-4.28</v>
      </c>
      <c r="G50" s="1" t="s">
        <v>242</v>
      </c>
      <c r="H50" s="1" t="s">
        <v>147</v>
      </c>
      <c r="I50" s="23" t="s">
        <v>511</v>
      </c>
      <c r="J50" s="25">
        <f>VLOOKUP(H50,Planilha1!B:C,2,0)</f>
        <v>252</v>
      </c>
    </row>
    <row r="51" spans="1:10" ht="15.75" hidden="1" customHeight="1" x14ac:dyDescent="0.15">
      <c r="A51" s="5" t="s">
        <v>196</v>
      </c>
      <c r="B51" s="4" t="s">
        <v>474</v>
      </c>
      <c r="C51" s="6">
        <v>46029</v>
      </c>
      <c r="D51" s="1" t="s">
        <v>474</v>
      </c>
      <c r="E51" s="1" t="s">
        <v>277</v>
      </c>
      <c r="F51" s="4">
        <v>-1.84</v>
      </c>
      <c r="G51" s="1" t="s">
        <v>242</v>
      </c>
      <c r="H51" s="1" t="s">
        <v>147</v>
      </c>
      <c r="I51" s="23" t="s">
        <v>511</v>
      </c>
      <c r="J51" s="25">
        <f>VLOOKUP(H51,Planilha1!B:C,2,0)</f>
        <v>252</v>
      </c>
    </row>
    <row r="52" spans="1:10" ht="15.75" hidden="1" customHeight="1" x14ac:dyDescent="0.15">
      <c r="A52" s="5" t="s">
        <v>196</v>
      </c>
      <c r="B52" s="4" t="s">
        <v>392</v>
      </c>
      <c r="C52" s="6">
        <v>46029</v>
      </c>
      <c r="D52" s="1" t="s">
        <v>392</v>
      </c>
      <c r="E52" s="1" t="s">
        <v>384</v>
      </c>
      <c r="F52" s="7">
        <v>-4355.3999999999996</v>
      </c>
      <c r="G52" s="1" t="s">
        <v>466</v>
      </c>
      <c r="H52" s="1" t="s">
        <v>251</v>
      </c>
      <c r="I52" s="23" t="s">
        <v>103</v>
      </c>
      <c r="J52" s="25">
        <f>VLOOKUP(H52,Planilha1!B:C,2,0)</f>
        <v>224</v>
      </c>
    </row>
    <row r="53" spans="1:10" ht="15.75" hidden="1" customHeight="1" x14ac:dyDescent="0.15">
      <c r="A53" s="5" t="s">
        <v>196</v>
      </c>
      <c r="B53" s="4" t="s">
        <v>170</v>
      </c>
      <c r="C53" s="6">
        <v>46030</v>
      </c>
      <c r="D53" s="1" t="s">
        <v>170</v>
      </c>
      <c r="E53" s="1" t="s">
        <v>141</v>
      </c>
      <c r="F53" s="4">
        <v>-2.89</v>
      </c>
      <c r="G53" s="1" t="s">
        <v>242</v>
      </c>
      <c r="H53" s="1" t="s">
        <v>147</v>
      </c>
      <c r="I53" s="23" t="s">
        <v>511</v>
      </c>
      <c r="J53" s="25">
        <f>VLOOKUP(H53,Planilha1!B:C,2,0)</f>
        <v>252</v>
      </c>
    </row>
    <row r="54" spans="1:10" ht="15.75" hidden="1" customHeight="1" x14ac:dyDescent="0.15">
      <c r="A54" s="5" t="s">
        <v>196</v>
      </c>
      <c r="B54" s="4" t="s">
        <v>343</v>
      </c>
      <c r="C54" s="6">
        <v>46030</v>
      </c>
      <c r="D54" s="1" t="s">
        <v>343</v>
      </c>
      <c r="E54" s="1" t="s">
        <v>195</v>
      </c>
      <c r="F54" s="4">
        <v>-1.64</v>
      </c>
      <c r="G54" s="1" t="s">
        <v>242</v>
      </c>
      <c r="H54" s="1" t="s">
        <v>147</v>
      </c>
      <c r="I54" s="23" t="s">
        <v>511</v>
      </c>
      <c r="J54" s="25">
        <f>VLOOKUP(H54,Planilha1!B:C,2,0)</f>
        <v>252</v>
      </c>
    </row>
    <row r="55" spans="1:10" ht="15.75" hidden="1" customHeight="1" x14ac:dyDescent="0.15">
      <c r="A55" s="5" t="s">
        <v>196</v>
      </c>
      <c r="B55" s="4" t="s">
        <v>265</v>
      </c>
      <c r="C55" s="6">
        <v>46030</v>
      </c>
      <c r="D55" s="1" t="s">
        <v>265</v>
      </c>
      <c r="E55" s="1" t="s">
        <v>68</v>
      </c>
      <c r="F55" s="4">
        <v>-12.84</v>
      </c>
      <c r="G55" s="1" t="s">
        <v>242</v>
      </c>
      <c r="H55" s="1" t="s">
        <v>147</v>
      </c>
      <c r="I55" s="23" t="s">
        <v>511</v>
      </c>
      <c r="J55" s="25">
        <f>VLOOKUP(H55,Planilha1!B:C,2,0)</f>
        <v>252</v>
      </c>
    </row>
    <row r="56" spans="1:10" ht="15.75" hidden="1" customHeight="1" x14ac:dyDescent="0.15">
      <c r="A56" s="5" t="s">
        <v>196</v>
      </c>
      <c r="B56" s="4" t="s">
        <v>453</v>
      </c>
      <c r="C56" s="6">
        <v>46030</v>
      </c>
      <c r="D56" s="1" t="s">
        <v>453</v>
      </c>
      <c r="E56" s="1" t="s">
        <v>58</v>
      </c>
      <c r="F56" s="4">
        <v>-260.10000000000002</v>
      </c>
      <c r="G56" s="1" t="s">
        <v>466</v>
      </c>
      <c r="H56" s="1" t="s">
        <v>146</v>
      </c>
      <c r="I56" s="23" t="s">
        <v>103</v>
      </c>
      <c r="J56" s="25">
        <f>VLOOKUP(H56,Planilha1!B:C,2,0)</f>
        <v>164</v>
      </c>
    </row>
    <row r="57" spans="1:10" ht="15.75" hidden="1" customHeight="1" x14ac:dyDescent="0.15">
      <c r="A57" s="5" t="s">
        <v>196</v>
      </c>
      <c r="B57" s="4" t="s">
        <v>106</v>
      </c>
      <c r="C57" s="6">
        <v>46030</v>
      </c>
      <c r="D57" s="1" t="s">
        <v>106</v>
      </c>
      <c r="E57" s="1" t="s">
        <v>9</v>
      </c>
      <c r="F57" s="7">
        <v>-7347.38</v>
      </c>
      <c r="G57" s="1" t="s">
        <v>466</v>
      </c>
      <c r="H57" s="1" t="s">
        <v>194</v>
      </c>
      <c r="I57" s="23" t="s">
        <v>219</v>
      </c>
      <c r="J57" s="25">
        <f>VLOOKUP(H57,Planilha1!B:C,2,0)</f>
        <v>80</v>
      </c>
    </row>
    <row r="58" spans="1:10" ht="15.75" hidden="1" customHeight="1" x14ac:dyDescent="0.15">
      <c r="A58" s="5" t="s">
        <v>196</v>
      </c>
      <c r="B58" s="4" t="s">
        <v>313</v>
      </c>
      <c r="C58" s="6">
        <v>46030</v>
      </c>
      <c r="D58" s="1" t="s">
        <v>313</v>
      </c>
      <c r="E58" s="1" t="s">
        <v>114</v>
      </c>
      <c r="F58" s="7">
        <v>-1899.27</v>
      </c>
      <c r="G58" s="1" t="s">
        <v>466</v>
      </c>
      <c r="H58" s="1" t="s">
        <v>472</v>
      </c>
      <c r="I58" s="23" t="s">
        <v>326</v>
      </c>
      <c r="J58" s="25">
        <f>VLOOKUP(H58,Planilha1!B:C,2,0)</f>
        <v>80</v>
      </c>
    </row>
    <row r="59" spans="1:10" ht="15.75" hidden="1" customHeight="1" x14ac:dyDescent="0.15">
      <c r="A59" s="5" t="s">
        <v>196</v>
      </c>
      <c r="B59" s="4" t="s">
        <v>350</v>
      </c>
      <c r="C59" s="6">
        <v>46030</v>
      </c>
      <c r="D59" s="1" t="s">
        <v>350</v>
      </c>
      <c r="E59" s="1" t="s">
        <v>447</v>
      </c>
      <c r="F59" s="4">
        <v>-567.54999999999995</v>
      </c>
      <c r="G59" s="1" t="s">
        <v>466</v>
      </c>
      <c r="H59" s="1" t="s">
        <v>404</v>
      </c>
      <c r="I59" s="23" t="s">
        <v>66</v>
      </c>
      <c r="J59" s="25">
        <f>VLOOKUP(H59,Planilha1!B:C,2,0)</f>
        <v>185</v>
      </c>
    </row>
    <row r="60" spans="1:10" ht="15.75" hidden="1" customHeight="1" x14ac:dyDescent="0.15">
      <c r="A60" s="5" t="s">
        <v>196</v>
      </c>
      <c r="B60" s="4" t="s">
        <v>504</v>
      </c>
      <c r="C60" s="6">
        <v>46030</v>
      </c>
      <c r="D60" s="1" t="s">
        <v>504</v>
      </c>
      <c r="E60" s="1" t="s">
        <v>349</v>
      </c>
      <c r="F60" s="7">
        <v>-1416</v>
      </c>
      <c r="G60" s="1" t="s">
        <v>466</v>
      </c>
      <c r="H60" s="1" t="s">
        <v>357</v>
      </c>
      <c r="I60" s="23" t="s">
        <v>66</v>
      </c>
      <c r="J60" s="25">
        <f>VLOOKUP(H60,Planilha1!B:C,2,0)</f>
        <v>752</v>
      </c>
    </row>
    <row r="61" spans="1:10" ht="15.75" hidden="1" customHeight="1" x14ac:dyDescent="0.15">
      <c r="A61" s="5" t="s">
        <v>196</v>
      </c>
      <c r="B61" s="4" t="s">
        <v>460</v>
      </c>
      <c r="C61" s="6">
        <v>46030</v>
      </c>
      <c r="D61" s="1" t="s">
        <v>460</v>
      </c>
      <c r="E61" s="1" t="s">
        <v>533</v>
      </c>
      <c r="F61" s="7">
        <v>-1511.94</v>
      </c>
      <c r="G61" s="1" t="s">
        <v>466</v>
      </c>
      <c r="H61" s="1" t="s">
        <v>531</v>
      </c>
      <c r="I61" s="23" t="s">
        <v>42</v>
      </c>
      <c r="J61" s="25">
        <f>VLOOKUP(H61,Planilha1!B:C,2,0)</f>
        <v>187</v>
      </c>
    </row>
    <row r="62" spans="1:10" ht="15.75" hidden="1" customHeight="1" x14ac:dyDescent="0.15">
      <c r="A62" s="5" t="s">
        <v>196</v>
      </c>
      <c r="B62" s="4" t="s">
        <v>547</v>
      </c>
      <c r="C62" s="6">
        <v>46030</v>
      </c>
      <c r="D62" s="1" t="s">
        <v>547</v>
      </c>
      <c r="E62" s="1" t="s">
        <v>371</v>
      </c>
      <c r="F62" s="7">
        <v>-3056.69</v>
      </c>
      <c r="G62" s="1" t="s">
        <v>466</v>
      </c>
      <c r="H62" s="1" t="s">
        <v>70</v>
      </c>
      <c r="I62" s="23" t="s">
        <v>219</v>
      </c>
      <c r="J62" s="25">
        <f>VLOOKUP(H62,Planilha1!B:C,2,0)</f>
        <v>206</v>
      </c>
    </row>
    <row r="63" spans="1:10" ht="15.75" hidden="1" customHeight="1" x14ac:dyDescent="0.15">
      <c r="A63" s="5" t="s">
        <v>328</v>
      </c>
      <c r="B63" s="4" t="s">
        <v>325</v>
      </c>
      <c r="C63" s="6">
        <v>46030</v>
      </c>
      <c r="D63" s="1" t="s">
        <v>325</v>
      </c>
      <c r="E63" s="1" t="s">
        <v>142</v>
      </c>
      <c r="F63" s="7">
        <v>3607.43</v>
      </c>
      <c r="G63" s="1" t="s">
        <v>242</v>
      </c>
      <c r="H63" s="1" t="s">
        <v>428</v>
      </c>
      <c r="I63" s="23" t="s">
        <v>299</v>
      </c>
      <c r="J63" s="25" t="str">
        <f>VLOOKUP(H63,Planilha1!B:C,2,0)</f>
        <v>132 a 134</v>
      </c>
    </row>
    <row r="64" spans="1:10" ht="15.75" hidden="1" customHeight="1" x14ac:dyDescent="0.15">
      <c r="A64" s="5" t="s">
        <v>328</v>
      </c>
      <c r="B64" s="4" t="s">
        <v>279</v>
      </c>
      <c r="C64" s="6">
        <v>46030</v>
      </c>
      <c r="D64" s="1" t="s">
        <v>279</v>
      </c>
      <c r="E64" s="1" t="s">
        <v>213</v>
      </c>
      <c r="F64" s="7">
        <v>3884.49</v>
      </c>
      <c r="G64" s="1" t="s">
        <v>242</v>
      </c>
      <c r="H64" s="1" t="s">
        <v>428</v>
      </c>
      <c r="I64" s="23" t="s">
        <v>299</v>
      </c>
      <c r="J64" s="25" t="str">
        <f>VLOOKUP(H64,Planilha1!B:C,2,0)</f>
        <v>132 a 134</v>
      </c>
    </row>
    <row r="65" spans="1:10" ht="15.75" hidden="1" customHeight="1" x14ac:dyDescent="0.15">
      <c r="A65" s="5" t="s">
        <v>328</v>
      </c>
      <c r="B65" s="4" t="s">
        <v>280</v>
      </c>
      <c r="C65" s="6">
        <v>46030</v>
      </c>
      <c r="D65" s="1" t="s">
        <v>280</v>
      </c>
      <c r="E65" s="1" t="s">
        <v>213</v>
      </c>
      <c r="F65" s="4">
        <v>237.73</v>
      </c>
      <c r="G65" s="1" t="s">
        <v>242</v>
      </c>
      <c r="H65" s="1" t="s">
        <v>428</v>
      </c>
      <c r="I65" s="23" t="s">
        <v>299</v>
      </c>
      <c r="J65" s="25" t="str">
        <f>VLOOKUP(H65,Planilha1!B:C,2,0)</f>
        <v>132 a 134</v>
      </c>
    </row>
    <row r="66" spans="1:10" ht="15.75" hidden="1" customHeight="1" x14ac:dyDescent="0.15">
      <c r="A66" s="5" t="s">
        <v>328</v>
      </c>
      <c r="B66" s="4" t="s">
        <v>181</v>
      </c>
      <c r="C66" s="6">
        <v>46030</v>
      </c>
      <c r="D66" s="1" t="s">
        <v>181</v>
      </c>
      <c r="E66" s="1" t="s">
        <v>213</v>
      </c>
      <c r="F66" s="4">
        <v>84.91</v>
      </c>
      <c r="G66" s="1" t="s">
        <v>242</v>
      </c>
      <c r="H66" s="1" t="s">
        <v>428</v>
      </c>
      <c r="I66" s="23" t="s">
        <v>299</v>
      </c>
      <c r="J66" s="25" t="str">
        <f>VLOOKUP(H66,Planilha1!B:C,2,0)</f>
        <v>132 a 134</v>
      </c>
    </row>
    <row r="67" spans="1:10" ht="15.75" hidden="1" customHeight="1" x14ac:dyDescent="0.15">
      <c r="A67" s="5" t="s">
        <v>328</v>
      </c>
      <c r="B67" s="4" t="s">
        <v>294</v>
      </c>
      <c r="C67" s="6">
        <v>46030</v>
      </c>
      <c r="D67" s="1" t="s">
        <v>294</v>
      </c>
      <c r="E67" s="1" t="s">
        <v>429</v>
      </c>
      <c r="F67" s="4">
        <v>0.71</v>
      </c>
      <c r="G67" s="1" t="s">
        <v>242</v>
      </c>
      <c r="H67" s="1" t="s">
        <v>197</v>
      </c>
      <c r="I67" s="23" t="s">
        <v>511</v>
      </c>
      <c r="J67" s="25">
        <f>VLOOKUP(H67,Planilha1!B:C,2,0)</f>
        <v>135</v>
      </c>
    </row>
    <row r="68" spans="1:10" ht="15.75" hidden="1" customHeight="1" x14ac:dyDescent="0.15">
      <c r="A68" s="5" t="s">
        <v>328</v>
      </c>
      <c r="B68" s="4" t="s">
        <v>159</v>
      </c>
      <c r="C68" s="6">
        <v>46031</v>
      </c>
      <c r="D68" s="1" t="s">
        <v>159</v>
      </c>
      <c r="E68" s="1" t="s">
        <v>429</v>
      </c>
      <c r="F68" s="4">
        <v>5.07</v>
      </c>
      <c r="G68" s="1" t="s">
        <v>242</v>
      </c>
      <c r="H68" s="1" t="s">
        <v>197</v>
      </c>
      <c r="I68" s="23" t="s">
        <v>511</v>
      </c>
      <c r="J68" s="25">
        <f>VLOOKUP(H68,Planilha1!B:C,2,0)</f>
        <v>135</v>
      </c>
    </row>
    <row r="69" spans="1:10" ht="15.75" hidden="1" customHeight="1" x14ac:dyDescent="0.15">
      <c r="A69" s="5" t="s">
        <v>328</v>
      </c>
      <c r="B69" s="4" t="s">
        <v>464</v>
      </c>
      <c r="C69" s="6">
        <v>46031</v>
      </c>
      <c r="D69" s="1" t="s">
        <v>464</v>
      </c>
      <c r="E69" s="1" t="s">
        <v>247</v>
      </c>
      <c r="F69" s="7">
        <v>7845.6</v>
      </c>
      <c r="G69" s="1" t="s">
        <v>242</v>
      </c>
      <c r="H69" s="1" t="s">
        <v>428</v>
      </c>
      <c r="I69" s="23" t="s">
        <v>299</v>
      </c>
      <c r="J69" s="25" t="str">
        <f>VLOOKUP(H69,Planilha1!B:C,2,0)</f>
        <v>132 a 134</v>
      </c>
    </row>
    <row r="70" spans="1:10" ht="15.75" hidden="1" customHeight="1" x14ac:dyDescent="0.15">
      <c r="A70" s="5" t="s">
        <v>196</v>
      </c>
      <c r="B70" s="4" t="s">
        <v>286</v>
      </c>
      <c r="C70" s="6">
        <v>46031</v>
      </c>
      <c r="D70" s="1" t="s">
        <v>286</v>
      </c>
      <c r="E70" s="1" t="s">
        <v>78</v>
      </c>
      <c r="F70" s="4">
        <v>-11.56</v>
      </c>
      <c r="G70" s="1" t="s">
        <v>242</v>
      </c>
      <c r="H70" s="1" t="s">
        <v>147</v>
      </c>
      <c r="I70" s="23" t="s">
        <v>511</v>
      </c>
      <c r="J70" s="25">
        <f>VLOOKUP(H70,Planilha1!B:C,2,0)</f>
        <v>252</v>
      </c>
    </row>
    <row r="71" spans="1:10" ht="15.75" hidden="1" customHeight="1" x14ac:dyDescent="0.15">
      <c r="A71" s="5" t="s">
        <v>196</v>
      </c>
      <c r="B71" s="4" t="s">
        <v>18</v>
      </c>
      <c r="C71" s="6">
        <v>46031</v>
      </c>
      <c r="D71" s="1" t="s">
        <v>18</v>
      </c>
      <c r="E71" s="1" t="s">
        <v>533</v>
      </c>
      <c r="F71" s="7">
        <v>-55885.19</v>
      </c>
      <c r="G71" s="1" t="s">
        <v>466</v>
      </c>
      <c r="H71" s="1" t="s">
        <v>480</v>
      </c>
      <c r="I71" s="23" t="s">
        <v>42</v>
      </c>
      <c r="J71" s="25">
        <f>VLOOKUP(H71,Planilha1!B:C,2,0)</f>
        <v>165</v>
      </c>
    </row>
    <row r="72" spans="1:10" ht="15.75" hidden="1" customHeight="1" x14ac:dyDescent="0.15">
      <c r="A72" s="5" t="s">
        <v>196</v>
      </c>
      <c r="B72" s="4" t="s">
        <v>120</v>
      </c>
      <c r="C72" s="6">
        <v>46031</v>
      </c>
      <c r="D72" s="1" t="s">
        <v>120</v>
      </c>
      <c r="E72" s="1" t="s">
        <v>312</v>
      </c>
      <c r="F72" s="4">
        <v>-829.07</v>
      </c>
      <c r="G72" s="1" t="s">
        <v>466</v>
      </c>
      <c r="H72" s="1" t="s">
        <v>70</v>
      </c>
      <c r="I72" s="23" t="s">
        <v>219</v>
      </c>
      <c r="J72" s="25">
        <f>VLOOKUP(H72,Planilha1!B:C,2,0)</f>
        <v>206</v>
      </c>
    </row>
    <row r="73" spans="1:10" ht="15.75" hidden="1" customHeight="1" x14ac:dyDescent="0.15">
      <c r="A73" s="5" t="s">
        <v>196</v>
      </c>
      <c r="B73" s="4" t="s">
        <v>171</v>
      </c>
      <c r="C73" s="6">
        <v>46031</v>
      </c>
      <c r="D73" s="1" t="s">
        <v>171</v>
      </c>
      <c r="E73" s="1" t="s">
        <v>114</v>
      </c>
      <c r="F73" s="7">
        <v>-3502.2</v>
      </c>
      <c r="G73" s="1" t="s">
        <v>466</v>
      </c>
      <c r="H73" s="1" t="s">
        <v>472</v>
      </c>
      <c r="I73" s="23" t="s">
        <v>326</v>
      </c>
      <c r="J73" s="25">
        <f>VLOOKUP(H73,Planilha1!B:C,2,0)</f>
        <v>80</v>
      </c>
    </row>
    <row r="74" spans="1:10" ht="15.75" hidden="1" customHeight="1" x14ac:dyDescent="0.15">
      <c r="A74" s="5" t="s">
        <v>196</v>
      </c>
      <c r="B74" s="4" t="s">
        <v>135</v>
      </c>
      <c r="C74" s="6">
        <v>46031</v>
      </c>
      <c r="D74" s="1" t="s">
        <v>135</v>
      </c>
      <c r="E74" s="1" t="s">
        <v>127</v>
      </c>
      <c r="F74" s="4">
        <v>-17.22</v>
      </c>
      <c r="G74" s="1" t="s">
        <v>466</v>
      </c>
      <c r="H74" s="1" t="s">
        <v>380</v>
      </c>
      <c r="I74" s="23" t="s">
        <v>42</v>
      </c>
      <c r="J74" s="25">
        <f>VLOOKUP(H74,Planilha1!B:C,2,0)</f>
        <v>198</v>
      </c>
    </row>
    <row r="75" spans="1:10" ht="15.75" hidden="1" customHeight="1" x14ac:dyDescent="0.15">
      <c r="A75" s="5" t="s">
        <v>196</v>
      </c>
      <c r="B75" s="4" t="s">
        <v>189</v>
      </c>
      <c r="C75" s="6">
        <v>46034</v>
      </c>
      <c r="D75" s="1" t="s">
        <v>189</v>
      </c>
      <c r="E75" s="1" t="s">
        <v>22</v>
      </c>
      <c r="F75" s="4">
        <v>-112</v>
      </c>
      <c r="G75" s="1" t="s">
        <v>242</v>
      </c>
      <c r="H75" s="1" t="s">
        <v>147</v>
      </c>
      <c r="I75" s="23" t="s">
        <v>511</v>
      </c>
      <c r="J75" s="25">
        <f>VLOOKUP(H75,Planilha1!B:C,2,0)</f>
        <v>252</v>
      </c>
    </row>
    <row r="76" spans="1:10" ht="15.75" hidden="1" customHeight="1" x14ac:dyDescent="0.15">
      <c r="A76" s="5" t="s">
        <v>196</v>
      </c>
      <c r="B76" s="4" t="s">
        <v>405</v>
      </c>
      <c r="C76" s="6">
        <v>46034</v>
      </c>
      <c r="D76" s="1" t="s">
        <v>405</v>
      </c>
      <c r="E76" s="1" t="s">
        <v>78</v>
      </c>
      <c r="F76" s="4">
        <v>-5.78</v>
      </c>
      <c r="G76" s="1" t="s">
        <v>242</v>
      </c>
      <c r="H76" s="1" t="s">
        <v>147</v>
      </c>
      <c r="I76" s="23" t="s">
        <v>511</v>
      </c>
      <c r="J76" s="25">
        <f>VLOOKUP(H76,Planilha1!B:C,2,0)</f>
        <v>252</v>
      </c>
    </row>
    <row r="77" spans="1:10" ht="15.75" hidden="1" customHeight="1" x14ac:dyDescent="0.15">
      <c r="A77" s="5" t="s">
        <v>196</v>
      </c>
      <c r="B77" s="4" t="s">
        <v>521</v>
      </c>
      <c r="C77" s="6">
        <v>46034</v>
      </c>
      <c r="D77" s="1" t="s">
        <v>521</v>
      </c>
      <c r="E77" s="1" t="s">
        <v>61</v>
      </c>
      <c r="F77" s="7">
        <v>-24639.9</v>
      </c>
      <c r="G77" s="1" t="s">
        <v>242</v>
      </c>
      <c r="H77" s="1" t="s">
        <v>8</v>
      </c>
      <c r="I77" s="23" t="s">
        <v>364</v>
      </c>
      <c r="J77" s="25">
        <f>VLOOKUP(H77,Planilha1!B:C,2,0)</f>
        <v>0</v>
      </c>
    </row>
    <row r="78" spans="1:10" ht="15.75" hidden="1" customHeight="1" x14ac:dyDescent="0.15">
      <c r="A78" s="5" t="s">
        <v>196</v>
      </c>
      <c r="B78" s="4" t="s">
        <v>486</v>
      </c>
      <c r="C78" s="6">
        <v>46034</v>
      </c>
      <c r="D78" s="1" t="s">
        <v>486</v>
      </c>
      <c r="E78" s="1" t="s">
        <v>61</v>
      </c>
      <c r="F78" s="7">
        <v>-17209.73</v>
      </c>
      <c r="G78" s="1" t="s">
        <v>242</v>
      </c>
      <c r="H78" s="1" t="s">
        <v>8</v>
      </c>
      <c r="I78" s="23" t="s">
        <v>364</v>
      </c>
      <c r="J78" s="25">
        <f>VLOOKUP(H78,Planilha1!B:C,2,0)</f>
        <v>0</v>
      </c>
    </row>
    <row r="79" spans="1:10" ht="15.75" hidden="1" customHeight="1" x14ac:dyDescent="0.15">
      <c r="A79" s="5" t="s">
        <v>328</v>
      </c>
      <c r="B79" s="4" t="s">
        <v>200</v>
      </c>
      <c r="C79" s="6">
        <v>46034</v>
      </c>
      <c r="D79" s="1" t="s">
        <v>200</v>
      </c>
      <c r="E79" s="1" t="s">
        <v>429</v>
      </c>
      <c r="F79" s="4">
        <v>7.51</v>
      </c>
      <c r="G79" s="1" t="s">
        <v>242</v>
      </c>
      <c r="H79" s="1" t="s">
        <v>197</v>
      </c>
      <c r="I79" s="23" t="s">
        <v>511</v>
      </c>
      <c r="J79" s="25">
        <f>VLOOKUP(H79,Planilha1!B:C,2,0)</f>
        <v>135</v>
      </c>
    </row>
    <row r="80" spans="1:10" ht="15.75" hidden="1" customHeight="1" x14ac:dyDescent="0.15">
      <c r="A80" s="5" t="s">
        <v>196</v>
      </c>
      <c r="B80" s="4" t="s">
        <v>123</v>
      </c>
      <c r="C80" s="6">
        <v>46034</v>
      </c>
      <c r="D80" s="1" t="s">
        <v>123</v>
      </c>
      <c r="E80" s="1" t="s">
        <v>351</v>
      </c>
      <c r="F80" s="7">
        <v>-4140</v>
      </c>
      <c r="G80" s="1" t="s">
        <v>466</v>
      </c>
      <c r="H80" s="1" t="s">
        <v>344</v>
      </c>
      <c r="I80" s="23" t="s">
        <v>110</v>
      </c>
      <c r="J80" s="25">
        <f>VLOOKUP(H80,Planilha1!B:C,2,0)</f>
        <v>247</v>
      </c>
    </row>
    <row r="81" spans="1:10" ht="15.75" hidden="1" customHeight="1" x14ac:dyDescent="0.15">
      <c r="A81" s="5" t="s">
        <v>196</v>
      </c>
      <c r="B81" s="4" t="s">
        <v>163</v>
      </c>
      <c r="C81" s="6">
        <v>46034</v>
      </c>
      <c r="D81" s="1" t="s">
        <v>163</v>
      </c>
      <c r="E81" s="1" t="s">
        <v>537</v>
      </c>
      <c r="F81" s="4">
        <v>-309</v>
      </c>
      <c r="G81" s="1" t="s">
        <v>466</v>
      </c>
      <c r="H81" s="1" t="s">
        <v>99</v>
      </c>
      <c r="I81" s="23" t="s">
        <v>42</v>
      </c>
      <c r="J81" s="25">
        <f>VLOOKUP(H81,Planilha1!B:C,2,0)</f>
        <v>244</v>
      </c>
    </row>
    <row r="82" spans="1:10" ht="15.75" hidden="1" customHeight="1" x14ac:dyDescent="0.15">
      <c r="A82" s="5" t="s">
        <v>196</v>
      </c>
      <c r="B82" s="4" t="s">
        <v>420</v>
      </c>
      <c r="C82" s="6">
        <v>46034</v>
      </c>
      <c r="D82" s="1" t="s">
        <v>420</v>
      </c>
      <c r="E82" s="1" t="s">
        <v>114</v>
      </c>
      <c r="F82" s="7">
        <v>-4579.8</v>
      </c>
      <c r="G82" s="1" t="s">
        <v>466</v>
      </c>
      <c r="H82" s="1" t="s">
        <v>472</v>
      </c>
      <c r="I82" s="23" t="s">
        <v>326</v>
      </c>
      <c r="J82" s="25">
        <f>VLOOKUP(H82,Planilha1!B:C,2,0)</f>
        <v>80</v>
      </c>
    </row>
    <row r="83" spans="1:10" ht="15.75" hidden="1" customHeight="1" x14ac:dyDescent="0.15">
      <c r="A83" s="5" t="s">
        <v>196</v>
      </c>
      <c r="B83" s="4" t="s">
        <v>459</v>
      </c>
      <c r="C83" s="6">
        <v>46034</v>
      </c>
      <c r="D83" s="1" t="s">
        <v>459</v>
      </c>
      <c r="E83" s="1" t="s">
        <v>442</v>
      </c>
      <c r="F83" s="7">
        <v>-1430</v>
      </c>
      <c r="G83" s="1" t="s">
        <v>466</v>
      </c>
      <c r="H83" s="1" t="s">
        <v>395</v>
      </c>
      <c r="I83" s="23" t="s">
        <v>42</v>
      </c>
      <c r="J83" s="25">
        <f>VLOOKUP(H83,Planilha1!B:C,2,0)</f>
        <v>76</v>
      </c>
    </row>
    <row r="84" spans="1:10" ht="15.75" hidden="1" customHeight="1" x14ac:dyDescent="0.15">
      <c r="A84" s="5" t="s">
        <v>196</v>
      </c>
      <c r="B84" s="4" t="s">
        <v>65</v>
      </c>
      <c r="C84" s="6">
        <v>46034</v>
      </c>
      <c r="D84" s="1" t="s">
        <v>65</v>
      </c>
      <c r="E84" s="1" t="s">
        <v>114</v>
      </c>
      <c r="F84" s="7">
        <v>-3652.25</v>
      </c>
      <c r="G84" s="1" t="s">
        <v>466</v>
      </c>
      <c r="H84" s="1" t="s">
        <v>472</v>
      </c>
      <c r="I84" s="23" t="s">
        <v>326</v>
      </c>
      <c r="J84" s="25">
        <f>VLOOKUP(H84,Planilha1!B:C,2,0)</f>
        <v>80</v>
      </c>
    </row>
    <row r="85" spans="1:10" ht="15.75" hidden="1" customHeight="1" x14ac:dyDescent="0.15">
      <c r="A85" s="5" t="s">
        <v>196</v>
      </c>
      <c r="B85" s="4" t="s">
        <v>419</v>
      </c>
      <c r="C85" s="6">
        <v>46034</v>
      </c>
      <c r="D85" s="1" t="s">
        <v>419</v>
      </c>
      <c r="E85" s="1" t="s">
        <v>114</v>
      </c>
      <c r="F85" s="7">
        <v>-6187.42</v>
      </c>
      <c r="G85" s="1" t="s">
        <v>466</v>
      </c>
      <c r="H85" s="1" t="s">
        <v>194</v>
      </c>
      <c r="I85" s="23" t="s">
        <v>219</v>
      </c>
      <c r="J85" s="25">
        <f>VLOOKUP(H85,Planilha1!B:C,2,0)</f>
        <v>80</v>
      </c>
    </row>
    <row r="86" spans="1:10" ht="15.75" hidden="1" customHeight="1" x14ac:dyDescent="0.15">
      <c r="A86" s="5" t="s">
        <v>196</v>
      </c>
      <c r="B86" s="4" t="s">
        <v>32</v>
      </c>
      <c r="C86" s="6">
        <v>46034</v>
      </c>
      <c r="D86" s="1" t="s">
        <v>32</v>
      </c>
      <c r="E86" s="1" t="s">
        <v>92</v>
      </c>
      <c r="F86" s="4">
        <v>-725</v>
      </c>
      <c r="G86" s="1" t="s">
        <v>466</v>
      </c>
      <c r="H86" s="1" t="s">
        <v>194</v>
      </c>
      <c r="I86" s="23" t="s">
        <v>219</v>
      </c>
      <c r="J86" s="25">
        <f>VLOOKUP(H86,Planilha1!B:C,2,0)</f>
        <v>80</v>
      </c>
    </row>
    <row r="87" spans="1:10" ht="15.75" hidden="1" customHeight="1" x14ac:dyDescent="0.15">
      <c r="A87" s="5" t="s">
        <v>196</v>
      </c>
      <c r="B87" s="4" t="s">
        <v>229</v>
      </c>
      <c r="C87" s="6">
        <v>46034</v>
      </c>
      <c r="D87" s="1" t="s">
        <v>229</v>
      </c>
      <c r="E87" s="1" t="s">
        <v>509</v>
      </c>
      <c r="F87" s="4">
        <v>-474.74</v>
      </c>
      <c r="G87" s="1" t="s">
        <v>466</v>
      </c>
      <c r="H87" s="1" t="s">
        <v>194</v>
      </c>
      <c r="I87" s="23" t="s">
        <v>219</v>
      </c>
      <c r="J87" s="25">
        <f>VLOOKUP(H87,Planilha1!B:C,2,0)</f>
        <v>80</v>
      </c>
    </row>
    <row r="88" spans="1:10" ht="15.75" hidden="1" customHeight="1" x14ac:dyDescent="0.15">
      <c r="A88" s="5" t="s">
        <v>196</v>
      </c>
      <c r="B88" s="4" t="s">
        <v>501</v>
      </c>
      <c r="C88" s="6">
        <v>46034</v>
      </c>
      <c r="D88" s="1" t="s">
        <v>501</v>
      </c>
      <c r="E88" s="1" t="s">
        <v>206</v>
      </c>
      <c r="F88" s="7">
        <v>-1576.32</v>
      </c>
      <c r="G88" s="1" t="s">
        <v>466</v>
      </c>
      <c r="H88" s="1" t="s">
        <v>194</v>
      </c>
      <c r="I88" s="23" t="s">
        <v>219</v>
      </c>
      <c r="J88" s="25">
        <f>VLOOKUP(H88,Planilha1!B:C,2,0)</f>
        <v>80</v>
      </c>
    </row>
    <row r="89" spans="1:10" ht="15.75" hidden="1" customHeight="1" x14ac:dyDescent="0.15">
      <c r="A89" s="5" t="s">
        <v>196</v>
      </c>
      <c r="B89" s="4" t="s">
        <v>452</v>
      </c>
      <c r="C89" s="6">
        <v>46034</v>
      </c>
      <c r="D89" s="1" t="s">
        <v>452</v>
      </c>
      <c r="E89" s="1" t="s">
        <v>206</v>
      </c>
      <c r="F89" s="4">
        <v>-356.62</v>
      </c>
      <c r="G89" s="1" t="s">
        <v>466</v>
      </c>
      <c r="H89" s="1" t="s">
        <v>194</v>
      </c>
      <c r="I89" s="23" t="s">
        <v>219</v>
      </c>
      <c r="J89" s="25">
        <f>VLOOKUP(H89,Planilha1!B:C,2,0)</f>
        <v>80</v>
      </c>
    </row>
    <row r="90" spans="1:10" ht="15.75" hidden="1" customHeight="1" x14ac:dyDescent="0.15">
      <c r="A90" s="5" t="s">
        <v>196</v>
      </c>
      <c r="B90" s="4" t="s">
        <v>151</v>
      </c>
      <c r="C90" s="6">
        <v>46034</v>
      </c>
      <c r="D90" s="1" t="s">
        <v>151</v>
      </c>
      <c r="E90" s="1" t="s">
        <v>12</v>
      </c>
      <c r="F90" s="4">
        <v>-868.85</v>
      </c>
      <c r="G90" s="1" t="s">
        <v>466</v>
      </c>
      <c r="H90" s="1" t="s">
        <v>194</v>
      </c>
      <c r="I90" s="23" t="s">
        <v>219</v>
      </c>
      <c r="J90" s="25">
        <f>VLOOKUP(H90,Planilha1!B:C,2,0)</f>
        <v>80</v>
      </c>
    </row>
    <row r="91" spans="1:10" ht="15.75" hidden="1" customHeight="1" x14ac:dyDescent="0.15">
      <c r="A91" s="5" t="s">
        <v>196</v>
      </c>
      <c r="B91" s="4" t="s">
        <v>418</v>
      </c>
      <c r="C91" s="6">
        <v>46034</v>
      </c>
      <c r="D91" s="1" t="s">
        <v>418</v>
      </c>
      <c r="E91" s="1" t="s">
        <v>510</v>
      </c>
      <c r="F91" s="7">
        <v>-3550</v>
      </c>
      <c r="G91" s="1" t="s">
        <v>466</v>
      </c>
      <c r="H91" s="1" t="s">
        <v>99</v>
      </c>
      <c r="I91" s="23" t="s">
        <v>42</v>
      </c>
      <c r="J91" s="25">
        <f>VLOOKUP(H91,Planilha1!B:C,2,0)</f>
        <v>244</v>
      </c>
    </row>
    <row r="92" spans="1:10" ht="15.75" hidden="1" customHeight="1" x14ac:dyDescent="0.15">
      <c r="A92" s="5" t="s">
        <v>196</v>
      </c>
      <c r="B92" s="4" t="s">
        <v>445</v>
      </c>
      <c r="C92" s="6">
        <v>46034</v>
      </c>
      <c r="D92" s="1" t="s">
        <v>445</v>
      </c>
      <c r="E92" s="1" t="s">
        <v>98</v>
      </c>
      <c r="F92" s="7">
        <v>-2122.46</v>
      </c>
      <c r="G92" s="1" t="s">
        <v>466</v>
      </c>
      <c r="H92" s="1" t="s">
        <v>194</v>
      </c>
      <c r="I92" s="23" t="s">
        <v>219</v>
      </c>
      <c r="J92" s="25">
        <f>VLOOKUP(H92,Planilha1!B:C,2,0)</f>
        <v>80</v>
      </c>
    </row>
    <row r="93" spans="1:10" ht="15.75" hidden="1" customHeight="1" x14ac:dyDescent="0.15">
      <c r="A93" s="5" t="s">
        <v>196</v>
      </c>
      <c r="B93" s="4" t="s">
        <v>461</v>
      </c>
      <c r="C93" s="6">
        <v>46034</v>
      </c>
      <c r="D93" s="1" t="s">
        <v>461</v>
      </c>
      <c r="E93" s="1" t="s">
        <v>319</v>
      </c>
      <c r="F93" s="7">
        <v>-1453.92</v>
      </c>
      <c r="G93" s="1" t="s">
        <v>466</v>
      </c>
      <c r="H93" s="1" t="s">
        <v>194</v>
      </c>
      <c r="I93" s="23" t="s">
        <v>219</v>
      </c>
      <c r="J93" s="25">
        <f>VLOOKUP(H93,Planilha1!B:C,2,0)</f>
        <v>80</v>
      </c>
    </row>
    <row r="94" spans="1:10" ht="15.75" hidden="1" customHeight="1" x14ac:dyDescent="0.15">
      <c r="A94" s="5" t="s">
        <v>196</v>
      </c>
      <c r="B94" s="4" t="s">
        <v>517</v>
      </c>
      <c r="C94" s="6">
        <v>46034</v>
      </c>
      <c r="D94" s="1" t="s">
        <v>517</v>
      </c>
      <c r="E94" s="1" t="s">
        <v>114</v>
      </c>
      <c r="F94" s="7">
        <v>-4579.8</v>
      </c>
      <c r="G94" s="1" t="s">
        <v>466</v>
      </c>
      <c r="H94" s="1" t="s">
        <v>472</v>
      </c>
      <c r="I94" s="23" t="s">
        <v>326</v>
      </c>
      <c r="J94" s="25">
        <f>VLOOKUP(H94,Planilha1!B:C,2,0)</f>
        <v>80</v>
      </c>
    </row>
    <row r="95" spans="1:10" ht="15.75" hidden="1" customHeight="1" x14ac:dyDescent="0.15">
      <c r="A95" s="5" t="s">
        <v>196</v>
      </c>
      <c r="B95" s="4" t="s">
        <v>187</v>
      </c>
      <c r="C95" s="6">
        <v>46034</v>
      </c>
      <c r="D95" s="1" t="s">
        <v>187</v>
      </c>
      <c r="E95" s="1" t="s">
        <v>253</v>
      </c>
      <c r="F95" s="7">
        <v>-3235</v>
      </c>
      <c r="G95" s="1" t="s">
        <v>466</v>
      </c>
      <c r="H95" s="1" t="s">
        <v>99</v>
      </c>
      <c r="I95" s="23" t="s">
        <v>42</v>
      </c>
      <c r="J95" s="25">
        <f>VLOOKUP(H95,Planilha1!B:C,2,0)</f>
        <v>244</v>
      </c>
    </row>
    <row r="96" spans="1:10" ht="15.75" hidden="1" customHeight="1" x14ac:dyDescent="0.15">
      <c r="A96" s="5" t="s">
        <v>196</v>
      </c>
      <c r="B96" s="4" t="s">
        <v>545</v>
      </c>
      <c r="C96" s="6">
        <v>46034</v>
      </c>
      <c r="D96" s="1" t="s">
        <v>545</v>
      </c>
      <c r="E96" s="1" t="s">
        <v>9</v>
      </c>
      <c r="F96" s="4">
        <v>-307.72000000000003</v>
      </c>
      <c r="G96" s="1" t="s">
        <v>466</v>
      </c>
      <c r="H96" s="1" t="s">
        <v>194</v>
      </c>
      <c r="I96" s="23" t="s">
        <v>219</v>
      </c>
      <c r="J96" s="25">
        <f>VLOOKUP(H96,Planilha1!B:C,2,0)</f>
        <v>80</v>
      </c>
    </row>
    <row r="97" spans="1:10" ht="15.75" hidden="1" customHeight="1" x14ac:dyDescent="0.15">
      <c r="A97" s="5" t="s">
        <v>196</v>
      </c>
      <c r="B97" s="4" t="s">
        <v>439</v>
      </c>
      <c r="C97" s="6">
        <v>46034</v>
      </c>
      <c r="D97" s="1" t="s">
        <v>439</v>
      </c>
      <c r="E97" s="1" t="s">
        <v>114</v>
      </c>
      <c r="F97" s="7">
        <v>-4386.1499999999996</v>
      </c>
      <c r="G97" s="1" t="s">
        <v>466</v>
      </c>
      <c r="H97" s="1" t="s">
        <v>472</v>
      </c>
      <c r="I97" s="23" t="s">
        <v>326</v>
      </c>
      <c r="J97" s="25">
        <f>VLOOKUP(H97,Planilha1!B:C,2,0)</f>
        <v>80</v>
      </c>
    </row>
    <row r="98" spans="1:10" ht="15.75" hidden="1" customHeight="1" x14ac:dyDescent="0.15">
      <c r="A98" s="5" t="s">
        <v>196</v>
      </c>
      <c r="B98" s="4" t="s">
        <v>131</v>
      </c>
      <c r="C98" s="6">
        <v>46034</v>
      </c>
      <c r="D98" s="1" t="s">
        <v>131</v>
      </c>
      <c r="E98" s="1" t="s">
        <v>37</v>
      </c>
      <c r="F98" s="4">
        <v>-13.43</v>
      </c>
      <c r="G98" s="1" t="s">
        <v>466</v>
      </c>
      <c r="H98" s="1" t="s">
        <v>443</v>
      </c>
      <c r="I98" s="23" t="s">
        <v>42</v>
      </c>
      <c r="J98" s="25">
        <f>VLOOKUP(H98,Planilha1!B:C,2,0)</f>
        <v>166</v>
      </c>
    </row>
    <row r="99" spans="1:10" ht="15.75" hidden="1" customHeight="1" x14ac:dyDescent="0.15">
      <c r="A99" s="5" t="s">
        <v>196</v>
      </c>
      <c r="B99" s="4" t="s">
        <v>356</v>
      </c>
      <c r="C99" s="6">
        <v>46034</v>
      </c>
      <c r="D99" s="1" t="s">
        <v>356</v>
      </c>
      <c r="E99" s="1" t="s">
        <v>166</v>
      </c>
      <c r="F99" s="4">
        <v>-768</v>
      </c>
      <c r="G99" s="1" t="s">
        <v>466</v>
      </c>
      <c r="H99" s="1" t="s">
        <v>523</v>
      </c>
      <c r="I99" s="23" t="s">
        <v>66</v>
      </c>
      <c r="J99" s="25">
        <f>VLOOKUP(H99,Planilha1!B:C,2,0)</f>
        <v>752</v>
      </c>
    </row>
    <row r="100" spans="1:10" ht="15.75" hidden="1" customHeight="1" x14ac:dyDescent="0.15">
      <c r="A100" s="5" t="s">
        <v>196</v>
      </c>
      <c r="B100" s="4" t="s">
        <v>188</v>
      </c>
      <c r="C100" s="6">
        <v>46034</v>
      </c>
      <c r="D100" s="1" t="s">
        <v>188</v>
      </c>
      <c r="E100" s="1" t="s">
        <v>67</v>
      </c>
      <c r="F100" s="4">
        <v>-100</v>
      </c>
      <c r="G100" s="1" t="s">
        <v>466</v>
      </c>
      <c r="H100" s="1" t="s">
        <v>407</v>
      </c>
      <c r="I100" s="23" t="s">
        <v>103</v>
      </c>
      <c r="J100" s="25">
        <f>VLOOKUP(H100,Planilha1!B:C,2,0)</f>
        <v>238</v>
      </c>
    </row>
    <row r="101" spans="1:10" ht="15.75" hidden="1" customHeight="1" x14ac:dyDescent="0.15">
      <c r="A101" s="5" t="s">
        <v>196</v>
      </c>
      <c r="B101" s="4" t="s">
        <v>175</v>
      </c>
      <c r="C101" s="6">
        <v>46034</v>
      </c>
      <c r="D101" s="1" t="s">
        <v>175</v>
      </c>
      <c r="E101" s="1" t="s">
        <v>430</v>
      </c>
      <c r="F101" s="7">
        <v>-2064</v>
      </c>
      <c r="G101" s="1" t="s">
        <v>466</v>
      </c>
      <c r="H101" s="1" t="s">
        <v>357</v>
      </c>
      <c r="I101" s="23" t="s">
        <v>66</v>
      </c>
      <c r="J101" s="25">
        <f>VLOOKUP(H101,Planilha1!B:C,2,0)</f>
        <v>752</v>
      </c>
    </row>
    <row r="102" spans="1:10" ht="15.75" hidden="1" customHeight="1" x14ac:dyDescent="0.15">
      <c r="A102" s="5" t="s">
        <v>196</v>
      </c>
      <c r="B102" s="4" t="s">
        <v>546</v>
      </c>
      <c r="C102" s="6">
        <v>46035</v>
      </c>
      <c r="D102" s="1" t="s">
        <v>546</v>
      </c>
      <c r="E102" s="1" t="s">
        <v>9</v>
      </c>
      <c r="F102" s="4">
        <v>-461.55</v>
      </c>
      <c r="G102" s="1" t="s">
        <v>466</v>
      </c>
      <c r="H102" s="1" t="s">
        <v>194</v>
      </c>
      <c r="I102" s="23" t="s">
        <v>219</v>
      </c>
      <c r="J102" s="25">
        <f>VLOOKUP(H102,Planilha1!B:C,2,0)</f>
        <v>80</v>
      </c>
    </row>
    <row r="103" spans="1:10" ht="15.75" hidden="1" customHeight="1" x14ac:dyDescent="0.15">
      <c r="A103" s="5" t="s">
        <v>196</v>
      </c>
      <c r="B103" s="4" t="s">
        <v>221</v>
      </c>
      <c r="C103" s="6">
        <v>46035</v>
      </c>
      <c r="D103" s="1" t="s">
        <v>221</v>
      </c>
      <c r="E103" s="1" t="s">
        <v>114</v>
      </c>
      <c r="F103" s="7">
        <v>-4849.2</v>
      </c>
      <c r="G103" s="1" t="s">
        <v>466</v>
      </c>
      <c r="H103" s="1" t="s">
        <v>472</v>
      </c>
      <c r="I103" s="23" t="s">
        <v>326</v>
      </c>
      <c r="J103" s="25">
        <f>VLOOKUP(H103,Planilha1!B:C,2,0)</f>
        <v>80</v>
      </c>
    </row>
    <row r="104" spans="1:10" ht="15.75" hidden="1" customHeight="1" x14ac:dyDescent="0.15">
      <c r="A104" s="5" t="s">
        <v>196</v>
      </c>
      <c r="B104" s="4" t="s">
        <v>275</v>
      </c>
      <c r="C104" s="6">
        <v>46035</v>
      </c>
      <c r="D104" s="1" t="s">
        <v>275</v>
      </c>
      <c r="E104" s="1" t="s">
        <v>20</v>
      </c>
      <c r="F104" s="7">
        <v>-4000</v>
      </c>
      <c r="G104" s="1" t="s">
        <v>466</v>
      </c>
      <c r="H104" s="1" t="s">
        <v>550</v>
      </c>
      <c r="I104" s="23" t="s">
        <v>42</v>
      </c>
      <c r="J104" s="25">
        <f>VLOOKUP(H104,Planilha1!B:C,2,0)</f>
        <v>200</v>
      </c>
    </row>
    <row r="105" spans="1:10" ht="15.75" hidden="1" customHeight="1" x14ac:dyDescent="0.15">
      <c r="A105" s="5" t="s">
        <v>196</v>
      </c>
      <c r="B105" s="4" t="s">
        <v>21</v>
      </c>
      <c r="C105" s="6">
        <v>46035</v>
      </c>
      <c r="D105" s="1" t="s">
        <v>21</v>
      </c>
      <c r="E105" s="1" t="s">
        <v>29</v>
      </c>
      <c r="F105" s="4">
        <v>-375.19</v>
      </c>
      <c r="G105" s="1" t="s">
        <v>466</v>
      </c>
      <c r="H105" s="1" t="s">
        <v>462</v>
      </c>
      <c r="I105" s="23" t="s">
        <v>348</v>
      </c>
      <c r="J105" s="25">
        <f>VLOOKUP(H105,Planilha1!B:C,2,0)</f>
        <v>245</v>
      </c>
    </row>
    <row r="106" spans="1:10" ht="15.75" hidden="1" customHeight="1" x14ac:dyDescent="0.15">
      <c r="A106" s="5" t="s">
        <v>196</v>
      </c>
      <c r="B106" s="4" t="s">
        <v>182</v>
      </c>
      <c r="C106" s="6">
        <v>46035</v>
      </c>
      <c r="D106" s="1" t="s">
        <v>182</v>
      </c>
      <c r="E106" s="1" t="s">
        <v>390</v>
      </c>
      <c r="F106" s="4">
        <v>-490</v>
      </c>
      <c r="G106" s="1" t="s">
        <v>466</v>
      </c>
      <c r="H106" s="1" t="s">
        <v>395</v>
      </c>
      <c r="I106" s="23" t="s">
        <v>42</v>
      </c>
      <c r="J106" s="25">
        <f>VLOOKUP(H106,Planilha1!B:C,2,0)</f>
        <v>76</v>
      </c>
    </row>
    <row r="107" spans="1:10" ht="15.75" hidden="1" customHeight="1" x14ac:dyDescent="0.15">
      <c r="A107" s="5" t="s">
        <v>328</v>
      </c>
      <c r="B107" s="4" t="s">
        <v>532</v>
      </c>
      <c r="C107" s="6">
        <v>46035</v>
      </c>
      <c r="D107" s="1" t="s">
        <v>532</v>
      </c>
      <c r="E107" s="1" t="s">
        <v>142</v>
      </c>
      <c r="F107" s="7">
        <v>1328.87</v>
      </c>
      <c r="G107" s="1" t="s">
        <v>242</v>
      </c>
      <c r="H107" s="1" t="s">
        <v>428</v>
      </c>
      <c r="I107" s="23" t="s">
        <v>299</v>
      </c>
      <c r="J107" s="25" t="str">
        <f>VLOOKUP(H107,Planilha1!B:C,2,0)</f>
        <v>132 a 134</v>
      </c>
    </row>
    <row r="108" spans="1:10" ht="15.75" hidden="1" customHeight="1" x14ac:dyDescent="0.15">
      <c r="A108" s="5" t="s">
        <v>328</v>
      </c>
      <c r="B108" s="4" t="s">
        <v>208</v>
      </c>
      <c r="C108" s="6">
        <v>46035</v>
      </c>
      <c r="D108" s="1" t="s">
        <v>208</v>
      </c>
      <c r="E108" s="1" t="s">
        <v>429</v>
      </c>
      <c r="F108" s="4">
        <v>0.7</v>
      </c>
      <c r="G108" s="1" t="s">
        <v>242</v>
      </c>
      <c r="H108" s="1" t="s">
        <v>197</v>
      </c>
      <c r="I108" s="23" t="s">
        <v>511</v>
      </c>
      <c r="J108" s="25">
        <f>VLOOKUP(H108,Planilha1!B:C,2,0)</f>
        <v>135</v>
      </c>
    </row>
    <row r="109" spans="1:10" ht="15.75" hidden="1" customHeight="1" x14ac:dyDescent="0.15">
      <c r="A109" s="5" t="s">
        <v>196</v>
      </c>
      <c r="B109" s="4" t="s">
        <v>316</v>
      </c>
      <c r="C109" s="6">
        <v>46035</v>
      </c>
      <c r="D109" s="1" t="s">
        <v>316</v>
      </c>
      <c r="E109" s="1" t="s">
        <v>78</v>
      </c>
      <c r="F109" s="4">
        <v>-11.56</v>
      </c>
      <c r="G109" s="1" t="s">
        <v>242</v>
      </c>
      <c r="H109" s="1" t="s">
        <v>147</v>
      </c>
      <c r="I109" s="23" t="s">
        <v>511</v>
      </c>
      <c r="J109" s="25">
        <f>VLOOKUP(H109,Planilha1!B:C,2,0)</f>
        <v>252</v>
      </c>
    </row>
    <row r="110" spans="1:10" ht="15.75" hidden="1" customHeight="1" x14ac:dyDescent="0.15">
      <c r="A110" s="5" t="s">
        <v>196</v>
      </c>
      <c r="B110" s="4" t="s">
        <v>115</v>
      </c>
      <c r="C110" s="6">
        <v>46035</v>
      </c>
      <c r="D110" s="1" t="s">
        <v>115</v>
      </c>
      <c r="E110" s="1" t="s">
        <v>195</v>
      </c>
      <c r="F110" s="4">
        <v>-1.64</v>
      </c>
      <c r="G110" s="1" t="s">
        <v>242</v>
      </c>
      <c r="H110" s="1" t="s">
        <v>147</v>
      </c>
      <c r="I110" s="23" t="s">
        <v>511</v>
      </c>
      <c r="J110" s="25">
        <f>VLOOKUP(H110,Planilha1!B:C,2,0)</f>
        <v>252</v>
      </c>
    </row>
    <row r="111" spans="1:10" ht="15.75" hidden="1" customHeight="1" x14ac:dyDescent="0.15">
      <c r="A111" s="5" t="s">
        <v>196</v>
      </c>
      <c r="B111" s="4" t="s">
        <v>47</v>
      </c>
      <c r="C111" s="6">
        <v>46035</v>
      </c>
      <c r="D111" s="1" t="s">
        <v>47</v>
      </c>
      <c r="E111" s="1" t="s">
        <v>68</v>
      </c>
      <c r="F111" s="4">
        <v>-8.56</v>
      </c>
      <c r="G111" s="1" t="s">
        <v>242</v>
      </c>
      <c r="H111" s="1" t="s">
        <v>147</v>
      </c>
      <c r="I111" s="23" t="s">
        <v>511</v>
      </c>
      <c r="J111" s="25">
        <f>VLOOKUP(H111,Planilha1!B:C,2,0)</f>
        <v>252</v>
      </c>
    </row>
    <row r="112" spans="1:10" ht="15.75" hidden="1" customHeight="1" x14ac:dyDescent="0.15">
      <c r="A112" s="5" t="s">
        <v>196</v>
      </c>
      <c r="B112" s="4" t="s">
        <v>216</v>
      </c>
      <c r="C112" s="6">
        <v>46036</v>
      </c>
      <c r="D112" s="1" t="s">
        <v>216</v>
      </c>
      <c r="E112" s="1" t="s">
        <v>78</v>
      </c>
      <c r="F112" s="4">
        <v>-8.67</v>
      </c>
      <c r="G112" s="1" t="s">
        <v>242</v>
      </c>
      <c r="H112" s="1" t="s">
        <v>147</v>
      </c>
      <c r="I112" s="23" t="s">
        <v>511</v>
      </c>
      <c r="J112" s="25">
        <f>VLOOKUP(H112,Planilha1!B:C,2,0)</f>
        <v>252</v>
      </c>
    </row>
    <row r="113" spans="1:10" ht="15.75" hidden="1" customHeight="1" x14ac:dyDescent="0.15">
      <c r="A113" s="5" t="s">
        <v>328</v>
      </c>
      <c r="B113" s="4" t="s">
        <v>330</v>
      </c>
      <c r="C113" s="6">
        <v>46036</v>
      </c>
      <c r="D113" s="1" t="s">
        <v>330</v>
      </c>
      <c r="E113" s="1" t="s">
        <v>213</v>
      </c>
      <c r="F113" s="7">
        <v>5211.9799999999996</v>
      </c>
      <c r="G113" s="1" t="s">
        <v>242</v>
      </c>
      <c r="H113" s="1" t="s">
        <v>428</v>
      </c>
      <c r="I113" s="23" t="s">
        <v>299</v>
      </c>
      <c r="J113" s="25" t="str">
        <f>VLOOKUP(H113,Planilha1!B:C,2,0)</f>
        <v>132 a 134</v>
      </c>
    </row>
    <row r="114" spans="1:10" ht="15.75" hidden="1" customHeight="1" x14ac:dyDescent="0.15">
      <c r="A114" s="5" t="s">
        <v>328</v>
      </c>
      <c r="B114" s="4" t="s">
        <v>244</v>
      </c>
      <c r="C114" s="6">
        <v>46036</v>
      </c>
      <c r="D114" s="1" t="s">
        <v>244</v>
      </c>
      <c r="E114" s="1" t="s">
        <v>132</v>
      </c>
      <c r="F114" s="7">
        <v>50000</v>
      </c>
      <c r="G114" s="1" t="s">
        <v>242</v>
      </c>
      <c r="H114" s="1" t="s">
        <v>8</v>
      </c>
      <c r="I114" s="23" t="s">
        <v>364</v>
      </c>
      <c r="J114" s="25">
        <f>VLOOKUP(H114,Planilha1!B:C,2,0)</f>
        <v>0</v>
      </c>
    </row>
    <row r="115" spans="1:10" ht="15.75" hidden="1" customHeight="1" x14ac:dyDescent="0.15">
      <c r="A115" s="5" t="s">
        <v>196</v>
      </c>
      <c r="B115" s="4" t="s">
        <v>111</v>
      </c>
      <c r="C115" s="6">
        <v>46036</v>
      </c>
      <c r="D115" s="1" t="s">
        <v>111</v>
      </c>
      <c r="E115" s="1" t="s">
        <v>67</v>
      </c>
      <c r="F115" s="7">
        <v>-1000</v>
      </c>
      <c r="G115" s="1" t="s">
        <v>466</v>
      </c>
      <c r="H115" s="1" t="s">
        <v>149</v>
      </c>
      <c r="I115" s="23" t="s">
        <v>511</v>
      </c>
      <c r="J115" s="25">
        <f>VLOOKUP(H115,Planilha1!B:C,2,0)</f>
        <v>179</v>
      </c>
    </row>
    <row r="116" spans="1:10" ht="15.75" hidden="1" customHeight="1" x14ac:dyDescent="0.15">
      <c r="A116" s="5" t="s">
        <v>196</v>
      </c>
      <c r="B116" s="4" t="s">
        <v>76</v>
      </c>
      <c r="C116" s="6">
        <v>46036</v>
      </c>
      <c r="D116" s="1" t="s">
        <v>76</v>
      </c>
      <c r="E116" s="1" t="s">
        <v>520</v>
      </c>
      <c r="F116" s="7">
        <v>-9773.44</v>
      </c>
      <c r="G116" s="1" t="s">
        <v>466</v>
      </c>
      <c r="H116" s="1" t="s">
        <v>185</v>
      </c>
      <c r="I116" s="23" t="s">
        <v>42</v>
      </c>
      <c r="J116" s="25">
        <f>VLOOKUP(H116,Planilha1!B:C,2,0)</f>
        <v>229</v>
      </c>
    </row>
    <row r="117" spans="1:10" ht="15.75" hidden="1" customHeight="1" x14ac:dyDescent="0.15">
      <c r="A117" s="5" t="s">
        <v>196</v>
      </c>
      <c r="B117" s="4" t="s">
        <v>503</v>
      </c>
      <c r="C117" s="6">
        <v>46036</v>
      </c>
      <c r="D117" s="1" t="s">
        <v>503</v>
      </c>
      <c r="E117" s="1" t="s">
        <v>12</v>
      </c>
      <c r="F117" s="7">
        <v>-3418.68</v>
      </c>
      <c r="G117" s="1" t="s">
        <v>466</v>
      </c>
      <c r="H117" s="1" t="s">
        <v>194</v>
      </c>
      <c r="I117" s="23" t="s">
        <v>219</v>
      </c>
      <c r="J117" s="25">
        <f>VLOOKUP(H117,Planilha1!B:C,2,0)</f>
        <v>80</v>
      </c>
    </row>
    <row r="118" spans="1:10" ht="15.75" hidden="1" customHeight="1" x14ac:dyDescent="0.15">
      <c r="A118" s="5" t="s">
        <v>196</v>
      </c>
      <c r="B118" s="4" t="s">
        <v>330</v>
      </c>
      <c r="C118" s="6">
        <v>46036</v>
      </c>
      <c r="D118" s="1" t="s">
        <v>330</v>
      </c>
      <c r="E118" s="1" t="s">
        <v>98</v>
      </c>
      <c r="F118" s="7">
        <v>-1336.13</v>
      </c>
      <c r="G118" s="1" t="s">
        <v>466</v>
      </c>
      <c r="H118" s="1" t="s">
        <v>194</v>
      </c>
      <c r="I118" s="23" t="s">
        <v>219</v>
      </c>
      <c r="J118" s="25">
        <f>VLOOKUP(H118,Planilha1!B:C,2,0)</f>
        <v>80</v>
      </c>
    </row>
    <row r="119" spans="1:10" ht="15.75" hidden="1" customHeight="1" x14ac:dyDescent="0.15">
      <c r="A119" s="5" t="s">
        <v>196</v>
      </c>
      <c r="B119" s="4" t="s">
        <v>214</v>
      </c>
      <c r="C119" s="6">
        <v>46036</v>
      </c>
      <c r="D119" s="1" t="s">
        <v>214</v>
      </c>
      <c r="E119" s="1" t="s">
        <v>114</v>
      </c>
      <c r="F119" s="7">
        <v>-1702.29</v>
      </c>
      <c r="G119" s="1" t="s">
        <v>466</v>
      </c>
      <c r="H119" s="1" t="s">
        <v>472</v>
      </c>
      <c r="I119" s="23" t="s">
        <v>326</v>
      </c>
      <c r="J119" s="25">
        <f>VLOOKUP(H119,Planilha1!B:C,2,0)</f>
        <v>80</v>
      </c>
    </row>
    <row r="120" spans="1:10" ht="15.75" hidden="1" customHeight="1" x14ac:dyDescent="0.15">
      <c r="A120" s="5" t="s">
        <v>196</v>
      </c>
      <c r="B120" s="4" t="s">
        <v>527</v>
      </c>
      <c r="C120" s="6">
        <v>46036</v>
      </c>
      <c r="D120" s="1" t="s">
        <v>527</v>
      </c>
      <c r="E120" s="1" t="s">
        <v>74</v>
      </c>
      <c r="F120" s="4">
        <v>-54.8</v>
      </c>
      <c r="G120" s="1" t="s">
        <v>466</v>
      </c>
      <c r="H120" s="1" t="s">
        <v>99</v>
      </c>
      <c r="I120" s="23" t="s">
        <v>42</v>
      </c>
      <c r="J120" s="25">
        <f>VLOOKUP(H120,Planilha1!B:C,2,0)</f>
        <v>244</v>
      </c>
    </row>
    <row r="121" spans="1:10" ht="15.75" hidden="1" customHeight="1" x14ac:dyDescent="0.15">
      <c r="A121" s="5" t="s">
        <v>196</v>
      </c>
      <c r="B121" s="4" t="s">
        <v>433</v>
      </c>
      <c r="C121" s="6">
        <v>46036</v>
      </c>
      <c r="D121" s="1" t="s">
        <v>433</v>
      </c>
      <c r="E121" s="1" t="s">
        <v>211</v>
      </c>
      <c r="F121" s="7">
        <v>-20174.3</v>
      </c>
      <c r="G121" s="1" t="s">
        <v>466</v>
      </c>
      <c r="H121" s="1" t="s">
        <v>146</v>
      </c>
      <c r="I121" s="23" t="s">
        <v>103</v>
      </c>
      <c r="J121" s="25">
        <f>VLOOKUP(H121,Planilha1!B:C,2,0)</f>
        <v>164</v>
      </c>
    </row>
    <row r="122" spans="1:10" ht="15.75" hidden="1" customHeight="1" x14ac:dyDescent="0.15">
      <c r="A122" s="5" t="s">
        <v>196</v>
      </c>
      <c r="B122" s="4" t="s">
        <v>382</v>
      </c>
      <c r="C122" s="6">
        <v>46036</v>
      </c>
      <c r="D122" s="1" t="s">
        <v>382</v>
      </c>
      <c r="E122" s="1" t="s">
        <v>228</v>
      </c>
      <c r="F122" s="4">
        <v>-106.63</v>
      </c>
      <c r="G122" s="1" t="s">
        <v>466</v>
      </c>
      <c r="H122" s="1" t="s">
        <v>146</v>
      </c>
      <c r="I122" s="23" t="s">
        <v>103</v>
      </c>
      <c r="J122" s="25">
        <f>VLOOKUP(H122,Planilha1!B:C,2,0)</f>
        <v>164</v>
      </c>
    </row>
    <row r="123" spans="1:10" ht="15.75" hidden="1" customHeight="1" x14ac:dyDescent="0.15">
      <c r="A123" s="5" t="s">
        <v>196</v>
      </c>
      <c r="B123" s="4" t="s">
        <v>193</v>
      </c>
      <c r="C123" s="6">
        <v>46036</v>
      </c>
      <c r="D123" s="1" t="s">
        <v>193</v>
      </c>
      <c r="E123" s="1" t="s">
        <v>277</v>
      </c>
      <c r="F123" s="4">
        <v>-3.68</v>
      </c>
      <c r="G123" s="1" t="s">
        <v>242</v>
      </c>
      <c r="H123" s="1" t="s">
        <v>147</v>
      </c>
      <c r="I123" s="23" t="s">
        <v>511</v>
      </c>
      <c r="J123" s="25">
        <f>VLOOKUP(H123,Planilha1!B:C,2,0)</f>
        <v>252</v>
      </c>
    </row>
    <row r="124" spans="1:10" ht="15.75" hidden="1" customHeight="1" x14ac:dyDescent="0.15">
      <c r="A124" s="5" t="s">
        <v>196</v>
      </c>
      <c r="B124" s="4" t="s">
        <v>309</v>
      </c>
      <c r="C124" s="6">
        <v>46037</v>
      </c>
      <c r="D124" s="1" t="s">
        <v>309</v>
      </c>
      <c r="E124" s="1" t="s">
        <v>114</v>
      </c>
      <c r="F124" s="4">
        <v>-380</v>
      </c>
      <c r="G124" s="1" t="s">
        <v>466</v>
      </c>
      <c r="H124" s="1" t="s">
        <v>472</v>
      </c>
      <c r="I124" s="23" t="s">
        <v>326</v>
      </c>
      <c r="J124" s="25">
        <f>VLOOKUP(H124,Planilha1!B:C,2,0)</f>
        <v>80</v>
      </c>
    </row>
    <row r="125" spans="1:10" ht="15.75" hidden="1" customHeight="1" x14ac:dyDescent="0.15">
      <c r="A125" s="5" t="s">
        <v>196</v>
      </c>
      <c r="B125" s="4" t="s">
        <v>7</v>
      </c>
      <c r="C125" s="6">
        <v>46037</v>
      </c>
      <c r="D125" s="1" t="s">
        <v>7</v>
      </c>
      <c r="E125" s="1" t="s">
        <v>108</v>
      </c>
      <c r="F125" s="7">
        <v>-5000</v>
      </c>
      <c r="G125" s="1" t="s">
        <v>466</v>
      </c>
      <c r="H125" s="1" t="s">
        <v>285</v>
      </c>
      <c r="I125" s="23" t="s">
        <v>219</v>
      </c>
      <c r="J125" s="25">
        <f>VLOOKUP(H125,Planilha1!B:C,2,0)</f>
        <v>247</v>
      </c>
    </row>
    <row r="126" spans="1:10" ht="15.75" hidden="1" customHeight="1" x14ac:dyDescent="0.15">
      <c r="A126" s="5" t="s">
        <v>196</v>
      </c>
      <c r="B126" s="4" t="s">
        <v>421</v>
      </c>
      <c r="C126" s="6">
        <v>46037</v>
      </c>
      <c r="D126" s="1" t="s">
        <v>421</v>
      </c>
      <c r="E126" s="1" t="s">
        <v>440</v>
      </c>
      <c r="F126" s="7">
        <v>-1145.1300000000001</v>
      </c>
      <c r="G126" s="1" t="s">
        <v>466</v>
      </c>
      <c r="H126" s="1" t="s">
        <v>480</v>
      </c>
      <c r="I126" s="23" t="s">
        <v>42</v>
      </c>
      <c r="J126" s="25">
        <f>VLOOKUP(H126,Planilha1!B:C,2,0)</f>
        <v>165</v>
      </c>
    </row>
    <row r="127" spans="1:10" ht="15.75" hidden="1" customHeight="1" x14ac:dyDescent="0.15">
      <c r="A127" s="5" t="s">
        <v>196</v>
      </c>
      <c r="B127" s="4" t="s">
        <v>311</v>
      </c>
      <c r="C127" s="6">
        <v>46037</v>
      </c>
      <c r="D127" s="1" t="s">
        <v>311</v>
      </c>
      <c r="E127" s="1" t="s">
        <v>258</v>
      </c>
      <c r="F127" s="4">
        <v>-60.1</v>
      </c>
      <c r="G127" s="1" t="s">
        <v>466</v>
      </c>
      <c r="H127" s="1" t="s">
        <v>480</v>
      </c>
      <c r="I127" s="23" t="s">
        <v>42</v>
      </c>
      <c r="J127" s="25">
        <f>VLOOKUP(H127,Planilha1!B:C,2,0)</f>
        <v>165</v>
      </c>
    </row>
    <row r="128" spans="1:10" ht="15.75" hidden="1" customHeight="1" x14ac:dyDescent="0.15">
      <c r="A128" s="5" t="s">
        <v>196</v>
      </c>
      <c r="B128" s="4" t="s">
        <v>222</v>
      </c>
      <c r="C128" s="6">
        <v>46037</v>
      </c>
      <c r="D128" s="1" t="s">
        <v>222</v>
      </c>
      <c r="E128" s="1" t="s">
        <v>239</v>
      </c>
      <c r="F128" s="7">
        <v>-1145.1300000000001</v>
      </c>
      <c r="G128" s="1" t="s">
        <v>466</v>
      </c>
      <c r="H128" s="1" t="s">
        <v>480</v>
      </c>
      <c r="I128" s="23" t="s">
        <v>42</v>
      </c>
      <c r="J128" s="25">
        <f>VLOOKUP(H128,Planilha1!B:C,2,0)</f>
        <v>165</v>
      </c>
    </row>
    <row r="129" spans="1:10" ht="15.75" hidden="1" customHeight="1" x14ac:dyDescent="0.15">
      <c r="A129" s="5" t="s">
        <v>196</v>
      </c>
      <c r="B129" s="4" t="s">
        <v>274</v>
      </c>
      <c r="C129" s="6">
        <v>46037</v>
      </c>
      <c r="D129" s="1" t="s">
        <v>274</v>
      </c>
      <c r="E129" s="1" t="s">
        <v>1</v>
      </c>
      <c r="F129" s="7">
        <v>-9570.81</v>
      </c>
      <c r="G129" s="1" t="s">
        <v>466</v>
      </c>
      <c r="H129" s="1" t="s">
        <v>95</v>
      </c>
      <c r="I129" s="23" t="s">
        <v>42</v>
      </c>
      <c r="J129" s="25">
        <f>VLOOKUP(H129,Planilha1!B:C,2,0)</f>
        <v>180</v>
      </c>
    </row>
    <row r="130" spans="1:10" ht="15.75" hidden="1" customHeight="1" x14ac:dyDescent="0.15">
      <c r="A130" s="5" t="s">
        <v>196</v>
      </c>
      <c r="B130" s="4" t="s">
        <v>165</v>
      </c>
      <c r="C130" s="6">
        <v>46037</v>
      </c>
      <c r="D130" s="1" t="s">
        <v>165</v>
      </c>
      <c r="E130" s="1" t="s">
        <v>237</v>
      </c>
      <c r="F130" s="7">
        <v>-1584.37</v>
      </c>
      <c r="G130" s="1" t="s">
        <v>466</v>
      </c>
      <c r="H130" s="1" t="s">
        <v>480</v>
      </c>
      <c r="I130" s="23" t="s">
        <v>42</v>
      </c>
      <c r="J130" s="25">
        <f>VLOOKUP(H130,Planilha1!B:C,2,0)</f>
        <v>165</v>
      </c>
    </row>
    <row r="131" spans="1:10" ht="15.75" hidden="1" customHeight="1" x14ac:dyDescent="0.15">
      <c r="A131" s="5" t="s">
        <v>196</v>
      </c>
      <c r="B131" s="4" t="s">
        <v>507</v>
      </c>
      <c r="C131" s="6">
        <v>46037</v>
      </c>
      <c r="D131" s="1" t="s">
        <v>507</v>
      </c>
      <c r="E131" s="1" t="s">
        <v>434</v>
      </c>
      <c r="F131" s="4">
        <v>-139.77000000000001</v>
      </c>
      <c r="G131" s="1" t="s">
        <v>466</v>
      </c>
      <c r="H131" s="1" t="s">
        <v>480</v>
      </c>
      <c r="I131" s="23" t="s">
        <v>42</v>
      </c>
      <c r="J131" s="25">
        <f>VLOOKUP(H131,Planilha1!B:C,2,0)</f>
        <v>165</v>
      </c>
    </row>
    <row r="132" spans="1:10" ht="15.75" hidden="1" customHeight="1" x14ac:dyDescent="0.15">
      <c r="A132" s="5" t="s">
        <v>196</v>
      </c>
      <c r="B132" s="4" t="s">
        <v>402</v>
      </c>
      <c r="C132" s="6">
        <v>46037</v>
      </c>
      <c r="D132" s="1" t="s">
        <v>402</v>
      </c>
      <c r="E132" s="1" t="s">
        <v>471</v>
      </c>
      <c r="F132" s="4">
        <v>-68.98</v>
      </c>
      <c r="G132" s="1" t="s">
        <v>466</v>
      </c>
      <c r="H132" s="1" t="s">
        <v>480</v>
      </c>
      <c r="I132" s="23" t="s">
        <v>42</v>
      </c>
      <c r="J132" s="25">
        <f>VLOOKUP(H132,Planilha1!B:C,2,0)</f>
        <v>165</v>
      </c>
    </row>
    <row r="133" spans="1:10" ht="15.75" hidden="1" customHeight="1" x14ac:dyDescent="0.15">
      <c r="A133" s="5" t="s">
        <v>196</v>
      </c>
      <c r="B133" s="4" t="s">
        <v>186</v>
      </c>
      <c r="C133" s="6">
        <v>46037</v>
      </c>
      <c r="D133" s="1" t="s">
        <v>186</v>
      </c>
      <c r="E133" s="1" t="s">
        <v>287</v>
      </c>
      <c r="F133" s="4">
        <v>-455.07</v>
      </c>
      <c r="G133" s="1" t="s">
        <v>466</v>
      </c>
      <c r="H133" s="1" t="s">
        <v>334</v>
      </c>
      <c r="I133" s="23" t="s">
        <v>42</v>
      </c>
      <c r="J133" s="25">
        <f>VLOOKUP(H133,Planilha1!B:C,2,0)</f>
        <v>220</v>
      </c>
    </row>
    <row r="134" spans="1:10" ht="15.75" hidden="1" customHeight="1" x14ac:dyDescent="0.15">
      <c r="A134" s="5" t="s">
        <v>196</v>
      </c>
      <c r="B134" s="4" t="s">
        <v>62</v>
      </c>
      <c r="C134" s="6">
        <v>46037</v>
      </c>
      <c r="D134" s="1" t="s">
        <v>62</v>
      </c>
      <c r="E134" s="1" t="s">
        <v>157</v>
      </c>
      <c r="F134" s="7">
        <v>-1591.94</v>
      </c>
      <c r="G134" s="1" t="s">
        <v>466</v>
      </c>
      <c r="H134" s="1" t="s">
        <v>480</v>
      </c>
      <c r="I134" s="23" t="s">
        <v>42</v>
      </c>
      <c r="J134" s="25">
        <f>VLOOKUP(H134,Planilha1!B:C,2,0)</f>
        <v>165</v>
      </c>
    </row>
    <row r="135" spans="1:10" ht="15.75" hidden="1" customHeight="1" x14ac:dyDescent="0.15">
      <c r="A135" s="5" t="s">
        <v>196</v>
      </c>
      <c r="B135" s="4" t="s">
        <v>235</v>
      </c>
      <c r="C135" s="6">
        <v>46037</v>
      </c>
      <c r="D135" s="1" t="s">
        <v>235</v>
      </c>
      <c r="E135" s="1" t="s">
        <v>363</v>
      </c>
      <c r="F135" s="4">
        <v>-144.09</v>
      </c>
      <c r="G135" s="1" t="s">
        <v>466</v>
      </c>
      <c r="H135" s="1" t="s">
        <v>484</v>
      </c>
      <c r="I135" s="23" t="s">
        <v>42</v>
      </c>
      <c r="J135" s="25">
        <f>VLOOKUP(H135,Planilha1!B:C,2,0)</f>
        <v>233</v>
      </c>
    </row>
    <row r="136" spans="1:10" ht="15.75" hidden="1" customHeight="1" x14ac:dyDescent="0.15">
      <c r="A136" s="5" t="s">
        <v>196</v>
      </c>
      <c r="B136" s="4" t="s">
        <v>385</v>
      </c>
      <c r="C136" s="6">
        <v>46037</v>
      </c>
      <c r="D136" s="1" t="s">
        <v>385</v>
      </c>
      <c r="E136" s="1" t="s">
        <v>525</v>
      </c>
      <c r="F136" s="7">
        <v>-8161</v>
      </c>
      <c r="G136" s="1" t="s">
        <v>466</v>
      </c>
      <c r="H136" s="1" t="s">
        <v>194</v>
      </c>
      <c r="I136" s="23" t="s">
        <v>219</v>
      </c>
      <c r="J136" s="25">
        <f>VLOOKUP(H136,Planilha1!B:C,2,0)</f>
        <v>80</v>
      </c>
    </row>
    <row r="137" spans="1:10" ht="15.75" hidden="1" customHeight="1" x14ac:dyDescent="0.15">
      <c r="A137" s="5" t="s">
        <v>196</v>
      </c>
      <c r="B137" s="4" t="s">
        <v>238</v>
      </c>
      <c r="C137" s="6">
        <v>46037</v>
      </c>
      <c r="D137" s="1" t="s">
        <v>238</v>
      </c>
      <c r="E137" s="1" t="s">
        <v>133</v>
      </c>
      <c r="F137" s="4">
        <v>-453.01</v>
      </c>
      <c r="G137" s="1" t="s">
        <v>466</v>
      </c>
      <c r="H137" s="1" t="s">
        <v>480</v>
      </c>
      <c r="I137" s="23" t="s">
        <v>42</v>
      </c>
      <c r="J137" s="25">
        <f>VLOOKUP(H137,Planilha1!B:C,2,0)</f>
        <v>165</v>
      </c>
    </row>
    <row r="138" spans="1:10" ht="15.75" hidden="1" customHeight="1" x14ac:dyDescent="0.15">
      <c r="A138" s="5" t="s">
        <v>196</v>
      </c>
      <c r="B138" s="4" t="s">
        <v>207</v>
      </c>
      <c r="C138" s="6">
        <v>46037</v>
      </c>
      <c r="D138" s="1" t="s">
        <v>207</v>
      </c>
      <c r="E138" s="1" t="s">
        <v>444</v>
      </c>
      <c r="F138" s="4">
        <v>-225.68</v>
      </c>
      <c r="G138" s="1" t="s">
        <v>466</v>
      </c>
      <c r="H138" s="1" t="s">
        <v>480</v>
      </c>
      <c r="I138" s="23" t="s">
        <v>42</v>
      </c>
      <c r="J138" s="25">
        <f>VLOOKUP(H138,Planilha1!B:C,2,0)</f>
        <v>165</v>
      </c>
    </row>
    <row r="139" spans="1:10" ht="15.75" hidden="1" customHeight="1" x14ac:dyDescent="0.15">
      <c r="A139" s="5" t="s">
        <v>196</v>
      </c>
      <c r="B139" s="4" t="s">
        <v>85</v>
      </c>
      <c r="C139" s="6">
        <v>46037</v>
      </c>
      <c r="D139" s="1" t="s">
        <v>85</v>
      </c>
      <c r="E139" s="1" t="s">
        <v>291</v>
      </c>
      <c r="F139" s="4">
        <v>-192.04</v>
      </c>
      <c r="G139" s="1" t="s">
        <v>466</v>
      </c>
      <c r="H139" s="1" t="s">
        <v>480</v>
      </c>
      <c r="I139" s="23" t="s">
        <v>42</v>
      </c>
      <c r="J139" s="25">
        <f>VLOOKUP(H139,Planilha1!B:C,2,0)</f>
        <v>165</v>
      </c>
    </row>
    <row r="140" spans="1:10" ht="15.75" hidden="1" customHeight="1" x14ac:dyDescent="0.15">
      <c r="A140" s="5" t="s">
        <v>196</v>
      </c>
      <c r="B140" s="4" t="s">
        <v>271</v>
      </c>
      <c r="C140" s="6">
        <v>46037</v>
      </c>
      <c r="D140" s="1" t="s">
        <v>271</v>
      </c>
      <c r="E140" s="1" t="s">
        <v>16</v>
      </c>
      <c r="F140" s="4">
        <v>-164.4</v>
      </c>
      <c r="G140" s="1" t="s">
        <v>466</v>
      </c>
      <c r="H140" s="1" t="s">
        <v>381</v>
      </c>
      <c r="I140" s="23" t="s">
        <v>66</v>
      </c>
      <c r="J140" s="25">
        <f>VLOOKUP(H140,Planilha1!B:C,2,0)</f>
        <v>217</v>
      </c>
    </row>
    <row r="141" spans="1:10" ht="15.75" hidden="1" customHeight="1" x14ac:dyDescent="0.15">
      <c r="A141" s="5" t="s">
        <v>328</v>
      </c>
      <c r="B141" s="4" t="s">
        <v>243</v>
      </c>
      <c r="C141" s="6">
        <v>46037</v>
      </c>
      <c r="D141" s="1" t="s">
        <v>243</v>
      </c>
      <c r="E141" s="1" t="s">
        <v>429</v>
      </c>
      <c r="F141" s="4">
        <v>2.62</v>
      </c>
      <c r="G141" s="1" t="s">
        <v>242</v>
      </c>
      <c r="H141" s="1" t="s">
        <v>197</v>
      </c>
      <c r="I141" s="23" t="s">
        <v>511</v>
      </c>
      <c r="J141" s="25">
        <f>VLOOKUP(H141,Planilha1!B:C,2,0)</f>
        <v>135</v>
      </c>
    </row>
    <row r="142" spans="1:10" ht="15.75" hidden="1" customHeight="1" x14ac:dyDescent="0.15">
      <c r="A142" s="5" t="s">
        <v>328</v>
      </c>
      <c r="B142" s="4" t="s">
        <v>130</v>
      </c>
      <c r="C142" s="6">
        <v>46037</v>
      </c>
      <c r="D142" s="1" t="s">
        <v>130</v>
      </c>
      <c r="E142" s="1" t="s">
        <v>105</v>
      </c>
      <c r="F142" s="7">
        <v>1881.47</v>
      </c>
      <c r="G142" s="1" t="s">
        <v>242</v>
      </c>
      <c r="H142" s="1" t="s">
        <v>428</v>
      </c>
      <c r="I142" s="23" t="s">
        <v>299</v>
      </c>
      <c r="J142" s="25" t="str">
        <f>VLOOKUP(H142,Planilha1!B:C,2,0)</f>
        <v>132 a 134</v>
      </c>
    </row>
    <row r="143" spans="1:10" ht="15.75" hidden="1" customHeight="1" x14ac:dyDescent="0.15">
      <c r="A143" s="5" t="s">
        <v>328</v>
      </c>
      <c r="B143" s="4" t="s">
        <v>454</v>
      </c>
      <c r="C143" s="6">
        <v>46037</v>
      </c>
      <c r="D143" s="1" t="s">
        <v>454</v>
      </c>
      <c r="E143" s="1" t="s">
        <v>105</v>
      </c>
      <c r="F143" s="4">
        <v>0.06</v>
      </c>
      <c r="G143" s="1" t="s">
        <v>242</v>
      </c>
      <c r="H143" s="1" t="s">
        <v>428</v>
      </c>
      <c r="I143" s="23" t="s">
        <v>299</v>
      </c>
      <c r="J143" s="25" t="str">
        <f>VLOOKUP(H143,Planilha1!B:C,2,0)</f>
        <v>132 a 134</v>
      </c>
    </row>
    <row r="144" spans="1:10" ht="15.75" hidden="1" customHeight="1" x14ac:dyDescent="0.15">
      <c r="A144" s="5" t="s">
        <v>328</v>
      </c>
      <c r="B144" s="4" t="s">
        <v>304</v>
      </c>
      <c r="C144" s="6">
        <v>46037</v>
      </c>
      <c r="D144" s="1" t="s">
        <v>304</v>
      </c>
      <c r="E144" s="1" t="s">
        <v>142</v>
      </c>
      <c r="F144" s="7">
        <v>1096.03</v>
      </c>
      <c r="G144" s="1" t="s">
        <v>242</v>
      </c>
      <c r="H144" s="1" t="s">
        <v>428</v>
      </c>
      <c r="I144" s="23" t="s">
        <v>299</v>
      </c>
      <c r="J144" s="25" t="str">
        <f>VLOOKUP(H144,Planilha1!B:C,2,0)</f>
        <v>132 a 134</v>
      </c>
    </row>
    <row r="145" spans="1:10" ht="15.75" hidden="1" customHeight="1" x14ac:dyDescent="0.15">
      <c r="A145" s="5" t="s">
        <v>196</v>
      </c>
      <c r="B145" s="4" t="s">
        <v>44</v>
      </c>
      <c r="C145" s="6">
        <v>46037</v>
      </c>
      <c r="D145" s="1" t="s">
        <v>44</v>
      </c>
      <c r="E145" s="1" t="s">
        <v>68</v>
      </c>
      <c r="F145" s="4">
        <v>-8.56</v>
      </c>
      <c r="G145" s="1" t="s">
        <v>242</v>
      </c>
      <c r="H145" s="1" t="s">
        <v>147</v>
      </c>
      <c r="I145" s="23" t="s">
        <v>511</v>
      </c>
      <c r="J145" s="25">
        <f>VLOOKUP(H145,Planilha1!B:C,2,0)</f>
        <v>252</v>
      </c>
    </row>
    <row r="146" spans="1:10" ht="15.75" hidden="1" customHeight="1" x14ac:dyDescent="0.15">
      <c r="A146" s="5" t="s">
        <v>196</v>
      </c>
      <c r="B146" s="4" t="s">
        <v>467</v>
      </c>
      <c r="C146" s="6">
        <v>46037</v>
      </c>
      <c r="D146" s="1" t="s">
        <v>467</v>
      </c>
      <c r="E146" s="1" t="s">
        <v>195</v>
      </c>
      <c r="F146" s="4">
        <v>-1.64</v>
      </c>
      <c r="G146" s="1" t="s">
        <v>242</v>
      </c>
      <c r="H146" s="1" t="s">
        <v>147</v>
      </c>
      <c r="I146" s="23" t="s">
        <v>511</v>
      </c>
      <c r="J146" s="25">
        <f>VLOOKUP(H146,Planilha1!B:C,2,0)</f>
        <v>252</v>
      </c>
    </row>
    <row r="147" spans="1:10" ht="15.75" hidden="1" customHeight="1" x14ac:dyDescent="0.15">
      <c r="A147" s="5" t="s">
        <v>196</v>
      </c>
      <c r="B147" s="4" t="s">
        <v>393</v>
      </c>
      <c r="C147" s="6">
        <v>46037</v>
      </c>
      <c r="D147" s="1" t="s">
        <v>393</v>
      </c>
      <c r="E147" s="1" t="s">
        <v>82</v>
      </c>
      <c r="F147" s="4">
        <v>-2.89</v>
      </c>
      <c r="G147" s="1" t="s">
        <v>242</v>
      </c>
      <c r="H147" s="1" t="s">
        <v>147</v>
      </c>
      <c r="I147" s="23" t="s">
        <v>511</v>
      </c>
      <c r="J147" s="25">
        <f>VLOOKUP(H147,Planilha1!B:C,2,0)</f>
        <v>252</v>
      </c>
    </row>
    <row r="148" spans="1:10" ht="15.75" hidden="1" customHeight="1" x14ac:dyDescent="0.15">
      <c r="A148" s="5" t="s">
        <v>196</v>
      </c>
      <c r="B148" s="4" t="s">
        <v>409</v>
      </c>
      <c r="C148" s="6">
        <v>46037</v>
      </c>
      <c r="D148" s="1" t="s">
        <v>409</v>
      </c>
      <c r="E148" s="1" t="s">
        <v>58</v>
      </c>
      <c r="F148" s="4">
        <v>-855.9</v>
      </c>
      <c r="G148" s="1" t="s">
        <v>466</v>
      </c>
      <c r="H148" s="1" t="s">
        <v>146</v>
      </c>
      <c r="I148" s="23" t="s">
        <v>103</v>
      </c>
      <c r="J148" s="25">
        <f>VLOOKUP(H148,Planilha1!B:C,2,0)</f>
        <v>164</v>
      </c>
    </row>
    <row r="149" spans="1:10" ht="15.75" hidden="1" customHeight="1" x14ac:dyDescent="0.15">
      <c r="A149" s="5" t="s">
        <v>196</v>
      </c>
      <c r="B149" s="4" t="s">
        <v>711</v>
      </c>
      <c r="C149" s="6">
        <v>46037</v>
      </c>
      <c r="D149" s="1" t="s">
        <v>711</v>
      </c>
      <c r="E149" s="1" t="s">
        <v>58</v>
      </c>
      <c r="F149" s="4">
        <v>-855</v>
      </c>
      <c r="G149" s="1" t="s">
        <v>466</v>
      </c>
      <c r="H149" s="1" t="s">
        <v>146</v>
      </c>
      <c r="I149" s="23" t="s">
        <v>103</v>
      </c>
      <c r="J149" s="25">
        <f>VLOOKUP(H149,Planilha1!B:C,2,0)</f>
        <v>164</v>
      </c>
    </row>
    <row r="150" spans="1:10" ht="15.75" hidden="1" customHeight="1" x14ac:dyDescent="0.15">
      <c r="A150" s="5" t="s">
        <v>196</v>
      </c>
      <c r="B150" s="4" t="s">
        <v>296</v>
      </c>
      <c r="C150" s="6">
        <v>46038</v>
      </c>
      <c r="D150" s="1" t="s">
        <v>296</v>
      </c>
      <c r="E150" s="1" t="s">
        <v>78</v>
      </c>
      <c r="F150" s="4">
        <v>-34.68</v>
      </c>
      <c r="G150" s="1" t="s">
        <v>242</v>
      </c>
      <c r="H150" s="1" t="s">
        <v>147</v>
      </c>
      <c r="I150" s="23" t="s">
        <v>511</v>
      </c>
      <c r="J150" s="25">
        <f>VLOOKUP(H150,Planilha1!B:C,2,0)</f>
        <v>252</v>
      </c>
    </row>
    <row r="151" spans="1:10" ht="15.75" hidden="1" customHeight="1" x14ac:dyDescent="0.15">
      <c r="A151" s="5" t="s">
        <v>196</v>
      </c>
      <c r="B151" s="4" t="s">
        <v>161</v>
      </c>
      <c r="C151" s="6">
        <v>46038</v>
      </c>
      <c r="D151" s="1" t="s">
        <v>161</v>
      </c>
      <c r="E151" s="1" t="s">
        <v>195</v>
      </c>
      <c r="F151" s="4">
        <v>-1.64</v>
      </c>
      <c r="G151" s="1" t="s">
        <v>242</v>
      </c>
      <c r="H151" s="1" t="s">
        <v>147</v>
      </c>
      <c r="I151" s="23" t="s">
        <v>511</v>
      </c>
      <c r="J151" s="25">
        <f>VLOOKUP(H151,Planilha1!B:C,2,0)</f>
        <v>252</v>
      </c>
    </row>
    <row r="152" spans="1:10" ht="15.75" hidden="1" customHeight="1" x14ac:dyDescent="0.15">
      <c r="A152" s="5" t="s">
        <v>196</v>
      </c>
      <c r="B152" s="4" t="s">
        <v>341</v>
      </c>
      <c r="C152" s="6">
        <v>46038</v>
      </c>
      <c r="D152" s="1" t="s">
        <v>341</v>
      </c>
      <c r="E152" s="1" t="s">
        <v>401</v>
      </c>
      <c r="F152" s="7">
        <v>-1200</v>
      </c>
      <c r="G152" s="1" t="s">
        <v>466</v>
      </c>
      <c r="H152" s="1" t="s">
        <v>223</v>
      </c>
      <c r="I152" s="23" t="s">
        <v>66</v>
      </c>
      <c r="J152" s="25">
        <f>VLOOKUP(H152,Planilha1!B:C,2,0)</f>
        <v>185</v>
      </c>
    </row>
    <row r="153" spans="1:10" ht="15.75" hidden="1" customHeight="1" x14ac:dyDescent="0.15">
      <c r="A153" s="5" t="s">
        <v>196</v>
      </c>
      <c r="B153" s="4" t="s">
        <v>337</v>
      </c>
      <c r="C153" s="6">
        <v>46038</v>
      </c>
      <c r="D153" s="1" t="s">
        <v>337</v>
      </c>
      <c r="E153" s="1" t="s">
        <v>104</v>
      </c>
      <c r="F153" s="7">
        <v>-3552.75</v>
      </c>
      <c r="G153" s="1" t="s">
        <v>466</v>
      </c>
      <c r="H153" s="1" t="s">
        <v>31</v>
      </c>
      <c r="I153" s="23" t="s">
        <v>42</v>
      </c>
      <c r="J153" s="25">
        <f>VLOOKUP(H153,Planilha1!B:C,2,0)</f>
        <v>219</v>
      </c>
    </row>
    <row r="154" spans="1:10" ht="15.75" hidden="1" customHeight="1" x14ac:dyDescent="0.15">
      <c r="A154" s="5" t="s">
        <v>196</v>
      </c>
      <c r="B154" s="4" t="s">
        <v>160</v>
      </c>
      <c r="C154" s="6">
        <v>46038</v>
      </c>
      <c r="D154" s="1" t="s">
        <v>160</v>
      </c>
      <c r="E154" s="1" t="s">
        <v>17</v>
      </c>
      <c r="F154" s="4">
        <v>-11.3</v>
      </c>
      <c r="G154" s="1" t="s">
        <v>466</v>
      </c>
      <c r="H154" s="1" t="s">
        <v>389</v>
      </c>
      <c r="I154" s="23" t="s">
        <v>42</v>
      </c>
      <c r="J154" s="25">
        <f>VLOOKUP(H154,Planilha1!B:C,2,0)</f>
        <v>238</v>
      </c>
    </row>
    <row r="155" spans="1:10" ht="15.75" hidden="1" customHeight="1" x14ac:dyDescent="0.15">
      <c r="A155" s="5" t="s">
        <v>196</v>
      </c>
      <c r="B155" s="4" t="s">
        <v>324</v>
      </c>
      <c r="C155" s="6">
        <v>46038</v>
      </c>
      <c r="D155" s="1" t="s">
        <v>324</v>
      </c>
      <c r="E155" s="1" t="s">
        <v>17</v>
      </c>
      <c r="F155" s="4">
        <v>-128.71</v>
      </c>
      <c r="G155" s="1" t="s">
        <v>466</v>
      </c>
      <c r="H155" s="1" t="s">
        <v>389</v>
      </c>
      <c r="I155" s="23" t="s">
        <v>103</v>
      </c>
      <c r="J155" s="25">
        <f>VLOOKUP(H155,Planilha1!B:C,2,0)</f>
        <v>238</v>
      </c>
    </row>
    <row r="156" spans="1:10" ht="15.75" hidden="1" customHeight="1" x14ac:dyDescent="0.15">
      <c r="A156" s="5" t="s">
        <v>196</v>
      </c>
      <c r="B156" s="4" t="s">
        <v>347</v>
      </c>
      <c r="C156" s="6">
        <v>46038</v>
      </c>
      <c r="D156" s="1" t="s">
        <v>347</v>
      </c>
      <c r="E156" s="1" t="s">
        <v>17</v>
      </c>
      <c r="F156" s="4">
        <v>-13.37</v>
      </c>
      <c r="G156" s="1" t="s">
        <v>466</v>
      </c>
      <c r="H156" s="1" t="s">
        <v>389</v>
      </c>
      <c r="I156" s="23" t="s">
        <v>103</v>
      </c>
      <c r="J156" s="25">
        <f>VLOOKUP(H156,Planilha1!B:C,2,0)</f>
        <v>238</v>
      </c>
    </row>
    <row r="157" spans="1:10" ht="15.75" hidden="1" customHeight="1" x14ac:dyDescent="0.15">
      <c r="A157" s="5" t="s">
        <v>196</v>
      </c>
      <c r="B157" s="4" t="s">
        <v>495</v>
      </c>
      <c r="C157" s="6">
        <v>46038</v>
      </c>
      <c r="D157" s="1" t="s">
        <v>495</v>
      </c>
      <c r="E157" s="1" t="s">
        <v>12</v>
      </c>
      <c r="F157" s="7">
        <v>-2435.88</v>
      </c>
      <c r="G157" s="1" t="s">
        <v>466</v>
      </c>
      <c r="H157" s="1" t="s">
        <v>194</v>
      </c>
      <c r="I157" s="23" t="s">
        <v>219</v>
      </c>
      <c r="J157" s="25">
        <f>VLOOKUP(H157,Planilha1!B:C,2,0)</f>
        <v>80</v>
      </c>
    </row>
    <row r="158" spans="1:10" ht="15.75" hidden="1" customHeight="1" x14ac:dyDescent="0.15">
      <c r="A158" s="5" t="s">
        <v>196</v>
      </c>
      <c r="B158" s="4" t="s">
        <v>81</v>
      </c>
      <c r="C158" s="6">
        <v>46038</v>
      </c>
      <c r="D158" s="1" t="s">
        <v>81</v>
      </c>
      <c r="E158" s="1" t="s">
        <v>477</v>
      </c>
      <c r="F158" s="7">
        <v>-9620</v>
      </c>
      <c r="G158" s="1" t="s">
        <v>466</v>
      </c>
      <c r="H158" s="1" t="s">
        <v>472</v>
      </c>
      <c r="I158" s="23" t="s">
        <v>326</v>
      </c>
      <c r="J158" s="25">
        <f>VLOOKUP(H158,Planilha1!B:C,2,0)</f>
        <v>80</v>
      </c>
    </row>
    <row r="159" spans="1:10" ht="15.75" hidden="1" customHeight="1" x14ac:dyDescent="0.15">
      <c r="A159" s="5" t="s">
        <v>196</v>
      </c>
      <c r="B159" s="4" t="s">
        <v>426</v>
      </c>
      <c r="C159" s="6">
        <v>46038</v>
      </c>
      <c r="D159" s="1" t="s">
        <v>426</v>
      </c>
      <c r="E159" s="1" t="s">
        <v>114</v>
      </c>
      <c r="F159" s="7">
        <v>-7929.72</v>
      </c>
      <c r="G159" s="1" t="s">
        <v>466</v>
      </c>
      <c r="H159" s="1" t="s">
        <v>472</v>
      </c>
      <c r="I159" s="23" t="s">
        <v>326</v>
      </c>
      <c r="J159" s="25">
        <f>VLOOKUP(H159,Planilha1!B:C,2,0)</f>
        <v>80</v>
      </c>
    </row>
    <row r="160" spans="1:10" ht="15.75" hidden="1" customHeight="1" x14ac:dyDescent="0.15">
      <c r="A160" s="5" t="s">
        <v>196</v>
      </c>
      <c r="B160" s="4" t="s">
        <v>516</v>
      </c>
      <c r="C160" s="6">
        <v>46038</v>
      </c>
      <c r="D160" s="1" t="s">
        <v>516</v>
      </c>
      <c r="E160" s="1" t="s">
        <v>477</v>
      </c>
      <c r="F160" s="4">
        <v>-153.91999999999999</v>
      </c>
      <c r="G160" s="1" t="s">
        <v>466</v>
      </c>
      <c r="H160" s="1" t="s">
        <v>472</v>
      </c>
      <c r="I160" s="23" t="s">
        <v>326</v>
      </c>
      <c r="J160" s="25">
        <f>VLOOKUP(H160,Planilha1!B:C,2,0)</f>
        <v>80</v>
      </c>
    </row>
    <row r="161" spans="1:10" ht="15.75" hidden="1" customHeight="1" x14ac:dyDescent="0.15">
      <c r="A161" s="5" t="s">
        <v>328</v>
      </c>
      <c r="B161" s="4" t="s">
        <v>473</v>
      </c>
      <c r="C161" s="6">
        <v>46038</v>
      </c>
      <c r="D161" s="1" t="s">
        <v>473</v>
      </c>
      <c r="E161" s="1" t="s">
        <v>338</v>
      </c>
      <c r="F161" s="4">
        <v>36.93</v>
      </c>
      <c r="G161" s="1" t="s">
        <v>242</v>
      </c>
      <c r="H161" s="1" t="s">
        <v>428</v>
      </c>
      <c r="I161" s="23" t="s">
        <v>299</v>
      </c>
      <c r="J161" s="25" t="str">
        <f>VLOOKUP(H161,Planilha1!B:C,2,0)</f>
        <v>132 a 134</v>
      </c>
    </row>
    <row r="162" spans="1:10" ht="15.75" hidden="1" customHeight="1" x14ac:dyDescent="0.15">
      <c r="A162" s="5" t="s">
        <v>328</v>
      </c>
      <c r="B162" s="4" t="s">
        <v>93</v>
      </c>
      <c r="C162" s="6">
        <v>46038</v>
      </c>
      <c r="D162" s="1" t="s">
        <v>93</v>
      </c>
      <c r="E162" s="1" t="s">
        <v>429</v>
      </c>
      <c r="F162" s="4">
        <v>2.25</v>
      </c>
      <c r="G162" s="1" t="s">
        <v>242</v>
      </c>
      <c r="H162" s="1" t="s">
        <v>197</v>
      </c>
      <c r="I162" s="23" t="s">
        <v>511</v>
      </c>
      <c r="J162" s="25">
        <f>VLOOKUP(H162,Planilha1!B:C,2,0)</f>
        <v>135</v>
      </c>
    </row>
    <row r="163" spans="1:10" ht="15.75" hidden="1" customHeight="1" x14ac:dyDescent="0.15">
      <c r="A163" s="5" t="s">
        <v>328</v>
      </c>
      <c r="B163" s="4" t="s">
        <v>411</v>
      </c>
      <c r="C163" s="6">
        <v>46041</v>
      </c>
      <c r="D163" s="1" t="s">
        <v>411</v>
      </c>
      <c r="E163" s="1" t="s">
        <v>132</v>
      </c>
      <c r="F163" s="7">
        <v>46202.09</v>
      </c>
      <c r="G163" s="1" t="s">
        <v>242</v>
      </c>
      <c r="H163" s="1" t="s">
        <v>8</v>
      </c>
      <c r="I163" s="23" t="s">
        <v>364</v>
      </c>
      <c r="J163" s="25">
        <f>VLOOKUP(H163,Planilha1!B:C,2,0)</f>
        <v>0</v>
      </c>
    </row>
    <row r="164" spans="1:10" ht="15.75" hidden="1" customHeight="1" x14ac:dyDescent="0.15">
      <c r="A164" s="5" t="s">
        <v>328</v>
      </c>
      <c r="B164" s="4" t="s">
        <v>386</v>
      </c>
      <c r="C164" s="6">
        <v>46041</v>
      </c>
      <c r="D164" s="1" t="s">
        <v>386</v>
      </c>
      <c r="E164" s="1" t="s">
        <v>281</v>
      </c>
      <c r="F164" s="7">
        <v>1299</v>
      </c>
      <c r="G164" s="1" t="s">
        <v>242</v>
      </c>
      <c r="H164" s="1" t="s">
        <v>428</v>
      </c>
      <c r="I164" s="23" t="s">
        <v>299</v>
      </c>
      <c r="J164" s="25" t="str">
        <f>VLOOKUP(H164,Planilha1!B:C,2,0)</f>
        <v>132 a 134</v>
      </c>
    </row>
    <row r="165" spans="1:10" ht="15.75" hidden="1" customHeight="1" x14ac:dyDescent="0.15">
      <c r="A165" s="5" t="s">
        <v>328</v>
      </c>
      <c r="B165" s="4" t="s">
        <v>94</v>
      </c>
      <c r="C165" s="6">
        <v>46041</v>
      </c>
      <c r="D165" s="1" t="s">
        <v>94</v>
      </c>
      <c r="E165" s="1" t="s">
        <v>180</v>
      </c>
      <c r="F165" s="7">
        <v>28125</v>
      </c>
      <c r="G165" s="1" t="s">
        <v>242</v>
      </c>
      <c r="H165" s="1" t="s">
        <v>428</v>
      </c>
      <c r="I165" s="23" t="s">
        <v>299</v>
      </c>
      <c r="J165" s="25" t="str">
        <f>VLOOKUP(H165,Planilha1!B:C,2,0)</f>
        <v>132 a 134</v>
      </c>
    </row>
    <row r="166" spans="1:10" ht="15.75" hidden="1" customHeight="1" x14ac:dyDescent="0.15">
      <c r="A166" s="5" t="s">
        <v>196</v>
      </c>
      <c r="B166" s="4" t="s">
        <v>54</v>
      </c>
      <c r="C166" s="6">
        <v>46041</v>
      </c>
      <c r="D166" s="1" t="s">
        <v>54</v>
      </c>
      <c r="E166" s="1" t="s">
        <v>465</v>
      </c>
      <c r="F166" s="4">
        <v>-30.26</v>
      </c>
      <c r="G166" s="1" t="s">
        <v>466</v>
      </c>
      <c r="H166" s="1" t="s">
        <v>185</v>
      </c>
      <c r="I166" s="23" t="s">
        <v>42</v>
      </c>
      <c r="J166" s="25">
        <f>VLOOKUP(H166,Planilha1!B:C,2,0)</f>
        <v>229</v>
      </c>
    </row>
    <row r="167" spans="1:10" ht="15.75" hidden="1" customHeight="1" x14ac:dyDescent="0.15">
      <c r="A167" s="5" t="s">
        <v>196</v>
      </c>
      <c r="B167" s="4" t="s">
        <v>290</v>
      </c>
      <c r="C167" s="6">
        <v>46041</v>
      </c>
      <c r="D167" s="1" t="s">
        <v>290</v>
      </c>
      <c r="E167" s="1" t="s">
        <v>432</v>
      </c>
      <c r="F167" s="7">
        <v>-1606.62</v>
      </c>
      <c r="G167" s="1" t="s">
        <v>466</v>
      </c>
      <c r="H167" s="1" t="s">
        <v>194</v>
      </c>
      <c r="I167" s="23" t="s">
        <v>219</v>
      </c>
      <c r="J167" s="25">
        <f>VLOOKUP(H167,Planilha1!B:C,2,0)</f>
        <v>80</v>
      </c>
    </row>
    <row r="168" spans="1:10" ht="15.75" hidden="1" customHeight="1" x14ac:dyDescent="0.15">
      <c r="A168" s="5" t="s">
        <v>196</v>
      </c>
      <c r="B168" s="4" t="s">
        <v>201</v>
      </c>
      <c r="C168" s="6">
        <v>46041</v>
      </c>
      <c r="D168" s="1" t="s">
        <v>201</v>
      </c>
      <c r="E168" s="1" t="s">
        <v>318</v>
      </c>
      <c r="F168" s="7">
        <v>-1212.75</v>
      </c>
      <c r="G168" s="1" t="s">
        <v>466</v>
      </c>
      <c r="H168" s="1" t="s">
        <v>285</v>
      </c>
      <c r="I168" s="23" t="s">
        <v>219</v>
      </c>
      <c r="J168" s="25">
        <f>VLOOKUP(H168,Planilha1!B:C,2,0)</f>
        <v>247</v>
      </c>
    </row>
    <row r="169" spans="1:10" ht="15.75" hidden="1" customHeight="1" x14ac:dyDescent="0.15">
      <c r="A169" s="5" t="s">
        <v>196</v>
      </c>
      <c r="B169" s="4" t="s">
        <v>72</v>
      </c>
      <c r="C169" s="6">
        <v>46041</v>
      </c>
      <c r="D169" s="1" t="s">
        <v>72</v>
      </c>
      <c r="E169" s="1" t="s">
        <v>17</v>
      </c>
      <c r="F169" s="4">
        <v>-14.37</v>
      </c>
      <c r="G169" s="1" t="s">
        <v>466</v>
      </c>
      <c r="H169" s="1" t="s">
        <v>389</v>
      </c>
      <c r="I169" s="23" t="s">
        <v>42</v>
      </c>
      <c r="J169" s="25">
        <f>VLOOKUP(H169,Planilha1!B:C,2,0)</f>
        <v>238</v>
      </c>
    </row>
    <row r="170" spans="1:10" ht="15.75" hidden="1" customHeight="1" x14ac:dyDescent="0.15">
      <c r="A170" s="5" t="s">
        <v>196</v>
      </c>
      <c r="B170" s="4" t="s">
        <v>485</v>
      </c>
      <c r="C170" s="6">
        <v>46041</v>
      </c>
      <c r="D170" s="1" t="s">
        <v>485</v>
      </c>
      <c r="E170" s="1" t="s">
        <v>432</v>
      </c>
      <c r="F170" s="4">
        <v>-751.5</v>
      </c>
      <c r="G170" s="1" t="s">
        <v>466</v>
      </c>
      <c r="H170" s="1" t="s">
        <v>194</v>
      </c>
      <c r="I170" s="23" t="s">
        <v>219</v>
      </c>
      <c r="J170" s="25">
        <f>VLOOKUP(H170,Planilha1!B:C,2,0)</f>
        <v>80</v>
      </c>
    </row>
    <row r="171" spans="1:10" ht="15.75" hidden="1" customHeight="1" x14ac:dyDescent="0.15">
      <c r="A171" s="5" t="s">
        <v>196</v>
      </c>
      <c r="B171" s="4" t="s">
        <v>540</v>
      </c>
      <c r="C171" s="6">
        <v>46041</v>
      </c>
      <c r="D171" s="1" t="s">
        <v>540</v>
      </c>
      <c r="E171" s="1" t="s">
        <v>129</v>
      </c>
      <c r="F171" s="7">
        <v>-1758.6</v>
      </c>
      <c r="G171" s="1" t="s">
        <v>466</v>
      </c>
      <c r="H171" s="1" t="s">
        <v>194</v>
      </c>
      <c r="I171" s="23" t="s">
        <v>219</v>
      </c>
      <c r="J171" s="25">
        <f>VLOOKUP(H171,Planilha1!B:C,2,0)</f>
        <v>80</v>
      </c>
    </row>
    <row r="172" spans="1:10" ht="15.75" hidden="1" customHeight="1" x14ac:dyDescent="0.15">
      <c r="A172" s="5" t="s">
        <v>196</v>
      </c>
      <c r="B172" s="4" t="s">
        <v>57</v>
      </c>
      <c r="C172" s="6">
        <v>46041</v>
      </c>
      <c r="D172" s="1" t="s">
        <v>57</v>
      </c>
      <c r="E172" s="1" t="s">
        <v>321</v>
      </c>
      <c r="F172" s="4">
        <v>-42.85</v>
      </c>
      <c r="G172" s="1" t="s">
        <v>466</v>
      </c>
      <c r="H172" s="1" t="s">
        <v>194</v>
      </c>
      <c r="I172" s="23" t="s">
        <v>219</v>
      </c>
      <c r="J172" s="25">
        <f>VLOOKUP(H172,Planilha1!B:C,2,0)</f>
        <v>80</v>
      </c>
    </row>
    <row r="173" spans="1:10" ht="15.75" hidden="1" customHeight="1" x14ac:dyDescent="0.15">
      <c r="A173" s="5" t="s">
        <v>196</v>
      </c>
      <c r="B173" s="4" t="s">
        <v>446</v>
      </c>
      <c r="C173" s="6">
        <v>46041</v>
      </c>
      <c r="D173" s="1" t="s">
        <v>446</v>
      </c>
      <c r="E173" s="1" t="s">
        <v>9</v>
      </c>
      <c r="F173" s="4">
        <v>-933</v>
      </c>
      <c r="G173" s="1" t="s">
        <v>466</v>
      </c>
      <c r="H173" s="1" t="s">
        <v>194</v>
      </c>
      <c r="I173" s="23" t="s">
        <v>219</v>
      </c>
      <c r="J173" s="25">
        <f>VLOOKUP(H173,Planilha1!B:C,2,0)</f>
        <v>80</v>
      </c>
    </row>
    <row r="174" spans="1:10" ht="15.75" hidden="1" customHeight="1" x14ac:dyDescent="0.15">
      <c r="A174" s="5" t="s">
        <v>196</v>
      </c>
      <c r="B174" s="4" t="s">
        <v>288</v>
      </c>
      <c r="C174" s="6">
        <v>46041</v>
      </c>
      <c r="D174" s="1" t="s">
        <v>288</v>
      </c>
      <c r="E174" s="1" t="s">
        <v>12</v>
      </c>
      <c r="F174" s="4">
        <v>-839.23</v>
      </c>
      <c r="G174" s="1" t="s">
        <v>466</v>
      </c>
      <c r="H174" s="1" t="s">
        <v>472</v>
      </c>
      <c r="I174" s="23" t="s">
        <v>326</v>
      </c>
      <c r="J174" s="25">
        <f>VLOOKUP(H174,Planilha1!B:C,2,0)</f>
        <v>80</v>
      </c>
    </row>
    <row r="175" spans="1:10" ht="15.75" hidden="1" customHeight="1" x14ac:dyDescent="0.15">
      <c r="A175" s="5" t="s">
        <v>196</v>
      </c>
      <c r="B175" s="4" t="s">
        <v>518</v>
      </c>
      <c r="C175" s="6">
        <v>46041</v>
      </c>
      <c r="D175" s="1" t="s">
        <v>518</v>
      </c>
      <c r="E175" s="1" t="s">
        <v>78</v>
      </c>
      <c r="F175" s="4">
        <v>-5.78</v>
      </c>
      <c r="G175" s="1" t="s">
        <v>242</v>
      </c>
      <c r="H175" s="1" t="s">
        <v>147</v>
      </c>
      <c r="I175" s="23" t="s">
        <v>511</v>
      </c>
      <c r="J175" s="25">
        <f>VLOOKUP(H175,Planilha1!B:C,2,0)</f>
        <v>252</v>
      </c>
    </row>
    <row r="176" spans="1:10" ht="15.75" hidden="1" customHeight="1" x14ac:dyDescent="0.15">
      <c r="A176" s="5" t="s">
        <v>196</v>
      </c>
      <c r="B176" s="4" t="s">
        <v>152</v>
      </c>
      <c r="C176" s="6">
        <v>46042</v>
      </c>
      <c r="D176" s="1" t="s">
        <v>152</v>
      </c>
      <c r="E176" s="1" t="s">
        <v>78</v>
      </c>
      <c r="F176" s="4">
        <v>-5.78</v>
      </c>
      <c r="G176" s="1" t="s">
        <v>242</v>
      </c>
      <c r="H176" s="1" t="s">
        <v>147</v>
      </c>
      <c r="I176" s="23" t="s">
        <v>511</v>
      </c>
      <c r="J176" s="25">
        <f>VLOOKUP(H176,Planilha1!B:C,2,0)</f>
        <v>252</v>
      </c>
    </row>
    <row r="177" spans="1:10" ht="15.75" hidden="1" customHeight="1" x14ac:dyDescent="0.15">
      <c r="A177" s="5" t="s">
        <v>196</v>
      </c>
      <c r="B177" s="4" t="s">
        <v>320</v>
      </c>
      <c r="C177" s="6">
        <v>46042</v>
      </c>
      <c r="D177" s="1" t="s">
        <v>320</v>
      </c>
      <c r="E177" s="1" t="s">
        <v>195</v>
      </c>
      <c r="F177" s="4">
        <v>-3.28</v>
      </c>
      <c r="G177" s="1" t="s">
        <v>242</v>
      </c>
      <c r="H177" s="1" t="s">
        <v>147</v>
      </c>
      <c r="I177" s="23" t="s">
        <v>511</v>
      </c>
      <c r="J177" s="25">
        <f>VLOOKUP(H177,Planilha1!B:C,2,0)</f>
        <v>252</v>
      </c>
    </row>
    <row r="178" spans="1:10" ht="15.75" hidden="1" customHeight="1" x14ac:dyDescent="0.15">
      <c r="A178" s="5" t="s">
        <v>196</v>
      </c>
      <c r="B178" s="4" t="s">
        <v>88</v>
      </c>
      <c r="C178" s="6">
        <v>46042</v>
      </c>
      <c r="D178" s="1" t="s">
        <v>88</v>
      </c>
      <c r="E178" s="1" t="s">
        <v>68</v>
      </c>
      <c r="F178" s="4">
        <v>-4.28</v>
      </c>
      <c r="G178" s="1" t="s">
        <v>242</v>
      </c>
      <c r="H178" s="1" t="s">
        <v>147</v>
      </c>
      <c r="I178" s="23" t="s">
        <v>511</v>
      </c>
      <c r="J178" s="25">
        <f>VLOOKUP(H178,Planilha1!B:C,2,0)</f>
        <v>252</v>
      </c>
    </row>
    <row r="179" spans="1:10" ht="15.75" hidden="1" customHeight="1" x14ac:dyDescent="0.15">
      <c r="A179" s="5" t="s">
        <v>196</v>
      </c>
      <c r="B179" s="4" t="s">
        <v>399</v>
      </c>
      <c r="C179" s="6">
        <v>46042</v>
      </c>
      <c r="D179" s="1" t="s">
        <v>399</v>
      </c>
      <c r="E179" s="1" t="s">
        <v>457</v>
      </c>
      <c r="F179" s="4">
        <v>-341.69</v>
      </c>
      <c r="G179" s="1" t="s">
        <v>466</v>
      </c>
      <c r="H179" s="1" t="s">
        <v>28</v>
      </c>
      <c r="I179" s="23" t="s">
        <v>109</v>
      </c>
      <c r="J179" s="25" t="str">
        <f>VLOOKUP(H179,Planilha1!B:C,2,0)</f>
        <v>180 a 192</v>
      </c>
    </row>
    <row r="180" spans="1:10" ht="15.75" hidden="1" customHeight="1" x14ac:dyDescent="0.15">
      <c r="A180" s="5" t="s">
        <v>196</v>
      </c>
      <c r="B180" s="4" t="s">
        <v>145</v>
      </c>
      <c r="C180" s="6">
        <v>46042</v>
      </c>
      <c r="D180" s="1" t="s">
        <v>145</v>
      </c>
      <c r="E180" s="1" t="s">
        <v>360</v>
      </c>
      <c r="F180" s="7">
        <v>-4472.8500000000004</v>
      </c>
      <c r="G180" s="1" t="s">
        <v>466</v>
      </c>
      <c r="H180" s="1" t="s">
        <v>493</v>
      </c>
      <c r="I180" s="23" t="s">
        <v>109</v>
      </c>
      <c r="J180" s="25">
        <f>VLOOKUP(H180,Planilha1!B:C,2,0)</f>
        <v>62</v>
      </c>
    </row>
    <row r="181" spans="1:10" ht="15.75" hidden="1" customHeight="1" x14ac:dyDescent="0.15">
      <c r="A181" s="5" t="s">
        <v>196</v>
      </c>
      <c r="B181" s="4" t="s">
        <v>121</v>
      </c>
      <c r="C181" s="6">
        <v>46042</v>
      </c>
      <c r="D181" s="1" t="s">
        <v>121</v>
      </c>
      <c r="E181" s="1" t="s">
        <v>360</v>
      </c>
      <c r="F181" s="7">
        <v>-2545.71</v>
      </c>
      <c r="G181" s="1" t="s">
        <v>466</v>
      </c>
      <c r="H181" s="1" t="s">
        <v>25</v>
      </c>
      <c r="I181" s="23" t="s">
        <v>109</v>
      </c>
      <c r="J181" s="25">
        <f>VLOOKUP(H181,Planilha1!B:C,2,0)</f>
        <v>67</v>
      </c>
    </row>
    <row r="182" spans="1:10" ht="15.75" hidden="1" customHeight="1" x14ac:dyDescent="0.15">
      <c r="A182" s="5" t="s">
        <v>196</v>
      </c>
      <c r="B182" s="4" t="s">
        <v>490</v>
      </c>
      <c r="C182" s="6">
        <v>46042</v>
      </c>
      <c r="D182" s="1" t="s">
        <v>490</v>
      </c>
      <c r="E182" s="1" t="s">
        <v>455</v>
      </c>
      <c r="F182" s="4">
        <v>-991.9</v>
      </c>
      <c r="G182" s="1" t="s">
        <v>466</v>
      </c>
      <c r="H182" s="1" t="s">
        <v>80</v>
      </c>
      <c r="I182" s="23" t="s">
        <v>109</v>
      </c>
      <c r="J182" s="25">
        <f>VLOOKUP(H182,Planilha1!B:C,2,0)</f>
        <v>196</v>
      </c>
    </row>
    <row r="183" spans="1:10" ht="15.75" hidden="1" customHeight="1" x14ac:dyDescent="0.15">
      <c r="A183" s="5" t="s">
        <v>196</v>
      </c>
      <c r="B183" s="4" t="s">
        <v>153</v>
      </c>
      <c r="C183" s="6">
        <v>46042</v>
      </c>
      <c r="D183" s="1" t="s">
        <v>153</v>
      </c>
      <c r="E183" s="1" t="s">
        <v>1</v>
      </c>
      <c r="F183" s="7">
        <v>-44613.59</v>
      </c>
      <c r="G183" s="1" t="s">
        <v>466</v>
      </c>
      <c r="H183" s="1" t="s">
        <v>331</v>
      </c>
      <c r="I183" s="23" t="s">
        <v>42</v>
      </c>
      <c r="J183" s="25">
        <f>VLOOKUP(H183,Planilha1!B:C,2,0)</f>
        <v>207</v>
      </c>
    </row>
    <row r="184" spans="1:10" ht="15.75" hidden="1" customHeight="1" x14ac:dyDescent="0.15">
      <c r="A184" s="5" t="s">
        <v>196</v>
      </c>
      <c r="B184" s="4" t="s">
        <v>536</v>
      </c>
      <c r="C184" s="6">
        <v>46042</v>
      </c>
      <c r="D184" s="1" t="s">
        <v>536</v>
      </c>
      <c r="E184" s="1" t="s">
        <v>541</v>
      </c>
      <c r="F184" s="4">
        <v>-114.07</v>
      </c>
      <c r="G184" s="1" t="s">
        <v>466</v>
      </c>
      <c r="H184" s="1" t="s">
        <v>530</v>
      </c>
      <c r="I184" s="23" t="s">
        <v>219</v>
      </c>
      <c r="J184" s="25">
        <f>VLOOKUP(H184,Planilha1!B:C,2,0)</f>
        <v>710</v>
      </c>
    </row>
    <row r="185" spans="1:10" ht="15.75" hidden="1" customHeight="1" x14ac:dyDescent="0.15">
      <c r="A185" s="5" t="s">
        <v>196</v>
      </c>
      <c r="B185" s="4" t="s">
        <v>112</v>
      </c>
      <c r="C185" s="6">
        <v>46042</v>
      </c>
      <c r="D185" s="1" t="s">
        <v>112</v>
      </c>
      <c r="E185" s="1" t="s">
        <v>541</v>
      </c>
      <c r="F185" s="4">
        <v>-329.42</v>
      </c>
      <c r="G185" s="1" t="s">
        <v>466</v>
      </c>
      <c r="H185" s="1" t="s">
        <v>530</v>
      </c>
      <c r="I185" s="23" t="s">
        <v>219</v>
      </c>
      <c r="J185" s="25">
        <f>VLOOKUP(H185,Planilha1!B:C,2,0)</f>
        <v>710</v>
      </c>
    </row>
    <row r="186" spans="1:10" ht="15.75" hidden="1" customHeight="1" x14ac:dyDescent="0.15">
      <c r="A186" s="5" t="s">
        <v>196</v>
      </c>
      <c r="B186" s="4" t="s">
        <v>224</v>
      </c>
      <c r="C186" s="6">
        <v>46042</v>
      </c>
      <c r="D186" s="1" t="s">
        <v>224</v>
      </c>
      <c r="E186" s="1" t="s">
        <v>522</v>
      </c>
      <c r="F186" s="4">
        <v>-104.77</v>
      </c>
      <c r="G186" s="1" t="s">
        <v>466</v>
      </c>
      <c r="H186" s="1" t="s">
        <v>126</v>
      </c>
      <c r="I186" s="23" t="s">
        <v>42</v>
      </c>
      <c r="J186" s="25">
        <f>VLOOKUP(H186,Planilha1!B:C,2,0)</f>
        <v>193</v>
      </c>
    </row>
    <row r="187" spans="1:10" ht="15.75" hidden="1" customHeight="1" x14ac:dyDescent="0.15">
      <c r="A187" s="5" t="s">
        <v>196</v>
      </c>
      <c r="B187" s="4" t="s">
        <v>300</v>
      </c>
      <c r="C187" s="6">
        <v>46042</v>
      </c>
      <c r="D187" s="1" t="s">
        <v>300</v>
      </c>
      <c r="E187" s="1" t="s">
        <v>333</v>
      </c>
      <c r="F187" s="4">
        <v>-482</v>
      </c>
      <c r="G187" s="1" t="s">
        <v>466</v>
      </c>
      <c r="H187" s="1" t="s">
        <v>530</v>
      </c>
      <c r="I187" s="23" t="s">
        <v>219</v>
      </c>
      <c r="J187" s="25">
        <f>VLOOKUP(H187,Planilha1!B:C,2,0)</f>
        <v>710</v>
      </c>
    </row>
    <row r="188" spans="1:10" ht="15.75" hidden="1" customHeight="1" x14ac:dyDescent="0.15">
      <c r="A188" s="5" t="s">
        <v>328</v>
      </c>
      <c r="B188" s="4" t="s">
        <v>5</v>
      </c>
      <c r="C188" s="6">
        <v>46042</v>
      </c>
      <c r="D188" s="1" t="s">
        <v>5</v>
      </c>
      <c r="E188" s="1" t="s">
        <v>142</v>
      </c>
      <c r="F188" s="7">
        <v>2447.8000000000002</v>
      </c>
      <c r="G188" s="1" t="s">
        <v>242</v>
      </c>
      <c r="H188" s="1" t="s">
        <v>428</v>
      </c>
      <c r="I188" s="23" t="s">
        <v>299</v>
      </c>
      <c r="J188" s="25" t="str">
        <f>VLOOKUP(H188,Planilha1!B:C,2,0)</f>
        <v>132 a 134</v>
      </c>
    </row>
    <row r="189" spans="1:10" ht="15.75" hidden="1" customHeight="1" x14ac:dyDescent="0.15">
      <c r="A189" s="5" t="s">
        <v>328</v>
      </c>
      <c r="B189" s="4" t="s">
        <v>463</v>
      </c>
      <c r="C189" s="6">
        <v>46042</v>
      </c>
      <c r="D189" s="1" t="s">
        <v>463</v>
      </c>
      <c r="E189" s="1" t="s">
        <v>549</v>
      </c>
      <c r="F189" s="7">
        <v>6126.07</v>
      </c>
      <c r="G189" s="1" t="s">
        <v>242</v>
      </c>
      <c r="H189" s="1" t="s">
        <v>428</v>
      </c>
      <c r="I189" s="23" t="s">
        <v>299</v>
      </c>
      <c r="J189" s="25" t="str">
        <f>VLOOKUP(H189,Planilha1!B:C,2,0)</f>
        <v>132 a 134</v>
      </c>
    </row>
    <row r="190" spans="1:10" ht="15.75" hidden="1" customHeight="1" x14ac:dyDescent="0.15">
      <c r="A190" s="5" t="s">
        <v>328</v>
      </c>
      <c r="B190" s="4" t="s">
        <v>158</v>
      </c>
      <c r="C190" s="6">
        <v>46042</v>
      </c>
      <c r="D190" s="1" t="s">
        <v>158</v>
      </c>
      <c r="E190" s="1" t="s">
        <v>101</v>
      </c>
      <c r="F190" s="7">
        <v>91191.05</v>
      </c>
      <c r="G190" s="1" t="s">
        <v>242</v>
      </c>
      <c r="H190" s="1" t="s">
        <v>8</v>
      </c>
      <c r="I190" s="23" t="s">
        <v>364</v>
      </c>
      <c r="J190" s="25">
        <f>VLOOKUP(H190,Planilha1!B:C,2,0)</f>
        <v>0</v>
      </c>
    </row>
    <row r="191" spans="1:10" ht="15.75" hidden="1" customHeight="1" x14ac:dyDescent="0.15">
      <c r="A191" s="5" t="s">
        <v>328</v>
      </c>
      <c r="B191" s="4" t="s">
        <v>91</v>
      </c>
      <c r="C191" s="6">
        <v>46043</v>
      </c>
      <c r="D191" s="1" t="s">
        <v>91</v>
      </c>
      <c r="E191" s="1" t="s">
        <v>549</v>
      </c>
      <c r="F191" s="7">
        <v>5158.9799999999996</v>
      </c>
      <c r="G191" s="1" t="s">
        <v>242</v>
      </c>
      <c r="H191" s="1" t="s">
        <v>428</v>
      </c>
      <c r="I191" s="23" t="s">
        <v>299</v>
      </c>
      <c r="J191" s="25" t="str">
        <f>VLOOKUP(H191,Planilha1!B:C,2,0)</f>
        <v>132 a 134</v>
      </c>
    </row>
    <row r="192" spans="1:10" ht="15.75" hidden="1" customHeight="1" x14ac:dyDescent="0.15">
      <c r="A192" s="5" t="s">
        <v>328</v>
      </c>
      <c r="B192" s="4" t="s">
        <v>308</v>
      </c>
      <c r="C192" s="6">
        <v>46043</v>
      </c>
      <c r="D192" s="1" t="s">
        <v>308</v>
      </c>
      <c r="E192" s="1" t="s">
        <v>429</v>
      </c>
      <c r="F192" s="4">
        <v>9.93</v>
      </c>
      <c r="G192" s="1" t="s">
        <v>242</v>
      </c>
      <c r="H192" s="1" t="s">
        <v>197</v>
      </c>
      <c r="I192" s="23" t="s">
        <v>511</v>
      </c>
      <c r="J192" s="25">
        <f>VLOOKUP(H192,Planilha1!B:C,2,0)</f>
        <v>135</v>
      </c>
    </row>
    <row r="193" spans="1:10" ht="15.75" hidden="1" customHeight="1" x14ac:dyDescent="0.15">
      <c r="A193" s="5" t="s">
        <v>196</v>
      </c>
      <c r="B193" s="4" t="s">
        <v>73</v>
      </c>
      <c r="C193" s="6">
        <v>46043</v>
      </c>
      <c r="D193" s="1" t="s">
        <v>73</v>
      </c>
      <c r="E193" s="1" t="s">
        <v>514</v>
      </c>
      <c r="F193" s="4">
        <v>-6.17</v>
      </c>
      <c r="G193" s="1" t="s">
        <v>466</v>
      </c>
      <c r="H193" s="1" t="s">
        <v>77</v>
      </c>
      <c r="I193" s="23" t="s">
        <v>109</v>
      </c>
      <c r="J193" s="25">
        <f>VLOOKUP(H193,Planilha1!B:C,2,0)</f>
        <v>225</v>
      </c>
    </row>
    <row r="194" spans="1:10" ht="15.75" hidden="1" customHeight="1" x14ac:dyDescent="0.15">
      <c r="A194" s="5" t="s">
        <v>196</v>
      </c>
      <c r="B194" s="4" t="s">
        <v>143</v>
      </c>
      <c r="C194" s="6">
        <v>46043</v>
      </c>
      <c r="D194" s="1" t="s">
        <v>143</v>
      </c>
      <c r="E194" s="1" t="s">
        <v>351</v>
      </c>
      <c r="F194" s="7">
        <v>-43013.75</v>
      </c>
      <c r="G194" s="1" t="s">
        <v>466</v>
      </c>
      <c r="H194" s="1" t="s">
        <v>462</v>
      </c>
      <c r="I194" s="23" t="s">
        <v>348</v>
      </c>
      <c r="J194" s="25">
        <f>VLOOKUP(H194,Planilha1!B:C,2,0)</f>
        <v>245</v>
      </c>
    </row>
    <row r="195" spans="1:10" ht="15.75" hidden="1" customHeight="1" x14ac:dyDescent="0.15">
      <c r="A195" s="5" t="s">
        <v>196</v>
      </c>
      <c r="B195" s="4" t="s">
        <v>49</v>
      </c>
      <c r="C195" s="6">
        <v>46043</v>
      </c>
      <c r="D195" s="1" t="s">
        <v>49</v>
      </c>
      <c r="E195" s="1" t="s">
        <v>9</v>
      </c>
      <c r="F195" s="4">
        <v>-461.55</v>
      </c>
      <c r="G195" s="1" t="s">
        <v>466</v>
      </c>
      <c r="H195" s="1" t="s">
        <v>194</v>
      </c>
      <c r="I195" s="23" t="s">
        <v>219</v>
      </c>
      <c r="J195" s="25">
        <f>VLOOKUP(H195,Planilha1!B:C,2,0)</f>
        <v>80</v>
      </c>
    </row>
    <row r="196" spans="1:10" ht="15.75" hidden="1" customHeight="1" x14ac:dyDescent="0.15">
      <c r="A196" s="5" t="s">
        <v>196</v>
      </c>
      <c r="B196" s="4" t="s">
        <v>293</v>
      </c>
      <c r="C196" s="6">
        <v>46043</v>
      </c>
      <c r="D196" s="1" t="s">
        <v>293</v>
      </c>
      <c r="E196" s="1" t="s">
        <v>9</v>
      </c>
      <c r="F196" s="7">
        <v>-3732</v>
      </c>
      <c r="G196" s="1" t="s">
        <v>466</v>
      </c>
      <c r="H196" s="1" t="s">
        <v>194</v>
      </c>
      <c r="I196" s="23" t="s">
        <v>219</v>
      </c>
      <c r="J196" s="25">
        <f>VLOOKUP(H196,Planilha1!B:C,2,0)</f>
        <v>80</v>
      </c>
    </row>
    <row r="197" spans="1:10" ht="15.75" hidden="1" customHeight="1" x14ac:dyDescent="0.15">
      <c r="A197" s="5" t="s">
        <v>196</v>
      </c>
      <c r="B197" s="4" t="s">
        <v>512</v>
      </c>
      <c r="C197" s="6">
        <v>46043</v>
      </c>
      <c r="D197" s="1" t="s">
        <v>512</v>
      </c>
      <c r="E197" s="1" t="s">
        <v>425</v>
      </c>
      <c r="F197" s="4">
        <v>-297</v>
      </c>
      <c r="G197" s="1" t="s">
        <v>466</v>
      </c>
      <c r="H197" s="1" t="s">
        <v>497</v>
      </c>
      <c r="I197" s="23" t="s">
        <v>42</v>
      </c>
      <c r="J197" s="25">
        <f>VLOOKUP(H197,Planilha1!B:C,2,0)</f>
        <v>215</v>
      </c>
    </row>
    <row r="198" spans="1:10" ht="15.75" hidden="1" customHeight="1" x14ac:dyDescent="0.15">
      <c r="A198" s="5" t="s">
        <v>196</v>
      </c>
      <c r="B198" s="4" t="s">
        <v>122</v>
      </c>
      <c r="C198" s="6">
        <v>46043</v>
      </c>
      <c r="D198" s="1" t="s">
        <v>122</v>
      </c>
      <c r="E198" s="1" t="s">
        <v>12</v>
      </c>
      <c r="F198" s="7">
        <v>-5771.54</v>
      </c>
      <c r="G198" s="1" t="s">
        <v>466</v>
      </c>
      <c r="H198" s="1" t="s">
        <v>472</v>
      </c>
      <c r="I198" s="23" t="s">
        <v>326</v>
      </c>
      <c r="J198" s="25">
        <f>VLOOKUP(H198,Planilha1!B:C,2,0)</f>
        <v>80</v>
      </c>
    </row>
    <row r="199" spans="1:10" ht="15.75" hidden="1" customHeight="1" x14ac:dyDescent="0.15">
      <c r="A199" s="5" t="s">
        <v>196</v>
      </c>
      <c r="B199" s="4" t="s">
        <v>217</v>
      </c>
      <c r="C199" s="6">
        <v>46043</v>
      </c>
      <c r="D199" s="1" t="s">
        <v>217</v>
      </c>
      <c r="E199" s="1" t="s">
        <v>476</v>
      </c>
      <c r="F199" s="4">
        <v>-2.89</v>
      </c>
      <c r="G199" s="1" t="s">
        <v>242</v>
      </c>
      <c r="H199" s="1" t="s">
        <v>147</v>
      </c>
      <c r="I199" s="23" t="s">
        <v>511</v>
      </c>
      <c r="J199" s="25">
        <f>VLOOKUP(H199,Planilha1!B:C,2,0)</f>
        <v>252</v>
      </c>
    </row>
    <row r="200" spans="1:10" ht="15.75" hidden="1" customHeight="1" x14ac:dyDescent="0.15">
      <c r="A200" s="5" t="s">
        <v>196</v>
      </c>
      <c r="B200" s="4" t="s">
        <v>38</v>
      </c>
      <c r="C200" s="6">
        <v>46043</v>
      </c>
      <c r="D200" s="1" t="s">
        <v>38</v>
      </c>
      <c r="E200" s="1" t="s">
        <v>61</v>
      </c>
      <c r="F200" s="7">
        <v>-62316.29</v>
      </c>
      <c r="G200" s="1" t="s">
        <v>242</v>
      </c>
      <c r="H200" s="1" t="s">
        <v>8</v>
      </c>
      <c r="I200" s="23" t="s">
        <v>364</v>
      </c>
      <c r="J200" s="25">
        <f>VLOOKUP(H200,Planilha1!B:C,2,0)</f>
        <v>0</v>
      </c>
    </row>
    <row r="201" spans="1:10" ht="15.75" hidden="1" customHeight="1" x14ac:dyDescent="0.15">
      <c r="A201" s="5" t="s">
        <v>196</v>
      </c>
      <c r="B201" s="4" t="s">
        <v>226</v>
      </c>
      <c r="C201" s="6">
        <v>46044</v>
      </c>
      <c r="D201" s="1" t="s">
        <v>226</v>
      </c>
      <c r="E201" s="1" t="s">
        <v>30</v>
      </c>
      <c r="F201" s="4">
        <v>-2.89</v>
      </c>
      <c r="G201" s="1" t="s">
        <v>242</v>
      </c>
      <c r="H201" s="1" t="s">
        <v>147</v>
      </c>
      <c r="I201" s="23" t="s">
        <v>511</v>
      </c>
      <c r="J201" s="25">
        <f>VLOOKUP(H201,Planilha1!B:C,2,0)</f>
        <v>252</v>
      </c>
    </row>
    <row r="202" spans="1:10" ht="15.75" hidden="1" customHeight="1" x14ac:dyDescent="0.15">
      <c r="A202" s="5" t="s">
        <v>196</v>
      </c>
      <c r="B202" s="4" t="s">
        <v>387</v>
      </c>
      <c r="C202" s="6">
        <v>46044</v>
      </c>
      <c r="D202" s="1" t="s">
        <v>387</v>
      </c>
      <c r="E202" s="1" t="s">
        <v>195</v>
      </c>
      <c r="F202" s="4">
        <v>-4.92</v>
      </c>
      <c r="G202" s="1" t="s">
        <v>242</v>
      </c>
      <c r="H202" s="1" t="s">
        <v>147</v>
      </c>
      <c r="I202" s="23" t="s">
        <v>511</v>
      </c>
      <c r="J202" s="25">
        <f>VLOOKUP(H202,Planilha1!B:C,2,0)</f>
        <v>252</v>
      </c>
    </row>
    <row r="203" spans="1:10" ht="15.75" hidden="1" customHeight="1" x14ac:dyDescent="0.15">
      <c r="A203" s="5" t="s">
        <v>196</v>
      </c>
      <c r="B203" s="4" t="s">
        <v>241</v>
      </c>
      <c r="C203" s="6">
        <v>46044</v>
      </c>
      <c r="D203" s="1" t="s">
        <v>241</v>
      </c>
      <c r="E203" s="1" t="s">
        <v>58</v>
      </c>
      <c r="F203" s="4">
        <v>-224.4</v>
      </c>
      <c r="G203" s="1" t="s">
        <v>466</v>
      </c>
      <c r="H203" s="1" t="s">
        <v>146</v>
      </c>
      <c r="I203" s="23" t="s">
        <v>103</v>
      </c>
      <c r="J203" s="25">
        <f>VLOOKUP(H203,Planilha1!B:C,2,0)</f>
        <v>164</v>
      </c>
    </row>
    <row r="204" spans="1:10" ht="15.75" hidden="1" customHeight="1" x14ac:dyDescent="0.15">
      <c r="A204" s="5" t="s">
        <v>328</v>
      </c>
      <c r="B204" s="4" t="s">
        <v>303</v>
      </c>
      <c r="C204" s="6">
        <v>46044</v>
      </c>
      <c r="D204" s="1" t="s">
        <v>303</v>
      </c>
      <c r="E204" s="1" t="s">
        <v>213</v>
      </c>
      <c r="F204" s="4">
        <v>315.44</v>
      </c>
      <c r="G204" s="1" t="s">
        <v>242</v>
      </c>
      <c r="H204" s="1" t="s">
        <v>428</v>
      </c>
      <c r="I204" s="23" t="s">
        <v>299</v>
      </c>
      <c r="J204" s="25" t="str">
        <f>VLOOKUP(H204,Planilha1!B:C,2,0)</f>
        <v>132 a 134</v>
      </c>
    </row>
    <row r="205" spans="1:10" ht="15.75" hidden="1" customHeight="1" x14ac:dyDescent="0.15">
      <c r="A205" s="5" t="s">
        <v>328</v>
      </c>
      <c r="B205" s="4" t="s">
        <v>69</v>
      </c>
      <c r="C205" s="6">
        <v>46044</v>
      </c>
      <c r="D205" s="1" t="s">
        <v>69</v>
      </c>
      <c r="E205" s="1" t="s">
        <v>213</v>
      </c>
      <c r="F205" s="4">
        <v>154.12</v>
      </c>
      <c r="G205" s="1" t="s">
        <v>242</v>
      </c>
      <c r="H205" s="1" t="s">
        <v>428</v>
      </c>
      <c r="I205" s="23" t="s">
        <v>299</v>
      </c>
      <c r="J205" s="25" t="str">
        <f>VLOOKUP(H205,Planilha1!B:C,2,0)</f>
        <v>132 a 134</v>
      </c>
    </row>
    <row r="206" spans="1:10" ht="15.75" hidden="1" customHeight="1" x14ac:dyDescent="0.15">
      <c r="A206" s="5" t="s">
        <v>328</v>
      </c>
      <c r="B206" s="4" t="s">
        <v>199</v>
      </c>
      <c r="C206" s="6">
        <v>46044</v>
      </c>
      <c r="D206" s="1" t="s">
        <v>199</v>
      </c>
      <c r="E206" s="1" t="s">
        <v>101</v>
      </c>
      <c r="F206" s="7">
        <v>18394.63</v>
      </c>
      <c r="G206" s="1" t="s">
        <v>242</v>
      </c>
      <c r="H206" s="1" t="s">
        <v>8</v>
      </c>
      <c r="I206" s="23" t="s">
        <v>364</v>
      </c>
      <c r="J206" s="25">
        <f>VLOOKUP(H206,Planilha1!B:C,2,0)</f>
        <v>0</v>
      </c>
    </row>
    <row r="207" spans="1:10" ht="15.75" hidden="1" customHeight="1" x14ac:dyDescent="0.15">
      <c r="A207" s="5" t="s">
        <v>328</v>
      </c>
      <c r="B207" s="4" t="s">
        <v>174</v>
      </c>
      <c r="C207" s="6">
        <v>46045</v>
      </c>
      <c r="D207" s="1" t="s">
        <v>174</v>
      </c>
      <c r="E207" s="1" t="s">
        <v>142</v>
      </c>
      <c r="F207" s="4">
        <v>935.34</v>
      </c>
      <c r="G207" s="1" t="s">
        <v>242</v>
      </c>
      <c r="H207" s="1" t="s">
        <v>428</v>
      </c>
      <c r="I207" s="23" t="s">
        <v>299</v>
      </c>
      <c r="J207" s="25" t="str">
        <f>VLOOKUP(H207,Planilha1!B:C,2,0)</f>
        <v>132 a 134</v>
      </c>
    </row>
    <row r="208" spans="1:10" ht="15.75" hidden="1" customHeight="1" x14ac:dyDescent="0.15">
      <c r="A208" s="5" t="s">
        <v>328</v>
      </c>
      <c r="B208" s="4" t="s">
        <v>336</v>
      </c>
      <c r="C208" s="6">
        <v>46045</v>
      </c>
      <c r="D208" s="1" t="s">
        <v>336</v>
      </c>
      <c r="E208" s="1" t="s">
        <v>429</v>
      </c>
      <c r="F208" s="4">
        <v>1.21</v>
      </c>
      <c r="G208" s="1" t="s">
        <v>242</v>
      </c>
      <c r="H208" s="1" t="s">
        <v>197</v>
      </c>
      <c r="I208" s="23" t="s">
        <v>511</v>
      </c>
      <c r="J208" s="25">
        <f>VLOOKUP(H208,Planilha1!B:C,2,0)</f>
        <v>135</v>
      </c>
    </row>
    <row r="209" spans="1:10" ht="15.75" hidden="1" customHeight="1" x14ac:dyDescent="0.15">
      <c r="A209" s="5" t="s">
        <v>196</v>
      </c>
      <c r="B209" s="4" t="s">
        <v>34</v>
      </c>
      <c r="C209" s="6">
        <v>46045</v>
      </c>
      <c r="D209" s="1" t="s">
        <v>34</v>
      </c>
      <c r="E209" s="1" t="s">
        <v>345</v>
      </c>
      <c r="F209" s="7">
        <v>-1680</v>
      </c>
      <c r="G209" s="1" t="s">
        <v>466</v>
      </c>
      <c r="H209" s="1" t="s">
        <v>310</v>
      </c>
      <c r="I209" s="23" t="s">
        <v>66</v>
      </c>
      <c r="J209" s="25">
        <f>VLOOKUP(H209,Planilha1!B:C,2,0)</f>
        <v>752</v>
      </c>
    </row>
    <row r="210" spans="1:10" ht="15.75" hidden="1" customHeight="1" x14ac:dyDescent="0.15">
      <c r="A210" s="5" t="s">
        <v>196</v>
      </c>
      <c r="B210" s="4" t="s">
        <v>250</v>
      </c>
      <c r="C210" s="6">
        <v>46045</v>
      </c>
      <c r="D210" s="1" t="s">
        <v>250</v>
      </c>
      <c r="E210" s="1" t="s">
        <v>345</v>
      </c>
      <c r="F210" s="4">
        <v>-488</v>
      </c>
      <c r="G210" s="1" t="s">
        <v>466</v>
      </c>
      <c r="H210" s="1" t="s">
        <v>310</v>
      </c>
      <c r="I210" s="23" t="s">
        <v>66</v>
      </c>
      <c r="J210" s="25">
        <f>VLOOKUP(H210,Planilha1!B:C,2,0)</f>
        <v>752</v>
      </c>
    </row>
    <row r="211" spans="1:10" ht="15.75" hidden="1" customHeight="1" x14ac:dyDescent="0.15">
      <c r="A211" s="5" t="s">
        <v>196</v>
      </c>
      <c r="B211" s="4" t="s">
        <v>24</v>
      </c>
      <c r="C211" s="6">
        <v>46045</v>
      </c>
      <c r="D211" s="1" t="s">
        <v>24</v>
      </c>
      <c r="E211" s="1" t="s">
        <v>345</v>
      </c>
      <c r="F211" s="7">
        <v>-1056.8499999999999</v>
      </c>
      <c r="G211" s="1" t="s">
        <v>466</v>
      </c>
      <c r="H211" s="1" t="s">
        <v>310</v>
      </c>
      <c r="I211" s="23" t="s">
        <v>66</v>
      </c>
      <c r="J211" s="25">
        <f>VLOOKUP(H211,Planilha1!B:C,2,0)</f>
        <v>752</v>
      </c>
    </row>
    <row r="212" spans="1:10" ht="15.75" hidden="1" customHeight="1" x14ac:dyDescent="0.15">
      <c r="A212" s="5" t="s">
        <v>196</v>
      </c>
      <c r="B212" s="4" t="s">
        <v>413</v>
      </c>
      <c r="C212" s="6">
        <v>46045</v>
      </c>
      <c r="D212" s="1" t="s">
        <v>413</v>
      </c>
      <c r="E212" s="1" t="s">
        <v>345</v>
      </c>
      <c r="F212" s="7">
        <v>-1909.6</v>
      </c>
      <c r="G212" s="1" t="s">
        <v>466</v>
      </c>
      <c r="H212" s="1" t="s">
        <v>310</v>
      </c>
      <c r="I212" s="23" t="s">
        <v>66</v>
      </c>
      <c r="J212" s="25">
        <f>VLOOKUP(H212,Planilha1!B:C,2,0)</f>
        <v>752</v>
      </c>
    </row>
    <row r="213" spans="1:10" ht="15.75" hidden="1" customHeight="1" x14ac:dyDescent="0.15">
      <c r="A213" s="5" t="s">
        <v>196</v>
      </c>
      <c r="B213" s="4" t="s">
        <v>378</v>
      </c>
      <c r="C213" s="6">
        <v>46045</v>
      </c>
      <c r="D213" s="1" t="s">
        <v>378</v>
      </c>
      <c r="E213" s="1" t="s">
        <v>345</v>
      </c>
      <c r="F213" s="4">
        <v>-743.27</v>
      </c>
      <c r="G213" s="1" t="s">
        <v>466</v>
      </c>
      <c r="H213" s="1" t="s">
        <v>310</v>
      </c>
      <c r="I213" s="23" t="s">
        <v>66</v>
      </c>
      <c r="J213" s="25">
        <f>VLOOKUP(H213,Planilha1!B:C,2,0)</f>
        <v>752</v>
      </c>
    </row>
    <row r="214" spans="1:10" ht="15.75" hidden="1" customHeight="1" x14ac:dyDescent="0.15">
      <c r="A214" s="5" t="s">
        <v>196</v>
      </c>
      <c r="B214" s="4" t="s">
        <v>297</v>
      </c>
      <c r="C214" s="6">
        <v>46045</v>
      </c>
      <c r="D214" s="1" t="s">
        <v>297</v>
      </c>
      <c r="E214" s="1" t="s">
        <v>345</v>
      </c>
      <c r="F214" s="7">
        <v>-1640</v>
      </c>
      <c r="G214" s="1" t="s">
        <v>466</v>
      </c>
      <c r="H214" s="1" t="s">
        <v>310</v>
      </c>
      <c r="I214" s="23" t="s">
        <v>66</v>
      </c>
      <c r="J214" s="25">
        <f>VLOOKUP(H214,Planilha1!B:C,2,0)</f>
        <v>752</v>
      </c>
    </row>
    <row r="215" spans="1:10" ht="15.75" hidden="1" customHeight="1" x14ac:dyDescent="0.15">
      <c r="A215" s="5" t="s">
        <v>196</v>
      </c>
      <c r="B215" s="4" t="s">
        <v>63</v>
      </c>
      <c r="C215" s="6">
        <v>46045</v>
      </c>
      <c r="D215" s="1" t="s">
        <v>63</v>
      </c>
      <c r="E215" s="1" t="s">
        <v>345</v>
      </c>
      <c r="F215" s="4">
        <v>-670</v>
      </c>
      <c r="G215" s="1" t="s">
        <v>466</v>
      </c>
      <c r="H215" s="1" t="s">
        <v>310</v>
      </c>
      <c r="I215" s="23" t="s">
        <v>66</v>
      </c>
      <c r="J215" s="25">
        <f>VLOOKUP(H215,Planilha1!B:C,2,0)</f>
        <v>752</v>
      </c>
    </row>
    <row r="216" spans="1:10" ht="15.75" hidden="1" customHeight="1" x14ac:dyDescent="0.15">
      <c r="A216" s="5" t="s">
        <v>196</v>
      </c>
      <c r="B216" s="4" t="s">
        <v>262</v>
      </c>
      <c r="C216" s="6">
        <v>46045</v>
      </c>
      <c r="D216" s="1" t="s">
        <v>262</v>
      </c>
      <c r="E216" s="1" t="s">
        <v>345</v>
      </c>
      <c r="F216" s="7">
        <v>-1000</v>
      </c>
      <c r="G216" s="1" t="s">
        <v>466</v>
      </c>
      <c r="H216" s="1" t="s">
        <v>310</v>
      </c>
      <c r="I216" s="23" t="s">
        <v>66</v>
      </c>
      <c r="J216" s="25">
        <f>VLOOKUP(H216,Planilha1!B:C,2,0)</f>
        <v>752</v>
      </c>
    </row>
    <row r="217" spans="1:10" ht="15.75" hidden="1" customHeight="1" x14ac:dyDescent="0.15">
      <c r="A217" s="5" t="s">
        <v>196</v>
      </c>
      <c r="B217" s="4" t="s">
        <v>295</v>
      </c>
      <c r="C217" s="6">
        <v>46045</v>
      </c>
      <c r="D217" s="1" t="s">
        <v>295</v>
      </c>
      <c r="E217" s="1" t="s">
        <v>9</v>
      </c>
      <c r="F217" s="7">
        <v>-1673.24</v>
      </c>
      <c r="G217" s="1" t="s">
        <v>466</v>
      </c>
      <c r="H217" s="1" t="s">
        <v>194</v>
      </c>
      <c r="I217" s="23" t="s">
        <v>219</v>
      </c>
      <c r="J217" s="25">
        <f>VLOOKUP(H217,Planilha1!B:C,2,0)</f>
        <v>80</v>
      </c>
    </row>
    <row r="218" spans="1:10" ht="15.75" hidden="1" customHeight="1" x14ac:dyDescent="0.15">
      <c r="A218" s="5" t="s">
        <v>196</v>
      </c>
      <c r="B218" s="4" t="s">
        <v>508</v>
      </c>
      <c r="C218" s="6">
        <v>46045</v>
      </c>
      <c r="D218" s="1" t="s">
        <v>508</v>
      </c>
      <c r="E218" s="1" t="s">
        <v>114</v>
      </c>
      <c r="F218" s="7">
        <v>-3800.97</v>
      </c>
      <c r="G218" s="1" t="s">
        <v>466</v>
      </c>
      <c r="H218" s="1" t="s">
        <v>472</v>
      </c>
      <c r="I218" s="23" t="s">
        <v>326</v>
      </c>
      <c r="J218" s="25">
        <f>VLOOKUP(H218,Planilha1!B:C,2,0)</f>
        <v>80</v>
      </c>
    </row>
    <row r="219" spans="1:10" ht="15.75" hidden="1" customHeight="1" x14ac:dyDescent="0.15">
      <c r="A219" s="5" t="s">
        <v>196</v>
      </c>
      <c r="B219" s="4" t="s">
        <v>164</v>
      </c>
      <c r="C219" s="6">
        <v>46045</v>
      </c>
      <c r="D219" s="1" t="s">
        <v>164</v>
      </c>
      <c r="E219" s="1" t="s">
        <v>114</v>
      </c>
      <c r="F219" s="7">
        <v>-3137.54</v>
      </c>
      <c r="G219" s="1" t="s">
        <v>466</v>
      </c>
      <c r="H219" s="1" t="s">
        <v>472</v>
      </c>
      <c r="I219" s="23" t="s">
        <v>326</v>
      </c>
      <c r="J219" s="25">
        <f>VLOOKUP(H219,Planilha1!B:C,2,0)</f>
        <v>80</v>
      </c>
    </row>
    <row r="220" spans="1:10" ht="15.75" hidden="1" customHeight="1" x14ac:dyDescent="0.15">
      <c r="A220" s="5" t="s">
        <v>196</v>
      </c>
      <c r="B220" s="4" t="s">
        <v>191</v>
      </c>
      <c r="C220" s="6">
        <v>46045</v>
      </c>
      <c r="D220" s="1" t="s">
        <v>191</v>
      </c>
      <c r="E220" s="1" t="s">
        <v>195</v>
      </c>
      <c r="F220" s="4">
        <v>-1.64</v>
      </c>
      <c r="G220" s="1" t="s">
        <v>242</v>
      </c>
      <c r="H220" s="1" t="s">
        <v>147</v>
      </c>
      <c r="I220" s="23" t="s">
        <v>511</v>
      </c>
      <c r="J220" s="25">
        <f>VLOOKUP(H220,Planilha1!B:C,2,0)</f>
        <v>252</v>
      </c>
    </row>
    <row r="221" spans="1:10" ht="15.75" hidden="1" customHeight="1" x14ac:dyDescent="0.15">
      <c r="A221" s="5" t="s">
        <v>196</v>
      </c>
      <c r="B221" s="4" t="s">
        <v>116</v>
      </c>
      <c r="C221" s="6">
        <v>46045</v>
      </c>
      <c r="D221" s="1" t="s">
        <v>116</v>
      </c>
      <c r="E221" s="1" t="s">
        <v>68</v>
      </c>
      <c r="F221" s="4">
        <v>-4.28</v>
      </c>
      <c r="G221" s="1" t="s">
        <v>242</v>
      </c>
      <c r="H221" s="1" t="s">
        <v>147</v>
      </c>
      <c r="I221" s="23" t="s">
        <v>511</v>
      </c>
      <c r="J221" s="25">
        <f>VLOOKUP(H221,Planilha1!B:C,2,0)</f>
        <v>252</v>
      </c>
    </row>
    <row r="222" spans="1:10" ht="15.75" hidden="1" customHeight="1" x14ac:dyDescent="0.15">
      <c r="A222" s="5" t="s">
        <v>196</v>
      </c>
      <c r="B222" s="4" t="s">
        <v>448</v>
      </c>
      <c r="C222" s="6">
        <v>46048</v>
      </c>
      <c r="D222" s="1" t="s">
        <v>448</v>
      </c>
      <c r="E222" s="1" t="s">
        <v>50</v>
      </c>
      <c r="F222" s="4">
        <v>-2.89</v>
      </c>
      <c r="G222" s="1" t="s">
        <v>242</v>
      </c>
      <c r="H222" s="1" t="s">
        <v>147</v>
      </c>
      <c r="I222" s="23" t="s">
        <v>511</v>
      </c>
      <c r="J222" s="25">
        <f>VLOOKUP(H222,Planilha1!B:C,2,0)</f>
        <v>252</v>
      </c>
    </row>
    <row r="223" spans="1:10" ht="15.75" hidden="1" customHeight="1" x14ac:dyDescent="0.15">
      <c r="A223" s="5" t="s">
        <v>196</v>
      </c>
      <c r="B223" s="4" t="s">
        <v>543</v>
      </c>
      <c r="C223" s="6">
        <v>46048</v>
      </c>
      <c r="D223" s="1" t="s">
        <v>543</v>
      </c>
      <c r="E223" s="1" t="s">
        <v>195</v>
      </c>
      <c r="F223" s="4">
        <v>-1.64</v>
      </c>
      <c r="G223" s="1" t="s">
        <v>242</v>
      </c>
      <c r="H223" s="1" t="s">
        <v>147</v>
      </c>
      <c r="I223" s="23" t="s">
        <v>511</v>
      </c>
      <c r="J223" s="25">
        <f>VLOOKUP(H223,Planilha1!B:C,2,0)</f>
        <v>252</v>
      </c>
    </row>
    <row r="224" spans="1:10" ht="15.75" hidden="1" customHeight="1" x14ac:dyDescent="0.15">
      <c r="A224" s="5" t="s">
        <v>196</v>
      </c>
      <c r="B224" s="4" t="s">
        <v>412</v>
      </c>
      <c r="C224" s="6">
        <v>46048</v>
      </c>
      <c r="D224" s="1" t="s">
        <v>412</v>
      </c>
      <c r="E224" s="1" t="s">
        <v>68</v>
      </c>
      <c r="F224" s="4">
        <v>-4.28</v>
      </c>
      <c r="G224" s="1" t="s">
        <v>242</v>
      </c>
      <c r="H224" s="1" t="s">
        <v>147</v>
      </c>
      <c r="I224" s="23" t="s">
        <v>511</v>
      </c>
      <c r="J224" s="25">
        <f>VLOOKUP(H224,Planilha1!B:C,2,0)</f>
        <v>252</v>
      </c>
    </row>
    <row r="225" spans="1:10" ht="15.75" hidden="1" customHeight="1" x14ac:dyDescent="0.15">
      <c r="A225" s="5" t="s">
        <v>196</v>
      </c>
      <c r="B225" s="4" t="s">
        <v>284</v>
      </c>
      <c r="C225" s="6">
        <v>46048</v>
      </c>
      <c r="D225" s="1" t="s">
        <v>284</v>
      </c>
      <c r="E225" s="1" t="s">
        <v>533</v>
      </c>
      <c r="F225" s="7">
        <v>-2463.37</v>
      </c>
      <c r="G225" s="1" t="s">
        <v>466</v>
      </c>
      <c r="H225" s="1" t="s">
        <v>531</v>
      </c>
      <c r="I225" s="23" t="s">
        <v>42</v>
      </c>
      <c r="J225" s="25">
        <f>VLOOKUP(H225,Planilha1!B:C,2,0)</f>
        <v>187</v>
      </c>
    </row>
    <row r="226" spans="1:10" ht="15.75" hidden="1" customHeight="1" x14ac:dyDescent="0.15">
      <c r="A226" s="5" t="s">
        <v>196</v>
      </c>
      <c r="B226" s="4" t="s">
        <v>475</v>
      </c>
      <c r="C226" s="6">
        <v>46048</v>
      </c>
      <c r="D226" s="1" t="s">
        <v>475</v>
      </c>
      <c r="E226" s="1" t="s">
        <v>401</v>
      </c>
      <c r="F226" s="7">
        <v>-1360</v>
      </c>
      <c r="G226" s="1" t="s">
        <v>466</v>
      </c>
      <c r="H226" s="1" t="s">
        <v>223</v>
      </c>
      <c r="I226" s="23" t="s">
        <v>66</v>
      </c>
      <c r="J226" s="25">
        <f>VLOOKUP(H226,Planilha1!B:C,2,0)</f>
        <v>185</v>
      </c>
    </row>
    <row r="227" spans="1:10" ht="15.75" hidden="1" customHeight="1" x14ac:dyDescent="0.15">
      <c r="A227" s="5" t="s">
        <v>196</v>
      </c>
      <c r="B227" s="4" t="s">
        <v>234</v>
      </c>
      <c r="C227" s="6">
        <v>46048</v>
      </c>
      <c r="D227" s="1" t="s">
        <v>234</v>
      </c>
      <c r="E227" s="1" t="s">
        <v>9</v>
      </c>
      <c r="F227" s="7">
        <v>-1663.15</v>
      </c>
      <c r="G227" s="1" t="s">
        <v>466</v>
      </c>
      <c r="H227" s="1" t="s">
        <v>472</v>
      </c>
      <c r="I227" s="23" t="s">
        <v>326</v>
      </c>
      <c r="J227" s="25">
        <f>VLOOKUP(H227,Planilha1!B:C,2,0)</f>
        <v>80</v>
      </c>
    </row>
    <row r="228" spans="1:10" ht="15.75" hidden="1" customHeight="1" x14ac:dyDescent="0.15">
      <c r="A228" s="5" t="s">
        <v>196</v>
      </c>
      <c r="B228" s="4" t="s">
        <v>169</v>
      </c>
      <c r="C228" s="6">
        <v>46048</v>
      </c>
      <c r="D228" s="1" t="s">
        <v>169</v>
      </c>
      <c r="E228" s="1" t="s">
        <v>9</v>
      </c>
      <c r="F228" s="7">
        <v>-1525.31</v>
      </c>
      <c r="G228" s="1" t="s">
        <v>466</v>
      </c>
      <c r="H228" s="1" t="s">
        <v>194</v>
      </c>
      <c r="I228" s="23" t="s">
        <v>219</v>
      </c>
      <c r="J228" s="25">
        <f>VLOOKUP(H228,Planilha1!B:C,2,0)</f>
        <v>80</v>
      </c>
    </row>
    <row r="229" spans="1:10" ht="15.75" hidden="1" customHeight="1" x14ac:dyDescent="0.15">
      <c r="A229" s="5" t="s">
        <v>196</v>
      </c>
      <c r="B229" s="4" t="s">
        <v>323</v>
      </c>
      <c r="C229" s="6">
        <v>46048</v>
      </c>
      <c r="D229" s="1" t="s">
        <v>323</v>
      </c>
      <c r="E229" s="1" t="s">
        <v>9</v>
      </c>
      <c r="F229" s="7">
        <v>-1532.31</v>
      </c>
      <c r="G229" s="1" t="s">
        <v>466</v>
      </c>
      <c r="H229" s="1" t="s">
        <v>194</v>
      </c>
      <c r="I229" s="23" t="s">
        <v>219</v>
      </c>
      <c r="J229" s="25">
        <f>VLOOKUP(H229,Planilha1!B:C,2,0)</f>
        <v>80</v>
      </c>
    </row>
    <row r="230" spans="1:10" ht="15.75" hidden="1" customHeight="1" x14ac:dyDescent="0.15">
      <c r="A230" s="5" t="s">
        <v>196</v>
      </c>
      <c r="B230" s="4" t="s">
        <v>400</v>
      </c>
      <c r="C230" s="6">
        <v>46048</v>
      </c>
      <c r="D230" s="1" t="s">
        <v>400</v>
      </c>
      <c r="E230" s="1" t="s">
        <v>270</v>
      </c>
      <c r="F230" s="7">
        <v>-1109.23</v>
      </c>
      <c r="G230" s="1" t="s">
        <v>466</v>
      </c>
      <c r="H230" s="1" t="s">
        <v>530</v>
      </c>
      <c r="I230" s="23" t="s">
        <v>219</v>
      </c>
      <c r="J230" s="25">
        <f>VLOOKUP(H230,Planilha1!B:C,2,0)</f>
        <v>710</v>
      </c>
    </row>
    <row r="231" spans="1:10" ht="15.75" hidden="1" customHeight="1" x14ac:dyDescent="0.15">
      <c r="A231" s="5" t="s">
        <v>196</v>
      </c>
      <c r="B231" s="4" t="s">
        <v>148</v>
      </c>
      <c r="C231" s="6">
        <v>46048</v>
      </c>
      <c r="D231" s="1" t="s">
        <v>148</v>
      </c>
      <c r="E231" s="1" t="s">
        <v>15</v>
      </c>
      <c r="F231" s="4">
        <v>-832</v>
      </c>
      <c r="G231" s="1" t="s">
        <v>466</v>
      </c>
      <c r="H231" s="1" t="s">
        <v>194</v>
      </c>
      <c r="I231" s="23" t="s">
        <v>219</v>
      </c>
      <c r="J231" s="25">
        <f>VLOOKUP(H231,Planilha1!B:C,2,0)</f>
        <v>80</v>
      </c>
    </row>
    <row r="232" spans="1:10" ht="15.75" hidden="1" customHeight="1" x14ac:dyDescent="0.15">
      <c r="A232" s="5" t="s">
        <v>196</v>
      </c>
      <c r="B232" s="4" t="s">
        <v>45</v>
      </c>
      <c r="C232" s="6">
        <v>46048</v>
      </c>
      <c r="D232" s="1" t="s">
        <v>45</v>
      </c>
      <c r="E232" s="1" t="s">
        <v>114</v>
      </c>
      <c r="F232" s="7">
        <v>-5309.85</v>
      </c>
      <c r="G232" s="1" t="s">
        <v>466</v>
      </c>
      <c r="H232" s="1" t="s">
        <v>472</v>
      </c>
      <c r="I232" s="23" t="s">
        <v>326</v>
      </c>
      <c r="J232" s="25">
        <f>VLOOKUP(H232,Planilha1!B:C,2,0)</f>
        <v>80</v>
      </c>
    </row>
    <row r="233" spans="1:10" ht="15.75" hidden="1" customHeight="1" x14ac:dyDescent="0.15">
      <c r="A233" s="5" t="s">
        <v>196</v>
      </c>
      <c r="B233" s="4" t="s">
        <v>230</v>
      </c>
      <c r="C233" s="6">
        <v>46048</v>
      </c>
      <c r="D233" s="1" t="s">
        <v>230</v>
      </c>
      <c r="E233" s="1" t="s">
        <v>9</v>
      </c>
      <c r="F233" s="7">
        <v>-1559.4</v>
      </c>
      <c r="G233" s="1" t="s">
        <v>466</v>
      </c>
      <c r="H233" s="1" t="s">
        <v>194</v>
      </c>
      <c r="I233" s="23" t="s">
        <v>219</v>
      </c>
      <c r="J233" s="25">
        <f>VLOOKUP(H233,Planilha1!B:C,2,0)</f>
        <v>80</v>
      </c>
    </row>
    <row r="234" spans="1:10" ht="15.75" hidden="1" customHeight="1" x14ac:dyDescent="0.15">
      <c r="A234" s="5" t="s">
        <v>196</v>
      </c>
      <c r="B234" s="4" t="s">
        <v>329</v>
      </c>
      <c r="C234" s="6">
        <v>46048</v>
      </c>
      <c r="D234" s="1" t="s">
        <v>329</v>
      </c>
      <c r="E234" s="1" t="s">
        <v>183</v>
      </c>
      <c r="F234" s="4">
        <v>-727</v>
      </c>
      <c r="G234" s="1" t="s">
        <v>466</v>
      </c>
      <c r="H234" s="1" t="s">
        <v>99</v>
      </c>
      <c r="I234" s="23" t="s">
        <v>42</v>
      </c>
      <c r="J234" s="25">
        <f>VLOOKUP(H234,Planilha1!B:C,2,0)</f>
        <v>244</v>
      </c>
    </row>
    <row r="235" spans="1:10" ht="15.75" hidden="1" customHeight="1" x14ac:dyDescent="0.15">
      <c r="A235" s="5" t="s">
        <v>196</v>
      </c>
      <c r="B235" s="4" t="s">
        <v>365</v>
      </c>
      <c r="C235" s="6">
        <v>46048</v>
      </c>
      <c r="D235" s="1" t="s">
        <v>365</v>
      </c>
      <c r="E235" s="1" t="s">
        <v>9</v>
      </c>
      <c r="F235" s="7">
        <v>-2751.4</v>
      </c>
      <c r="G235" s="1" t="s">
        <v>466</v>
      </c>
      <c r="H235" s="1" t="s">
        <v>194</v>
      </c>
      <c r="I235" s="23" t="s">
        <v>219</v>
      </c>
      <c r="J235" s="25">
        <f>VLOOKUP(H235,Planilha1!B:C,2,0)</f>
        <v>80</v>
      </c>
    </row>
    <row r="236" spans="1:10" ht="15.75" hidden="1" customHeight="1" x14ac:dyDescent="0.15">
      <c r="A236" s="5" t="s">
        <v>196</v>
      </c>
      <c r="B236" s="4" t="s">
        <v>391</v>
      </c>
      <c r="C236" s="6">
        <v>46048</v>
      </c>
      <c r="D236" s="1" t="s">
        <v>391</v>
      </c>
      <c r="E236" s="1" t="s">
        <v>114</v>
      </c>
      <c r="F236" s="7">
        <v>-2357.25</v>
      </c>
      <c r="G236" s="1" t="s">
        <v>466</v>
      </c>
      <c r="H236" s="1" t="s">
        <v>472</v>
      </c>
      <c r="I236" s="23" t="s">
        <v>326</v>
      </c>
      <c r="J236" s="25">
        <f>VLOOKUP(H236,Planilha1!B:C,2,0)</f>
        <v>80</v>
      </c>
    </row>
    <row r="237" spans="1:10" ht="15.75" hidden="1" customHeight="1" x14ac:dyDescent="0.15">
      <c r="A237" s="5" t="s">
        <v>328</v>
      </c>
      <c r="B237" s="4" t="s">
        <v>203</v>
      </c>
      <c r="C237" s="6">
        <v>46048</v>
      </c>
      <c r="D237" s="1" t="s">
        <v>203</v>
      </c>
      <c r="E237" s="1" t="s">
        <v>142</v>
      </c>
      <c r="F237" s="7">
        <v>4684</v>
      </c>
      <c r="G237" s="1" t="s">
        <v>242</v>
      </c>
      <c r="H237" s="1" t="s">
        <v>428</v>
      </c>
      <c r="I237" s="23" t="s">
        <v>299</v>
      </c>
      <c r="J237" s="25" t="str">
        <f>VLOOKUP(H237,Planilha1!B:C,2,0)</f>
        <v>132 a 134</v>
      </c>
    </row>
    <row r="238" spans="1:10" ht="15.75" hidden="1" customHeight="1" x14ac:dyDescent="0.15">
      <c r="A238" s="5" t="s">
        <v>328</v>
      </c>
      <c r="B238" s="4" t="s">
        <v>306</v>
      </c>
      <c r="C238" s="6">
        <v>46048</v>
      </c>
      <c r="D238" s="1" t="s">
        <v>306</v>
      </c>
      <c r="E238" s="1" t="s">
        <v>394</v>
      </c>
      <c r="F238" s="4">
        <v>54.75</v>
      </c>
      <c r="G238" s="1" t="s">
        <v>242</v>
      </c>
      <c r="H238" s="1" t="s">
        <v>428</v>
      </c>
      <c r="I238" s="23" t="s">
        <v>299</v>
      </c>
      <c r="J238" s="25" t="str">
        <f>VLOOKUP(H238,Planilha1!B:C,2,0)</f>
        <v>132 a 134</v>
      </c>
    </row>
    <row r="239" spans="1:10" ht="15.75" hidden="1" customHeight="1" x14ac:dyDescent="0.15">
      <c r="A239" s="5" t="s">
        <v>328</v>
      </c>
      <c r="B239" s="4" t="s">
        <v>136</v>
      </c>
      <c r="C239" s="6">
        <v>46048</v>
      </c>
      <c r="D239" s="1" t="s">
        <v>136</v>
      </c>
      <c r="E239" s="1" t="s">
        <v>429</v>
      </c>
      <c r="F239" s="4">
        <v>1.28</v>
      </c>
      <c r="G239" s="1" t="s">
        <v>242</v>
      </c>
      <c r="H239" s="1" t="s">
        <v>197</v>
      </c>
      <c r="I239" s="23" t="s">
        <v>511</v>
      </c>
      <c r="J239" s="25">
        <f>VLOOKUP(H239,Planilha1!B:C,2,0)</f>
        <v>135</v>
      </c>
    </row>
    <row r="240" spans="1:10" ht="15.75" hidden="1" customHeight="1" x14ac:dyDescent="0.15">
      <c r="A240" s="5" t="s">
        <v>328</v>
      </c>
      <c r="B240" s="4" t="s">
        <v>315</v>
      </c>
      <c r="C240" s="6">
        <v>46049</v>
      </c>
      <c r="D240" s="1" t="s">
        <v>315</v>
      </c>
      <c r="E240" s="1" t="s">
        <v>142</v>
      </c>
      <c r="F240" s="4">
        <v>340.76</v>
      </c>
      <c r="G240" s="1" t="s">
        <v>242</v>
      </c>
      <c r="H240" s="1" t="s">
        <v>428</v>
      </c>
      <c r="I240" s="23" t="s">
        <v>299</v>
      </c>
      <c r="J240" s="25" t="str">
        <f>VLOOKUP(H240,Planilha1!B:C,2,0)</f>
        <v>132 a 134</v>
      </c>
    </row>
    <row r="241" spans="1:10" ht="15.75" hidden="1" customHeight="1" x14ac:dyDescent="0.15">
      <c r="A241" s="5" t="s">
        <v>328</v>
      </c>
      <c r="B241" s="4" t="s">
        <v>298</v>
      </c>
      <c r="C241" s="6">
        <v>46049</v>
      </c>
      <c r="D241" s="1" t="s">
        <v>298</v>
      </c>
      <c r="E241" s="1" t="s">
        <v>264</v>
      </c>
      <c r="F241" s="7">
        <v>1158.0999999999999</v>
      </c>
      <c r="G241" s="1" t="s">
        <v>242</v>
      </c>
      <c r="H241" s="1" t="s">
        <v>428</v>
      </c>
      <c r="I241" s="23" t="s">
        <v>299</v>
      </c>
      <c r="J241" s="25" t="str">
        <f>VLOOKUP(H241,Planilha1!B:C,2,0)</f>
        <v>132 a 134</v>
      </c>
    </row>
    <row r="242" spans="1:10" ht="15.75" hidden="1" customHeight="1" x14ac:dyDescent="0.15">
      <c r="A242" s="5" t="s">
        <v>328</v>
      </c>
      <c r="B242" s="4" t="s">
        <v>302</v>
      </c>
      <c r="C242" s="6">
        <v>46049</v>
      </c>
      <c r="D242" s="1" t="s">
        <v>302</v>
      </c>
      <c r="E242" s="1" t="s">
        <v>429</v>
      </c>
      <c r="F242" s="4">
        <v>0.52</v>
      </c>
      <c r="G242" s="1" t="s">
        <v>242</v>
      </c>
      <c r="H242" s="1" t="s">
        <v>197</v>
      </c>
      <c r="I242" s="23" t="s">
        <v>511</v>
      </c>
      <c r="J242" s="25">
        <f>VLOOKUP(H242,Planilha1!B:C,2,0)</f>
        <v>135</v>
      </c>
    </row>
    <row r="243" spans="1:10" ht="15.75" hidden="1" customHeight="1" x14ac:dyDescent="0.15">
      <c r="A243" s="5" t="s">
        <v>196</v>
      </c>
      <c r="B243" s="4" t="s">
        <v>198</v>
      </c>
      <c r="C243" s="6">
        <v>46049</v>
      </c>
      <c r="D243" s="1" t="s">
        <v>198</v>
      </c>
      <c r="E243" s="1" t="s">
        <v>16</v>
      </c>
      <c r="F243" s="4">
        <v>-109.6</v>
      </c>
      <c r="G243" s="1" t="s">
        <v>466</v>
      </c>
      <c r="H243" s="1" t="s">
        <v>381</v>
      </c>
      <c r="I243" s="23" t="s">
        <v>66</v>
      </c>
      <c r="J243" s="25">
        <f>VLOOKUP(H243,Planilha1!B:C,2,0)</f>
        <v>217</v>
      </c>
    </row>
    <row r="244" spans="1:10" ht="15.75" hidden="1" customHeight="1" x14ac:dyDescent="0.15">
      <c r="A244" s="5" t="s">
        <v>196</v>
      </c>
      <c r="B244" s="4" t="s">
        <v>218</v>
      </c>
      <c r="C244" s="6">
        <v>46049</v>
      </c>
      <c r="D244" s="1" t="s">
        <v>218</v>
      </c>
      <c r="E244" s="1" t="s">
        <v>166</v>
      </c>
      <c r="F244" s="4">
        <v>-90</v>
      </c>
      <c r="G244" s="1" t="s">
        <v>466</v>
      </c>
      <c r="H244" s="1" t="s">
        <v>357</v>
      </c>
      <c r="I244" s="23" t="s">
        <v>66</v>
      </c>
      <c r="J244" s="25">
        <f>VLOOKUP(H244,Planilha1!B:C,2,0)</f>
        <v>752</v>
      </c>
    </row>
    <row r="245" spans="1:10" ht="15.75" hidden="1" customHeight="1" x14ac:dyDescent="0.15">
      <c r="A245" s="5" t="s">
        <v>196</v>
      </c>
      <c r="B245" s="4" t="s">
        <v>423</v>
      </c>
      <c r="C245" s="6">
        <v>46049</v>
      </c>
      <c r="D245" s="1" t="s">
        <v>423</v>
      </c>
      <c r="E245" s="1" t="s">
        <v>166</v>
      </c>
      <c r="F245" s="4">
        <v>-882</v>
      </c>
      <c r="G245" s="1" t="s">
        <v>466</v>
      </c>
      <c r="H245" s="1" t="s">
        <v>357</v>
      </c>
      <c r="I245" s="23" t="s">
        <v>66</v>
      </c>
      <c r="J245" s="25">
        <f>VLOOKUP(H245,Planilha1!B:C,2,0)</f>
        <v>752</v>
      </c>
    </row>
    <row r="246" spans="1:10" ht="15.75" hidden="1" customHeight="1" x14ac:dyDescent="0.15">
      <c r="A246" s="5" t="s">
        <v>196</v>
      </c>
      <c r="B246" s="4" t="s">
        <v>355</v>
      </c>
      <c r="C246" s="6">
        <v>46049</v>
      </c>
      <c r="D246" s="1" t="s">
        <v>355</v>
      </c>
      <c r="E246" s="1" t="s">
        <v>371</v>
      </c>
      <c r="F246" s="7">
        <v>-4167.24</v>
      </c>
      <c r="G246" s="1" t="s">
        <v>466</v>
      </c>
      <c r="H246" s="1" t="s">
        <v>70</v>
      </c>
      <c r="I246" s="23" t="s">
        <v>219</v>
      </c>
      <c r="J246" s="25">
        <f>VLOOKUP(H246,Planilha1!B:C,2,0)</f>
        <v>206</v>
      </c>
    </row>
    <row r="247" spans="1:10" ht="15.75" hidden="1" customHeight="1" x14ac:dyDescent="0.15">
      <c r="A247" s="5" t="s">
        <v>196</v>
      </c>
      <c r="B247" s="4" t="s">
        <v>128</v>
      </c>
      <c r="C247" s="6">
        <v>46049</v>
      </c>
      <c r="D247" s="1" t="s">
        <v>128</v>
      </c>
      <c r="E247" s="1" t="s">
        <v>257</v>
      </c>
      <c r="F247" s="4">
        <v>-111.1</v>
      </c>
      <c r="G247" s="1" t="s">
        <v>466</v>
      </c>
      <c r="H247" s="1" t="s">
        <v>416</v>
      </c>
      <c r="I247" s="23" t="s">
        <v>219</v>
      </c>
      <c r="J247" s="25">
        <f>VLOOKUP(H247,Planilha1!B:C,2,0)</f>
        <v>201</v>
      </c>
    </row>
    <row r="248" spans="1:10" ht="15.75" hidden="1" customHeight="1" x14ac:dyDescent="0.15">
      <c r="A248" s="5" t="s">
        <v>196</v>
      </c>
      <c r="B248" s="4" t="s">
        <v>408</v>
      </c>
      <c r="C248" s="6">
        <v>46049</v>
      </c>
      <c r="D248" s="1" t="s">
        <v>408</v>
      </c>
      <c r="E248" s="1" t="s">
        <v>11</v>
      </c>
      <c r="F248" s="4">
        <v>-294.29000000000002</v>
      </c>
      <c r="G248" s="1" t="s">
        <v>466</v>
      </c>
      <c r="H248" s="1" t="s">
        <v>95</v>
      </c>
      <c r="I248" s="23" t="s">
        <v>42</v>
      </c>
      <c r="J248" s="25">
        <f>VLOOKUP(H248,Planilha1!B:C,2,0)</f>
        <v>180</v>
      </c>
    </row>
    <row r="249" spans="1:10" ht="15.75" hidden="1" customHeight="1" x14ac:dyDescent="0.15">
      <c r="A249" s="5" t="s">
        <v>196</v>
      </c>
      <c r="B249" s="4" t="s">
        <v>342</v>
      </c>
      <c r="C249" s="6">
        <v>46049</v>
      </c>
      <c r="D249" s="1" t="s">
        <v>342</v>
      </c>
      <c r="E249" s="1" t="s">
        <v>114</v>
      </c>
      <c r="F249" s="7">
        <v>-2628.84</v>
      </c>
      <c r="G249" s="1" t="s">
        <v>466</v>
      </c>
      <c r="H249" s="1" t="s">
        <v>472</v>
      </c>
      <c r="I249" s="23" t="s">
        <v>326</v>
      </c>
      <c r="J249" s="25">
        <f>VLOOKUP(H249,Planilha1!B:C,2,0)</f>
        <v>80</v>
      </c>
    </row>
    <row r="250" spans="1:10" ht="15.75" hidden="1" customHeight="1" x14ac:dyDescent="0.15">
      <c r="A250" s="5" t="s">
        <v>196</v>
      </c>
      <c r="B250" s="4" t="s">
        <v>51</v>
      </c>
      <c r="C250" s="6">
        <v>46049</v>
      </c>
      <c r="D250" s="1" t="s">
        <v>51</v>
      </c>
      <c r="E250" s="1" t="s">
        <v>78</v>
      </c>
      <c r="F250" s="4">
        <v>-5.78</v>
      </c>
      <c r="G250" s="1" t="s">
        <v>242</v>
      </c>
      <c r="H250" s="1" t="s">
        <v>147</v>
      </c>
      <c r="I250" s="23" t="s">
        <v>511</v>
      </c>
      <c r="J250" s="25">
        <f>VLOOKUP(H250,Planilha1!B:C,2,0)</f>
        <v>252</v>
      </c>
    </row>
    <row r="251" spans="1:10" ht="15.75" hidden="1" customHeight="1" x14ac:dyDescent="0.15">
      <c r="A251" s="5" t="s">
        <v>196</v>
      </c>
      <c r="B251" s="4" t="s">
        <v>301</v>
      </c>
      <c r="C251" s="6">
        <v>46049</v>
      </c>
      <c r="D251" s="1" t="s">
        <v>301</v>
      </c>
      <c r="E251" s="1" t="s">
        <v>195</v>
      </c>
      <c r="F251" s="4">
        <v>-4.92</v>
      </c>
      <c r="G251" s="1" t="s">
        <v>242</v>
      </c>
      <c r="H251" s="1" t="s">
        <v>147</v>
      </c>
      <c r="I251" s="23" t="s">
        <v>511</v>
      </c>
      <c r="J251" s="25">
        <f>VLOOKUP(H251,Planilha1!B:C,2,0)</f>
        <v>252</v>
      </c>
    </row>
    <row r="252" spans="1:10" ht="15.75" hidden="1" customHeight="1" x14ac:dyDescent="0.15">
      <c r="A252" s="5" t="s">
        <v>196</v>
      </c>
      <c r="B252" s="4" t="s">
        <v>272</v>
      </c>
      <c r="C252" s="6">
        <v>46049</v>
      </c>
      <c r="D252" s="1" t="s">
        <v>272</v>
      </c>
      <c r="E252" s="1" t="s">
        <v>397</v>
      </c>
      <c r="F252" s="4">
        <v>-3.27</v>
      </c>
      <c r="G252" s="1" t="s">
        <v>242</v>
      </c>
      <c r="H252" s="1" t="s">
        <v>147</v>
      </c>
      <c r="I252" s="23" t="s">
        <v>511</v>
      </c>
      <c r="J252" s="25">
        <f>VLOOKUP(H252,Planilha1!B:C,2,0)</f>
        <v>252</v>
      </c>
    </row>
    <row r="253" spans="1:10" ht="15.75" hidden="1" customHeight="1" x14ac:dyDescent="0.15">
      <c r="A253" s="5" t="s">
        <v>196</v>
      </c>
      <c r="B253" s="4" t="s">
        <v>3</v>
      </c>
      <c r="C253" s="6">
        <v>46049</v>
      </c>
      <c r="D253" s="1" t="s">
        <v>3</v>
      </c>
      <c r="E253" s="1" t="s">
        <v>68</v>
      </c>
      <c r="F253" s="4">
        <v>-4.28</v>
      </c>
      <c r="G253" s="1" t="s">
        <v>242</v>
      </c>
      <c r="H253" s="1" t="s">
        <v>147</v>
      </c>
      <c r="I253" s="23" t="s">
        <v>511</v>
      </c>
      <c r="J253" s="25">
        <f>VLOOKUP(H253,Planilha1!B:C,2,0)</f>
        <v>252</v>
      </c>
    </row>
    <row r="254" spans="1:10" ht="15.75" hidden="1" customHeight="1" x14ac:dyDescent="0.15">
      <c r="A254" s="5" t="s">
        <v>196</v>
      </c>
      <c r="B254" s="4" t="s">
        <v>231</v>
      </c>
      <c r="C254" s="6">
        <v>46050</v>
      </c>
      <c r="D254" s="1" t="s">
        <v>231</v>
      </c>
      <c r="E254" s="1" t="s">
        <v>78</v>
      </c>
      <c r="F254" s="4">
        <v>-8.67</v>
      </c>
      <c r="G254" s="1" t="s">
        <v>242</v>
      </c>
      <c r="H254" s="1" t="s">
        <v>147</v>
      </c>
      <c r="I254" s="23" t="s">
        <v>511</v>
      </c>
      <c r="J254" s="25">
        <f>VLOOKUP(H254,Planilha1!B:C,2,0)</f>
        <v>252</v>
      </c>
    </row>
    <row r="255" spans="1:10" ht="15.75" hidden="1" customHeight="1" x14ac:dyDescent="0.15">
      <c r="A255" s="5" t="s">
        <v>196</v>
      </c>
      <c r="B255" s="4" t="s">
        <v>249</v>
      </c>
      <c r="C255" s="6">
        <v>46050</v>
      </c>
      <c r="D255" s="1" t="s">
        <v>249</v>
      </c>
      <c r="E255" s="1" t="s">
        <v>195</v>
      </c>
      <c r="F255" s="4">
        <v>-3.28</v>
      </c>
      <c r="G255" s="1" t="s">
        <v>242</v>
      </c>
      <c r="H255" s="1" t="s">
        <v>147</v>
      </c>
      <c r="I255" s="23" t="s">
        <v>511</v>
      </c>
      <c r="J255" s="25">
        <f>VLOOKUP(H255,Planilha1!B:C,2,0)</f>
        <v>252</v>
      </c>
    </row>
    <row r="256" spans="1:10" ht="15.75" hidden="1" customHeight="1" x14ac:dyDescent="0.15">
      <c r="A256" s="5" t="s">
        <v>196</v>
      </c>
      <c r="B256" s="4" t="s">
        <v>140</v>
      </c>
      <c r="C256" s="6">
        <v>46050</v>
      </c>
      <c r="D256" s="1" t="s">
        <v>140</v>
      </c>
      <c r="E256" s="1" t="s">
        <v>17</v>
      </c>
      <c r="F256" s="4">
        <v>-18.739999999999998</v>
      </c>
      <c r="G256" s="1" t="s">
        <v>466</v>
      </c>
      <c r="H256" s="1" t="s">
        <v>389</v>
      </c>
      <c r="I256" s="23" t="s">
        <v>42</v>
      </c>
      <c r="J256" s="25">
        <f>VLOOKUP(H256,Planilha1!B:C,2,0)</f>
        <v>238</v>
      </c>
    </row>
    <row r="257" spans="1:10" ht="15.75" hidden="1" customHeight="1" x14ac:dyDescent="0.15">
      <c r="A257" s="5" t="s">
        <v>196</v>
      </c>
      <c r="B257" s="4" t="s">
        <v>422</v>
      </c>
      <c r="C257" s="6">
        <v>46050</v>
      </c>
      <c r="D257" s="1" t="s">
        <v>422</v>
      </c>
      <c r="E257" s="1" t="s">
        <v>401</v>
      </c>
      <c r="F257" s="4">
        <v>-700</v>
      </c>
      <c r="G257" s="1" t="s">
        <v>466</v>
      </c>
      <c r="H257" s="1" t="s">
        <v>223</v>
      </c>
      <c r="I257" s="23" t="s">
        <v>66</v>
      </c>
      <c r="J257" s="25">
        <f>VLOOKUP(H257,Planilha1!B:C,2,0)</f>
        <v>185</v>
      </c>
    </row>
    <row r="258" spans="1:10" ht="15.75" hidden="1" customHeight="1" x14ac:dyDescent="0.15">
      <c r="A258" s="5" t="s">
        <v>328</v>
      </c>
      <c r="B258" s="4" t="s">
        <v>492</v>
      </c>
      <c r="C258" s="6">
        <v>46050</v>
      </c>
      <c r="D258" s="1" t="s">
        <v>492</v>
      </c>
      <c r="E258" s="1" t="s">
        <v>213</v>
      </c>
      <c r="F258" s="7">
        <v>5866.84</v>
      </c>
      <c r="G258" s="1" t="s">
        <v>242</v>
      </c>
      <c r="H258" s="1" t="s">
        <v>428</v>
      </c>
      <c r="I258" s="23" t="s">
        <v>299</v>
      </c>
      <c r="J258" s="25" t="str">
        <f>VLOOKUP(H258,Planilha1!B:C,2,0)</f>
        <v>132 a 134</v>
      </c>
    </row>
    <row r="259" spans="1:10" ht="15.75" hidden="1" customHeight="1" x14ac:dyDescent="0.15">
      <c r="A259" s="5" t="s">
        <v>328</v>
      </c>
      <c r="B259" s="4" t="s">
        <v>305</v>
      </c>
      <c r="C259" s="6">
        <v>46050</v>
      </c>
      <c r="D259" s="1" t="s">
        <v>305</v>
      </c>
      <c r="E259" s="1" t="s">
        <v>125</v>
      </c>
      <c r="F259" s="7">
        <v>7527.18</v>
      </c>
      <c r="G259" s="1" t="s">
        <v>242</v>
      </c>
      <c r="H259" s="1" t="s">
        <v>428</v>
      </c>
      <c r="I259" s="23" t="s">
        <v>299</v>
      </c>
      <c r="J259" s="25" t="str">
        <f>VLOOKUP(H259,Planilha1!B:C,2,0)</f>
        <v>132 a 134</v>
      </c>
    </row>
    <row r="260" spans="1:10" ht="15.75" hidden="1" customHeight="1" x14ac:dyDescent="0.15">
      <c r="A260" s="5" t="s">
        <v>328</v>
      </c>
      <c r="B260" s="4" t="s">
        <v>113</v>
      </c>
      <c r="C260" s="6">
        <v>46050</v>
      </c>
      <c r="D260" s="1" t="s">
        <v>113</v>
      </c>
      <c r="E260" s="1" t="s">
        <v>132</v>
      </c>
      <c r="F260" s="7">
        <v>55000</v>
      </c>
      <c r="G260" s="1" t="s">
        <v>242</v>
      </c>
      <c r="H260" s="1" t="s">
        <v>8</v>
      </c>
      <c r="I260" s="23" t="s">
        <v>364</v>
      </c>
      <c r="J260" s="25">
        <f>VLOOKUP(H260,Planilha1!B:C,2,0)</f>
        <v>0</v>
      </c>
    </row>
    <row r="261" spans="1:10" ht="15.75" hidden="1" customHeight="1" x14ac:dyDescent="0.15">
      <c r="A261" s="5" t="s">
        <v>328</v>
      </c>
      <c r="B261" s="4" t="s">
        <v>172</v>
      </c>
      <c r="C261" s="6">
        <v>46051</v>
      </c>
      <c r="D261" s="1" t="s">
        <v>172</v>
      </c>
      <c r="E261" s="1" t="s">
        <v>142</v>
      </c>
      <c r="F261" s="7">
        <v>7961.61</v>
      </c>
      <c r="G261" s="1" t="s">
        <v>242</v>
      </c>
      <c r="H261" s="1" t="s">
        <v>428</v>
      </c>
      <c r="I261" s="23" t="s">
        <v>299</v>
      </c>
      <c r="J261" s="25" t="str">
        <f>VLOOKUP(H261,Planilha1!B:C,2,0)</f>
        <v>132 a 134</v>
      </c>
    </row>
    <row r="262" spans="1:10" ht="15.75" hidden="1" customHeight="1" x14ac:dyDescent="0.15">
      <c r="A262" s="5" t="s">
        <v>328</v>
      </c>
      <c r="B262" s="4" t="s">
        <v>246</v>
      </c>
      <c r="C262" s="6">
        <v>46051</v>
      </c>
      <c r="D262" s="1" t="s">
        <v>246</v>
      </c>
      <c r="E262" s="1" t="s">
        <v>101</v>
      </c>
      <c r="F262" s="7">
        <v>51038.07</v>
      </c>
      <c r="G262" s="1" t="s">
        <v>242</v>
      </c>
      <c r="H262" s="1" t="s">
        <v>8</v>
      </c>
      <c r="I262" s="23" t="s">
        <v>364</v>
      </c>
      <c r="J262" s="25">
        <f>VLOOKUP(H262,Planilha1!B:C,2,0)</f>
        <v>0</v>
      </c>
    </row>
    <row r="263" spans="1:10" ht="15.75" hidden="1" customHeight="1" x14ac:dyDescent="0.15">
      <c r="A263" s="5" t="s">
        <v>328</v>
      </c>
      <c r="B263" s="4" t="s">
        <v>379</v>
      </c>
      <c r="C263" s="6">
        <v>46051</v>
      </c>
      <c r="D263" s="1" t="s">
        <v>379</v>
      </c>
      <c r="E263" s="1" t="s">
        <v>132</v>
      </c>
      <c r="F263" s="7">
        <v>18000</v>
      </c>
      <c r="G263" s="1" t="s">
        <v>242</v>
      </c>
      <c r="H263" s="1" t="s">
        <v>8</v>
      </c>
      <c r="I263" s="23" t="s">
        <v>364</v>
      </c>
      <c r="J263" s="25">
        <f>VLOOKUP(H263,Planilha1!B:C,2,0)</f>
        <v>0</v>
      </c>
    </row>
    <row r="264" spans="1:10" ht="15.75" hidden="1" customHeight="1" x14ac:dyDescent="0.15">
      <c r="A264" s="5" t="s">
        <v>196</v>
      </c>
      <c r="B264" s="4" t="s">
        <v>487</v>
      </c>
      <c r="C264" s="6">
        <v>46051</v>
      </c>
      <c r="D264" s="1" t="s">
        <v>487</v>
      </c>
      <c r="E264" s="1" t="s">
        <v>58</v>
      </c>
      <c r="F264" s="4">
        <v>-179.7</v>
      </c>
      <c r="G264" s="1" t="s">
        <v>466</v>
      </c>
      <c r="H264" s="1" t="s">
        <v>146</v>
      </c>
      <c r="I264" s="23" t="s">
        <v>103</v>
      </c>
      <c r="J264" s="25">
        <f>VLOOKUP(H264,Planilha1!B:C,2,0)</f>
        <v>164</v>
      </c>
    </row>
    <row r="265" spans="1:10" ht="15.75" hidden="1" customHeight="1" x14ac:dyDescent="0.15">
      <c r="A265" s="5" t="s">
        <v>196</v>
      </c>
      <c r="B265" s="4" t="s">
        <v>437</v>
      </c>
      <c r="C265" s="6">
        <v>46051</v>
      </c>
      <c r="D265" s="1" t="s">
        <v>437</v>
      </c>
      <c r="E265" s="1" t="s">
        <v>236</v>
      </c>
      <c r="F265" s="7">
        <v>-3520</v>
      </c>
      <c r="G265" s="1" t="s">
        <v>466</v>
      </c>
      <c r="H265" s="1" t="s">
        <v>205</v>
      </c>
      <c r="I265" s="23" t="s">
        <v>42</v>
      </c>
      <c r="J265" s="25">
        <f>VLOOKUP(H265,Planilha1!B:C,2,0)</f>
        <v>202</v>
      </c>
    </row>
    <row r="266" spans="1:10" ht="15.75" hidden="1" customHeight="1" x14ac:dyDescent="0.15">
      <c r="A266" s="5" t="s">
        <v>196</v>
      </c>
      <c r="B266" s="4" t="s">
        <v>529</v>
      </c>
      <c r="C266" s="6">
        <v>46051</v>
      </c>
      <c r="D266" s="1" t="s">
        <v>529</v>
      </c>
      <c r="E266" s="1" t="s">
        <v>114</v>
      </c>
      <c r="F266" s="7">
        <v>-4633.25</v>
      </c>
      <c r="G266" s="1" t="s">
        <v>466</v>
      </c>
      <c r="H266" s="1" t="s">
        <v>472</v>
      </c>
      <c r="I266" s="23" t="s">
        <v>326</v>
      </c>
      <c r="J266" s="25">
        <f>VLOOKUP(H266,Planilha1!B:C,2,0)</f>
        <v>80</v>
      </c>
    </row>
    <row r="267" spans="1:10" ht="15.75" hidden="1" customHeight="1" x14ac:dyDescent="0.15">
      <c r="A267" s="5" t="s">
        <v>196</v>
      </c>
      <c r="B267" s="4" t="s">
        <v>358</v>
      </c>
      <c r="C267" s="6">
        <v>46051</v>
      </c>
      <c r="D267" s="1" t="s">
        <v>358</v>
      </c>
      <c r="E267" s="1" t="s">
        <v>236</v>
      </c>
      <c r="F267" s="4">
        <v>-864</v>
      </c>
      <c r="G267" s="1" t="s">
        <v>466</v>
      </c>
      <c r="H267" s="1" t="s">
        <v>205</v>
      </c>
      <c r="I267" s="23" t="s">
        <v>42</v>
      </c>
      <c r="J267" s="25">
        <f>VLOOKUP(H267,Planilha1!B:C,2,0)</f>
        <v>202</v>
      </c>
    </row>
    <row r="268" spans="1:10" ht="15.75" hidden="1" customHeight="1" x14ac:dyDescent="0.15">
      <c r="A268" s="5" t="s">
        <v>196</v>
      </c>
      <c r="B268" s="4" t="s">
        <v>225</v>
      </c>
      <c r="C268" s="6">
        <v>46051</v>
      </c>
      <c r="D268" s="1" t="s">
        <v>225</v>
      </c>
      <c r="E268" s="1" t="s">
        <v>9</v>
      </c>
      <c r="F268" s="4">
        <v>-677.68</v>
      </c>
      <c r="G268" s="1" t="s">
        <v>466</v>
      </c>
      <c r="H268" s="1" t="s">
        <v>194</v>
      </c>
      <c r="I268" s="23" t="s">
        <v>219</v>
      </c>
      <c r="J268" s="25">
        <f>VLOOKUP(H268,Planilha1!B:C,2,0)</f>
        <v>80</v>
      </c>
    </row>
    <row r="269" spans="1:10" ht="15.75" hidden="1" customHeight="1" x14ac:dyDescent="0.15">
      <c r="A269" s="5" t="s">
        <v>196</v>
      </c>
      <c r="B269" s="4" t="s">
        <v>505</v>
      </c>
      <c r="C269" s="6">
        <v>46051</v>
      </c>
      <c r="D269" s="1" t="s">
        <v>505</v>
      </c>
      <c r="E269" s="1" t="s">
        <v>236</v>
      </c>
      <c r="F269" s="4">
        <v>-215</v>
      </c>
      <c r="G269" s="1" t="s">
        <v>466</v>
      </c>
      <c r="H269" s="1" t="s">
        <v>396</v>
      </c>
      <c r="I269" s="23" t="s">
        <v>42</v>
      </c>
      <c r="J269" s="25">
        <f>VLOOKUP(H269,Planilha1!B:C,2,0)</f>
        <v>203</v>
      </c>
    </row>
    <row r="270" spans="1:10" ht="15.75" hidden="1" customHeight="1" x14ac:dyDescent="0.15">
      <c r="A270" s="5" t="s">
        <v>196</v>
      </c>
      <c r="B270" s="4" t="s">
        <v>307</v>
      </c>
      <c r="C270" s="6">
        <v>46051</v>
      </c>
      <c r="D270" s="1" t="s">
        <v>307</v>
      </c>
      <c r="E270" s="1" t="s">
        <v>236</v>
      </c>
      <c r="F270" s="7">
        <v>-1075</v>
      </c>
      <c r="G270" s="1" t="s">
        <v>466</v>
      </c>
      <c r="H270" s="19" t="s">
        <v>205</v>
      </c>
      <c r="I270" s="23" t="s">
        <v>42</v>
      </c>
      <c r="J270" s="25">
        <f>VLOOKUP(H270,Planilha1!B:C,2,0)</f>
        <v>202</v>
      </c>
    </row>
    <row r="271" spans="1:10" ht="15.75" hidden="1" customHeight="1" x14ac:dyDescent="0.15">
      <c r="A271" s="5" t="s">
        <v>196</v>
      </c>
      <c r="B271" s="4" t="s">
        <v>256</v>
      </c>
      <c r="C271" s="6">
        <v>46051</v>
      </c>
      <c r="D271" s="1" t="s">
        <v>256</v>
      </c>
      <c r="E271" s="1" t="s">
        <v>78</v>
      </c>
      <c r="F271" s="4">
        <v>-5.78</v>
      </c>
      <c r="G271" s="1" t="s">
        <v>242</v>
      </c>
      <c r="H271" s="1" t="s">
        <v>147</v>
      </c>
      <c r="I271" s="23" t="s">
        <v>511</v>
      </c>
      <c r="J271" s="25">
        <f>VLOOKUP(H271,Planilha1!B:C,2,0)</f>
        <v>252</v>
      </c>
    </row>
    <row r="272" spans="1:10" ht="15.75" hidden="1" customHeight="1" x14ac:dyDescent="0.15">
      <c r="A272" s="5" t="s">
        <v>196</v>
      </c>
      <c r="B272" s="4" t="s">
        <v>227</v>
      </c>
      <c r="C272" s="6">
        <v>46051</v>
      </c>
      <c r="D272" s="1" t="s">
        <v>227</v>
      </c>
      <c r="E272" s="1" t="s">
        <v>68</v>
      </c>
      <c r="F272" s="4">
        <v>-12.84</v>
      </c>
      <c r="G272" s="1" t="s">
        <v>242</v>
      </c>
      <c r="H272" s="1" t="s">
        <v>147</v>
      </c>
      <c r="I272" s="23" t="s">
        <v>511</v>
      </c>
      <c r="J272" s="25">
        <f>VLOOKUP(H272,Planilha1!B:C,2,0)</f>
        <v>252</v>
      </c>
    </row>
    <row r="273" spans="1:10" ht="15.75" hidden="1" customHeight="1" x14ac:dyDescent="0.15">
      <c r="A273" s="5" t="s">
        <v>196</v>
      </c>
      <c r="B273" s="4" t="s">
        <v>273</v>
      </c>
      <c r="C273" s="6">
        <v>46051</v>
      </c>
      <c r="D273" s="1" t="s">
        <v>273</v>
      </c>
      <c r="E273" s="1" t="s">
        <v>52</v>
      </c>
      <c r="F273" s="4">
        <v>-3.27</v>
      </c>
      <c r="G273" s="1" t="s">
        <v>242</v>
      </c>
      <c r="H273" s="1" t="s">
        <v>147</v>
      </c>
      <c r="I273" s="23" t="s">
        <v>511</v>
      </c>
      <c r="J273" s="25">
        <f>VLOOKUP(H273,Planilha1!B:C,2,0)</f>
        <v>252</v>
      </c>
    </row>
    <row r="274" spans="1:10" ht="15.75" hidden="1" customHeight="1" x14ac:dyDescent="0.15">
      <c r="A274" s="5" t="s">
        <v>196</v>
      </c>
      <c r="B274" s="4" t="s">
        <v>139</v>
      </c>
      <c r="C274" s="6">
        <v>46052</v>
      </c>
      <c r="D274" s="1" t="s">
        <v>139</v>
      </c>
      <c r="E274" s="1" t="s">
        <v>195</v>
      </c>
      <c r="F274" s="4">
        <v>-3.28</v>
      </c>
      <c r="G274" s="1" t="s">
        <v>242</v>
      </c>
      <c r="H274" s="1" t="s">
        <v>147</v>
      </c>
      <c r="I274" s="23" t="s">
        <v>511</v>
      </c>
      <c r="J274" s="25">
        <f>VLOOKUP(H274,Planilha1!B:C,2,0)</f>
        <v>252</v>
      </c>
    </row>
    <row r="275" spans="1:10" ht="15.75" hidden="1" customHeight="1" x14ac:dyDescent="0.15">
      <c r="A275" s="5" t="s">
        <v>196</v>
      </c>
      <c r="B275" s="4" t="s">
        <v>354</v>
      </c>
      <c r="C275" s="6">
        <v>46052</v>
      </c>
      <c r="D275" s="1" t="s">
        <v>354</v>
      </c>
      <c r="E275" s="1" t="s">
        <v>68</v>
      </c>
      <c r="F275" s="4">
        <v>-4.28</v>
      </c>
      <c r="G275" s="1" t="s">
        <v>242</v>
      </c>
      <c r="H275" s="1" t="s">
        <v>147</v>
      </c>
      <c r="I275" s="23" t="s">
        <v>511</v>
      </c>
      <c r="J275" s="25">
        <f>VLOOKUP(H275,Planilha1!B:C,2,0)</f>
        <v>252</v>
      </c>
    </row>
    <row r="276" spans="1:10" ht="15.75" hidden="1" customHeight="1" x14ac:dyDescent="0.15">
      <c r="A276" s="5" t="s">
        <v>328</v>
      </c>
      <c r="B276" s="4" t="s">
        <v>383</v>
      </c>
      <c r="C276" s="6">
        <v>46052</v>
      </c>
      <c r="D276" s="1" t="s">
        <v>383</v>
      </c>
      <c r="E276" s="1" t="s">
        <v>92</v>
      </c>
      <c r="F276" s="4">
        <v>624.08000000000004</v>
      </c>
      <c r="G276" s="1" t="s">
        <v>466</v>
      </c>
      <c r="H276" s="1" t="s">
        <v>428</v>
      </c>
      <c r="I276" s="23" t="s">
        <v>42</v>
      </c>
      <c r="J276" s="25" t="str">
        <f>VLOOKUP(H276,Planilha1!B:C,2,0)</f>
        <v>132 a 134</v>
      </c>
    </row>
    <row r="277" spans="1:10" ht="15.75" hidden="1" customHeight="1" x14ac:dyDescent="0.15">
      <c r="A277" s="5" t="s">
        <v>196</v>
      </c>
      <c r="B277" s="4" t="s">
        <v>210</v>
      </c>
      <c r="C277" s="6">
        <v>46052</v>
      </c>
      <c r="D277" s="1" t="s">
        <v>210</v>
      </c>
      <c r="E277" s="1" t="s">
        <v>90</v>
      </c>
      <c r="F277" s="7">
        <v>-3072.5</v>
      </c>
      <c r="G277" s="1" t="s">
        <v>466</v>
      </c>
      <c r="H277" s="1" t="s">
        <v>534</v>
      </c>
      <c r="I277" s="23" t="s">
        <v>103</v>
      </c>
      <c r="J277" s="25">
        <f>VLOOKUP(H277,Planilha1!B:C,2,0)</f>
        <v>186</v>
      </c>
    </row>
    <row r="278" spans="1:10" ht="15.75" hidden="1" customHeight="1" x14ac:dyDescent="0.15">
      <c r="A278" s="5" t="s">
        <v>196</v>
      </c>
      <c r="B278" s="4" t="s">
        <v>261</v>
      </c>
      <c r="C278" s="6">
        <v>46052</v>
      </c>
      <c r="D278" s="1" t="s">
        <v>261</v>
      </c>
      <c r="E278" s="1" t="s">
        <v>90</v>
      </c>
      <c r="F278" s="7">
        <v>-1080</v>
      </c>
      <c r="G278" s="1" t="s">
        <v>466</v>
      </c>
      <c r="H278" s="1" t="s">
        <v>23</v>
      </c>
      <c r="I278" s="23" t="s">
        <v>177</v>
      </c>
      <c r="J278" s="25">
        <f>VLOOKUP(H278,Planilha1!B:C,2,0)</f>
        <v>184</v>
      </c>
    </row>
    <row r="279" spans="1:10" ht="15.75" hidden="1" customHeight="1" x14ac:dyDescent="0.15">
      <c r="A279" s="5" t="s">
        <v>196</v>
      </c>
      <c r="B279" s="4" t="s">
        <v>48</v>
      </c>
      <c r="C279" s="6">
        <v>46052</v>
      </c>
      <c r="D279" s="1" t="s">
        <v>48</v>
      </c>
      <c r="E279" s="1" t="s">
        <v>90</v>
      </c>
      <c r="F279" s="4">
        <v>-75</v>
      </c>
      <c r="G279" s="1" t="s">
        <v>466</v>
      </c>
      <c r="H279" s="1" t="s">
        <v>331</v>
      </c>
      <c r="I279" s="23" t="s">
        <v>177</v>
      </c>
      <c r="J279" s="25">
        <f>VLOOKUP(H279,Planilha1!B:C,2,0)</f>
        <v>207</v>
      </c>
    </row>
    <row r="280" spans="1:10" ht="15.75" hidden="1" customHeight="1" x14ac:dyDescent="0.15">
      <c r="A280" s="5" t="s">
        <v>196</v>
      </c>
      <c r="B280" s="4" t="s">
        <v>2</v>
      </c>
      <c r="C280" s="6">
        <v>46052</v>
      </c>
      <c r="D280" s="1" t="s">
        <v>2</v>
      </c>
      <c r="E280" s="1" t="s">
        <v>156</v>
      </c>
      <c r="F280" s="4">
        <v>-720</v>
      </c>
      <c r="G280" s="1" t="s">
        <v>466</v>
      </c>
      <c r="H280" s="1" t="s">
        <v>23</v>
      </c>
      <c r="I280" s="23" t="s">
        <v>177</v>
      </c>
      <c r="J280" s="25">
        <f>VLOOKUP(H280,Planilha1!B:C,2,0)</f>
        <v>184</v>
      </c>
    </row>
    <row r="281" spans="1:10" ht="15.75" hidden="1" customHeight="1" x14ac:dyDescent="0.15">
      <c r="A281" s="5" t="s">
        <v>196</v>
      </c>
      <c r="B281" s="4" t="s">
        <v>398</v>
      </c>
      <c r="C281" s="6">
        <v>46052</v>
      </c>
      <c r="D281" s="1" t="s">
        <v>398</v>
      </c>
      <c r="E281" s="1" t="s">
        <v>156</v>
      </c>
      <c r="F281" s="4">
        <v>-75</v>
      </c>
      <c r="G281" s="1" t="s">
        <v>466</v>
      </c>
      <c r="H281" s="1" t="s">
        <v>331</v>
      </c>
      <c r="I281" s="23" t="s">
        <v>177</v>
      </c>
      <c r="J281" s="25">
        <f>VLOOKUP(H281,Planilha1!B:C,2,0)</f>
        <v>207</v>
      </c>
    </row>
    <row r="282" spans="1:10" ht="15.75" hidden="1" customHeight="1" x14ac:dyDescent="0.15">
      <c r="A282" s="5" t="s">
        <v>196</v>
      </c>
      <c r="B282" s="4" t="s">
        <v>212</v>
      </c>
      <c r="C282" s="6">
        <v>46052</v>
      </c>
      <c r="D282" s="1" t="s">
        <v>212</v>
      </c>
      <c r="E282" s="1" t="s">
        <v>372</v>
      </c>
      <c r="F282" s="4">
        <v>-210</v>
      </c>
      <c r="G282" s="1" t="s">
        <v>466</v>
      </c>
      <c r="H282" s="1" t="s">
        <v>71</v>
      </c>
      <c r="I282" s="23" t="s">
        <v>177</v>
      </c>
      <c r="J282" s="25">
        <f>VLOOKUP(H282,Planilha1!B:C,2,0)</f>
        <v>227</v>
      </c>
    </row>
    <row r="283" spans="1:10" ht="15.75" hidden="1" customHeight="1" x14ac:dyDescent="0.15">
      <c r="A283" s="5" t="s">
        <v>196</v>
      </c>
      <c r="B283" s="4" t="s">
        <v>124</v>
      </c>
      <c r="C283" s="6">
        <v>46052</v>
      </c>
      <c r="D283" s="1" t="s">
        <v>124</v>
      </c>
      <c r="E283" s="1" t="s">
        <v>211</v>
      </c>
      <c r="F283" s="7">
        <v>-25525.37</v>
      </c>
      <c r="G283" s="1" t="s">
        <v>466</v>
      </c>
      <c r="H283" s="1" t="s">
        <v>146</v>
      </c>
      <c r="I283" s="23" t="s">
        <v>103</v>
      </c>
      <c r="J283" s="25">
        <f>VLOOKUP(H283,Planilha1!B:C,2,0)</f>
        <v>164</v>
      </c>
    </row>
    <row r="284" spans="1:10" ht="15.75" hidden="1" customHeight="1" x14ac:dyDescent="0.15">
      <c r="A284" s="5" t="s">
        <v>196</v>
      </c>
      <c r="B284" s="4" t="s">
        <v>55</v>
      </c>
      <c r="C284" s="6">
        <v>46052</v>
      </c>
      <c r="D284" s="1" t="s">
        <v>55</v>
      </c>
      <c r="E284" s="1" t="s">
        <v>114</v>
      </c>
      <c r="F284" s="7">
        <v>-8008.19</v>
      </c>
      <c r="G284" s="1" t="s">
        <v>466</v>
      </c>
      <c r="H284" s="1" t="s">
        <v>472</v>
      </c>
      <c r="I284" s="23" t="s">
        <v>326</v>
      </c>
      <c r="J284" s="25">
        <f>VLOOKUP(H284,Planilha1!B:C,2,0)</f>
        <v>80</v>
      </c>
    </row>
    <row r="285" spans="1:10" ht="15.75" hidden="1" customHeight="1" x14ac:dyDescent="0.15">
      <c r="A285" s="5" t="s">
        <v>196</v>
      </c>
      <c r="B285" s="4" t="s">
        <v>513</v>
      </c>
      <c r="C285" s="6">
        <v>46052</v>
      </c>
      <c r="D285" s="1" t="s">
        <v>513</v>
      </c>
      <c r="E285" s="1" t="s">
        <v>438</v>
      </c>
      <c r="F285" s="4">
        <v>-263.8</v>
      </c>
      <c r="G285" s="1" t="s">
        <v>466</v>
      </c>
      <c r="H285" s="1" t="s">
        <v>71</v>
      </c>
      <c r="I285" s="23" t="s">
        <v>42</v>
      </c>
      <c r="J285" s="25">
        <f>VLOOKUP(H285,Planilha1!B:C,2,0)</f>
        <v>227</v>
      </c>
    </row>
    <row r="286" spans="1:10" ht="15.75" hidden="1" customHeight="1" x14ac:dyDescent="0.15">
      <c r="A286" s="5" t="s">
        <v>196</v>
      </c>
      <c r="B286" s="4" t="s">
        <v>340</v>
      </c>
      <c r="C286" s="6">
        <v>46052</v>
      </c>
      <c r="D286" s="1" t="s">
        <v>340</v>
      </c>
      <c r="E286" s="1" t="s">
        <v>87</v>
      </c>
      <c r="F286" s="7">
        <v>-2491.48</v>
      </c>
      <c r="G286" s="1" t="s">
        <v>466</v>
      </c>
      <c r="H286" s="1" t="s">
        <v>173</v>
      </c>
      <c r="I286" s="23" t="s">
        <v>511</v>
      </c>
      <c r="J286" s="25">
        <f>VLOOKUP(H286,Planilha1!B:C,2,0)</f>
        <v>68</v>
      </c>
    </row>
    <row r="287" spans="1:10" ht="15.75" hidden="1" customHeight="1" x14ac:dyDescent="0.15">
      <c r="A287" s="5" t="s">
        <v>196</v>
      </c>
      <c r="B287" s="4" t="s">
        <v>168</v>
      </c>
      <c r="C287" s="6">
        <v>46052</v>
      </c>
      <c r="D287" s="1" t="s">
        <v>168</v>
      </c>
      <c r="E287" s="1" t="s">
        <v>87</v>
      </c>
      <c r="F287" s="4">
        <v>-320.39999999999998</v>
      </c>
      <c r="G287" s="1" t="s">
        <v>466</v>
      </c>
      <c r="H287" s="1" t="s">
        <v>416</v>
      </c>
      <c r="I287" s="23" t="s">
        <v>511</v>
      </c>
      <c r="J287" s="25">
        <f>VLOOKUP(H287,Planilha1!B:C,2,0)</f>
        <v>201</v>
      </c>
    </row>
    <row r="288" spans="1:10" ht="15.75" hidden="1" customHeight="1" x14ac:dyDescent="0.15">
      <c r="A288" s="5" t="s">
        <v>196</v>
      </c>
      <c r="B288" s="4" t="s">
        <v>314</v>
      </c>
      <c r="C288" s="6">
        <v>46052</v>
      </c>
      <c r="D288" s="1" t="s">
        <v>314</v>
      </c>
      <c r="E288" s="1" t="s">
        <v>29</v>
      </c>
      <c r="F288" s="7">
        <v>-6666.8</v>
      </c>
      <c r="G288" s="1" t="s">
        <v>466</v>
      </c>
      <c r="H288" s="1" t="s">
        <v>178</v>
      </c>
      <c r="I288" s="23" t="s">
        <v>348</v>
      </c>
      <c r="J288" s="25">
        <f>VLOOKUP(H288,Planilha1!B:C,2,0)</f>
        <v>181</v>
      </c>
    </row>
    <row r="289" spans="1:10" ht="15.75" hidden="1" customHeight="1" x14ac:dyDescent="0.15">
      <c r="A289" s="5" t="s">
        <v>196</v>
      </c>
      <c r="B289" s="4" t="s">
        <v>0</v>
      </c>
      <c r="C289" s="6">
        <v>46052</v>
      </c>
      <c r="D289" s="1" t="s">
        <v>0</v>
      </c>
      <c r="E289" s="1" t="s">
        <v>278</v>
      </c>
      <c r="F289" s="7">
        <v>-4000</v>
      </c>
      <c r="G289" s="1" t="s">
        <v>466</v>
      </c>
      <c r="H289" s="1" t="s">
        <v>178</v>
      </c>
      <c r="I289" s="23" t="s">
        <v>348</v>
      </c>
      <c r="J289" s="25">
        <f>VLOOKUP(H289,Planilha1!B:C,2,0)</f>
        <v>181</v>
      </c>
    </row>
    <row r="290" spans="1:10" ht="15.75" hidden="1" customHeight="1" x14ac:dyDescent="0.15">
      <c r="A290" s="5" t="s">
        <v>196</v>
      </c>
      <c r="B290" s="4" t="s">
        <v>468</v>
      </c>
      <c r="C290" s="6">
        <v>46052</v>
      </c>
      <c r="D290" s="1" t="s">
        <v>468</v>
      </c>
      <c r="E290" s="1" t="s">
        <v>496</v>
      </c>
      <c r="F290" s="7">
        <v>-2000</v>
      </c>
      <c r="G290" s="1" t="s">
        <v>466</v>
      </c>
      <c r="H290" s="1" t="s">
        <v>381</v>
      </c>
      <c r="I290" s="23" t="s">
        <v>348</v>
      </c>
      <c r="J290" s="25">
        <f>VLOOKUP(H290,Planilha1!B:C,2,0)</f>
        <v>217</v>
      </c>
    </row>
    <row r="291" spans="1:10" ht="15.75" hidden="1" customHeight="1" x14ac:dyDescent="0.15">
      <c r="A291" s="5" t="s">
        <v>196</v>
      </c>
      <c r="B291" s="4" t="s">
        <v>500</v>
      </c>
      <c r="C291" s="6">
        <v>46052</v>
      </c>
      <c r="D291" s="1" t="s">
        <v>500</v>
      </c>
      <c r="E291" s="1" t="s">
        <v>489</v>
      </c>
      <c r="F291" s="7">
        <v>-2764.65</v>
      </c>
      <c r="G291" s="1" t="s">
        <v>466</v>
      </c>
      <c r="H291" s="1" t="s">
        <v>173</v>
      </c>
      <c r="I291" s="23" t="s">
        <v>348</v>
      </c>
      <c r="J291" s="25">
        <f>VLOOKUP(H291,Planilha1!B:C,2,0)</f>
        <v>68</v>
      </c>
    </row>
    <row r="292" spans="1:10" ht="15.75" hidden="1" customHeight="1" x14ac:dyDescent="0.15">
      <c r="A292" s="5" t="s">
        <v>196</v>
      </c>
      <c r="B292" s="4" t="s">
        <v>267</v>
      </c>
      <c r="C292" s="6">
        <v>46052</v>
      </c>
      <c r="D292" s="1" t="s">
        <v>267</v>
      </c>
      <c r="E292" s="1" t="s">
        <v>489</v>
      </c>
      <c r="F292" s="4">
        <v>-320.39999999999998</v>
      </c>
      <c r="G292" s="1" t="s">
        <v>466</v>
      </c>
      <c r="H292" s="1" t="s">
        <v>416</v>
      </c>
      <c r="I292" s="23" t="s">
        <v>348</v>
      </c>
      <c r="J292" s="25">
        <f>VLOOKUP(H292,Planilha1!B:C,2,0)</f>
        <v>201</v>
      </c>
    </row>
    <row r="293" spans="1:10" ht="15.75" hidden="1" customHeight="1" x14ac:dyDescent="0.15">
      <c r="A293" s="5" t="s">
        <v>196</v>
      </c>
      <c r="B293" s="4" t="s">
        <v>220</v>
      </c>
      <c r="C293" s="6">
        <v>46052</v>
      </c>
      <c r="D293" s="1" t="s">
        <v>220</v>
      </c>
      <c r="E293" s="1" t="s">
        <v>451</v>
      </c>
      <c r="F293" s="7">
        <v>-1881.35</v>
      </c>
      <c r="G293" s="1" t="s">
        <v>466</v>
      </c>
      <c r="H293" s="1" t="s">
        <v>173</v>
      </c>
      <c r="I293" s="23" t="s">
        <v>348</v>
      </c>
      <c r="J293" s="25">
        <f>VLOOKUP(H293,Planilha1!B:C,2,0)</f>
        <v>68</v>
      </c>
    </row>
    <row r="294" spans="1:10" ht="15.75" hidden="1" customHeight="1" x14ac:dyDescent="0.15">
      <c r="A294" s="5" t="s">
        <v>196</v>
      </c>
      <c r="B294" s="4" t="s">
        <v>84</v>
      </c>
      <c r="C294" s="6">
        <v>46052</v>
      </c>
      <c r="D294" s="1" t="s">
        <v>84</v>
      </c>
      <c r="E294" s="1" t="s">
        <v>451</v>
      </c>
      <c r="F294" s="4">
        <v>-187.2</v>
      </c>
      <c r="G294" s="1" t="s">
        <v>466</v>
      </c>
      <c r="H294" s="1" t="s">
        <v>416</v>
      </c>
      <c r="I294" s="23" t="s">
        <v>348</v>
      </c>
      <c r="J294" s="25">
        <f>VLOOKUP(H294,Planilha1!B:C,2,0)</f>
        <v>201</v>
      </c>
    </row>
    <row r="295" spans="1:10" ht="15.75" hidden="1" customHeight="1" x14ac:dyDescent="0.15">
      <c r="A295" s="5" t="s">
        <v>196</v>
      </c>
      <c r="B295" s="4" t="s">
        <v>482</v>
      </c>
      <c r="C295" s="6">
        <v>46052</v>
      </c>
      <c r="D295" s="1" t="s">
        <v>482</v>
      </c>
      <c r="E295" s="1" t="s">
        <v>257</v>
      </c>
      <c r="F295" s="4">
        <v>-286.10000000000002</v>
      </c>
      <c r="G295" s="1" t="s">
        <v>466</v>
      </c>
      <c r="H295" s="1" t="s">
        <v>173</v>
      </c>
      <c r="I295" s="23" t="s">
        <v>219</v>
      </c>
      <c r="J295" s="25">
        <f>VLOOKUP(H295,Planilha1!B:C,2,0)</f>
        <v>68</v>
      </c>
    </row>
    <row r="296" spans="1:10" ht="15.75" hidden="1" customHeight="1" x14ac:dyDescent="0.15">
      <c r="A296" s="5" t="s">
        <v>196</v>
      </c>
      <c r="B296" s="4" t="s">
        <v>155</v>
      </c>
      <c r="C296" s="6">
        <v>46052</v>
      </c>
      <c r="D296" s="1" t="s">
        <v>155</v>
      </c>
      <c r="E296" s="1" t="s">
        <v>257</v>
      </c>
      <c r="F296" s="4">
        <v>-399.96</v>
      </c>
      <c r="G296" s="1" t="s">
        <v>466</v>
      </c>
      <c r="H296" s="1" t="s">
        <v>416</v>
      </c>
      <c r="I296" s="23" t="s">
        <v>219</v>
      </c>
      <c r="J296" s="25">
        <f>VLOOKUP(H296,Planilha1!B:C,2,0)</f>
        <v>201</v>
      </c>
    </row>
    <row r="297" spans="1:10" ht="15.75" hidden="1" customHeight="1" x14ac:dyDescent="0.15">
      <c r="A297" s="5" t="s">
        <v>196</v>
      </c>
      <c r="B297" s="4" t="s">
        <v>233</v>
      </c>
      <c r="C297" s="6">
        <v>46052</v>
      </c>
      <c r="D297" s="1" t="s">
        <v>233</v>
      </c>
      <c r="E297" s="1" t="s">
        <v>179</v>
      </c>
      <c r="F297" s="4">
        <v>-540</v>
      </c>
      <c r="G297" s="1" t="s">
        <v>466</v>
      </c>
      <c r="H297" s="1" t="s">
        <v>23</v>
      </c>
      <c r="I297" s="23" t="s">
        <v>177</v>
      </c>
      <c r="J297" s="25">
        <f>VLOOKUP(H297,Planilha1!B:C,2,0)</f>
        <v>184</v>
      </c>
    </row>
    <row r="298" spans="1:10" ht="15.75" hidden="1" customHeight="1" x14ac:dyDescent="0.15">
      <c r="A298" s="5" t="s">
        <v>196</v>
      </c>
      <c r="B298" s="4" t="s">
        <v>369</v>
      </c>
      <c r="C298" s="6">
        <v>46052</v>
      </c>
      <c r="D298" s="1" t="s">
        <v>369</v>
      </c>
      <c r="E298" s="1" t="s">
        <v>248</v>
      </c>
      <c r="F298" s="7">
        <v>-10000</v>
      </c>
      <c r="G298" s="1" t="s">
        <v>466</v>
      </c>
      <c r="H298" s="1" t="s">
        <v>36</v>
      </c>
      <c r="I298" s="23" t="s">
        <v>66</v>
      </c>
      <c r="J298" s="25">
        <f>VLOOKUP(H298,Planilha1!B:C,2,0)</f>
        <v>752</v>
      </c>
    </row>
    <row r="299" spans="1:10" ht="15.75" hidden="1" customHeight="1" x14ac:dyDescent="0.15">
      <c r="A299" s="5" t="s">
        <v>196</v>
      </c>
      <c r="B299" s="4" t="s">
        <v>134</v>
      </c>
      <c r="C299" s="6">
        <v>46052</v>
      </c>
      <c r="D299" s="1" t="s">
        <v>134</v>
      </c>
      <c r="E299" s="1" t="s">
        <v>332</v>
      </c>
      <c r="F299" s="4">
        <v>-720</v>
      </c>
      <c r="G299" s="1" t="s">
        <v>466</v>
      </c>
      <c r="H299" s="1" t="s">
        <v>23</v>
      </c>
      <c r="I299" s="23" t="s">
        <v>177</v>
      </c>
      <c r="J299" s="25">
        <f>VLOOKUP(H299,Planilha1!B:C,2,0)</f>
        <v>184</v>
      </c>
    </row>
    <row r="300" spans="1:10" ht="15.75" hidden="1" customHeight="1" x14ac:dyDescent="0.15">
      <c r="A300" s="5" t="s">
        <v>196</v>
      </c>
      <c r="B300" s="4" t="s">
        <v>102</v>
      </c>
      <c r="C300" s="6">
        <v>46052</v>
      </c>
      <c r="D300" s="1" t="s">
        <v>102</v>
      </c>
      <c r="E300" s="1" t="s">
        <v>332</v>
      </c>
      <c r="F300" s="4">
        <v>-75</v>
      </c>
      <c r="G300" s="1" t="s">
        <v>466</v>
      </c>
      <c r="H300" s="1" t="s">
        <v>331</v>
      </c>
      <c r="I300" s="23" t="s">
        <v>177</v>
      </c>
      <c r="J300" s="25">
        <f>VLOOKUP(H300,Planilha1!B:C,2,0)</f>
        <v>207</v>
      </c>
    </row>
    <row r="301" spans="1:10" ht="15.75" hidden="1" customHeight="1" x14ac:dyDescent="0.15">
      <c r="A301" s="5" t="s">
        <v>196</v>
      </c>
      <c r="B301" s="4" t="s">
        <v>56</v>
      </c>
      <c r="C301" s="6">
        <v>46052</v>
      </c>
      <c r="D301" s="1" t="s">
        <v>56</v>
      </c>
      <c r="E301" s="1" t="s">
        <v>1</v>
      </c>
      <c r="F301" s="7">
        <v>-8570.81</v>
      </c>
      <c r="G301" s="1" t="s">
        <v>466</v>
      </c>
      <c r="H301" s="1" t="s">
        <v>95</v>
      </c>
      <c r="I301" s="23" t="s">
        <v>42</v>
      </c>
      <c r="J301" s="25">
        <f>VLOOKUP(H301,Planilha1!B:C,2,0)</f>
        <v>180</v>
      </c>
    </row>
    <row r="302" spans="1:10" ht="15.75" hidden="1" customHeight="1" x14ac:dyDescent="0.15">
      <c r="A302" s="5" t="s">
        <v>196</v>
      </c>
      <c r="B302" s="4" t="s">
        <v>488</v>
      </c>
      <c r="C302" s="6">
        <v>46052</v>
      </c>
      <c r="D302" s="1" t="s">
        <v>488</v>
      </c>
      <c r="E302" s="1" t="s">
        <v>17</v>
      </c>
      <c r="F302" s="7">
        <v>-1776.37</v>
      </c>
      <c r="G302" s="1" t="s">
        <v>466</v>
      </c>
      <c r="H302" s="1" t="s">
        <v>173</v>
      </c>
      <c r="I302" s="23" t="s">
        <v>103</v>
      </c>
      <c r="J302" s="25">
        <f>VLOOKUP(H302,Planilha1!B:C,2,0)</f>
        <v>68</v>
      </c>
    </row>
    <row r="303" spans="1:10" ht="15.75" hidden="1" customHeight="1" x14ac:dyDescent="0.15">
      <c r="A303" s="5" t="s">
        <v>196</v>
      </c>
      <c r="B303" s="4" t="s">
        <v>435</v>
      </c>
      <c r="C303" s="6">
        <v>46052</v>
      </c>
      <c r="D303" s="1" t="s">
        <v>435</v>
      </c>
      <c r="E303" s="1" t="s">
        <v>17</v>
      </c>
      <c r="F303" s="4">
        <v>-408.6</v>
      </c>
      <c r="G303" s="1" t="s">
        <v>466</v>
      </c>
      <c r="H303" s="1" t="s">
        <v>416</v>
      </c>
      <c r="I303" s="23" t="s">
        <v>103</v>
      </c>
      <c r="J303" s="25">
        <f>VLOOKUP(H303,Planilha1!B:C,2,0)</f>
        <v>201</v>
      </c>
    </row>
    <row r="304" spans="1:10" ht="15.75" hidden="1" customHeight="1" x14ac:dyDescent="0.15">
      <c r="A304" s="5" t="s">
        <v>196</v>
      </c>
      <c r="B304" s="4" t="s">
        <v>458</v>
      </c>
      <c r="C304" s="6">
        <v>46052</v>
      </c>
      <c r="D304" s="1" t="s">
        <v>458</v>
      </c>
      <c r="E304" s="1" t="s">
        <v>40</v>
      </c>
      <c r="F304" s="7">
        <v>-4300</v>
      </c>
      <c r="G304" s="1" t="s">
        <v>466</v>
      </c>
      <c r="H304" s="1" t="s">
        <v>381</v>
      </c>
      <c r="I304" s="23" t="s">
        <v>348</v>
      </c>
      <c r="J304" s="25">
        <f>VLOOKUP(H304,Planilha1!B:C,2,0)</f>
        <v>217</v>
      </c>
    </row>
    <row r="305" spans="1:10" ht="15.75" hidden="1" customHeight="1" x14ac:dyDescent="0.15">
      <c r="A305" s="5" t="s">
        <v>196</v>
      </c>
      <c r="B305" s="4" t="s">
        <v>190</v>
      </c>
      <c r="C305" s="6">
        <v>46052</v>
      </c>
      <c r="D305" s="1" t="s">
        <v>190</v>
      </c>
      <c r="E305" s="1" t="s">
        <v>371</v>
      </c>
      <c r="F305" s="7">
        <v>-3000</v>
      </c>
      <c r="G305" s="1" t="s">
        <v>466</v>
      </c>
      <c r="H305" s="1" t="s">
        <v>431</v>
      </c>
      <c r="I305" s="23" t="s">
        <v>219</v>
      </c>
      <c r="J305" s="25">
        <f>VLOOKUP(H305,Planilha1!B:C,2,0)</f>
        <v>805</v>
      </c>
    </row>
    <row r="306" spans="1:10" ht="15.75" hidden="1" customHeight="1" x14ac:dyDescent="0.15">
      <c r="A306" s="5" t="s">
        <v>196</v>
      </c>
      <c r="B306" s="4" t="s">
        <v>60</v>
      </c>
      <c r="C306" s="6">
        <v>46052</v>
      </c>
      <c r="D306" s="1" t="s">
        <v>60</v>
      </c>
      <c r="E306" s="1" t="s">
        <v>67</v>
      </c>
      <c r="F306" s="7">
        <v>-5750</v>
      </c>
      <c r="G306" s="1" t="s">
        <v>466</v>
      </c>
      <c r="H306" s="1" t="s">
        <v>149</v>
      </c>
      <c r="I306" s="23" t="s">
        <v>511</v>
      </c>
      <c r="J306" s="25">
        <f>VLOOKUP(H306,Planilha1!B:C,2,0)</f>
        <v>179</v>
      </c>
    </row>
    <row r="307" spans="1:10" ht="15.75" hidden="1" customHeight="1" x14ac:dyDescent="0.15">
      <c r="A307" s="5" t="s">
        <v>196</v>
      </c>
      <c r="B307" s="4" t="s">
        <v>144</v>
      </c>
      <c r="C307" s="6">
        <v>46052</v>
      </c>
      <c r="D307" s="1" t="s">
        <v>144</v>
      </c>
      <c r="E307" s="1" t="s">
        <v>107</v>
      </c>
      <c r="F307" s="7">
        <v>-6750</v>
      </c>
      <c r="G307" s="1" t="s">
        <v>466</v>
      </c>
      <c r="H307" s="1" t="s">
        <v>534</v>
      </c>
      <c r="I307" s="23" t="s">
        <v>103</v>
      </c>
      <c r="J307" s="25">
        <f>VLOOKUP(H307,Planilha1!B:C,2,0)</f>
        <v>186</v>
      </c>
    </row>
    <row r="308" spans="1:10" ht="15.75" customHeight="1" x14ac:dyDescent="0.15">
      <c r="A308" s="5" t="s">
        <v>196</v>
      </c>
      <c r="B308" s="4" t="s">
        <v>14</v>
      </c>
      <c r="C308" s="6">
        <v>46052</v>
      </c>
      <c r="D308" s="1" t="s">
        <v>14</v>
      </c>
      <c r="E308" s="1" t="s">
        <v>4</v>
      </c>
      <c r="F308" s="7">
        <v>-10000</v>
      </c>
      <c r="G308" s="1" t="s">
        <v>466</v>
      </c>
      <c r="H308" s="1" t="s">
        <v>245</v>
      </c>
      <c r="I308" s="23" t="s">
        <v>42</v>
      </c>
      <c r="J308" s="25" t="e">
        <f>VLOOKUP(H308,Planilha1!B:C,2,0)</f>
        <v>#N/A</v>
      </c>
    </row>
    <row r="309" spans="1:10" ht="15.75" hidden="1" customHeight="1" x14ac:dyDescent="0.15">
      <c r="A309" s="5" t="s">
        <v>196</v>
      </c>
      <c r="B309" s="4" t="s">
        <v>162</v>
      </c>
      <c r="C309" s="6">
        <v>46052</v>
      </c>
      <c r="D309" s="1" t="s">
        <v>162</v>
      </c>
      <c r="E309" s="1" t="s">
        <v>39</v>
      </c>
      <c r="F309" s="7">
        <v>-1772.98</v>
      </c>
      <c r="G309" s="1" t="s">
        <v>466</v>
      </c>
      <c r="H309" s="1" t="s">
        <v>173</v>
      </c>
      <c r="I309" s="23" t="s">
        <v>219</v>
      </c>
      <c r="J309" s="25">
        <f>VLOOKUP(H309,Planilha1!B:C,2,0)</f>
        <v>68</v>
      </c>
    </row>
    <row r="310" spans="1:10" ht="15.75" hidden="1" customHeight="1" x14ac:dyDescent="0.15">
      <c r="A310" s="5" t="s">
        <v>196</v>
      </c>
      <c r="B310" s="4" t="s">
        <v>335</v>
      </c>
      <c r="C310" s="6">
        <v>46052</v>
      </c>
      <c r="D310" s="1" t="s">
        <v>335</v>
      </c>
      <c r="E310" s="1" t="s">
        <v>39</v>
      </c>
      <c r="F310" s="4">
        <v>-351</v>
      </c>
      <c r="G310" s="1" t="s">
        <v>466</v>
      </c>
      <c r="H310" s="1" t="s">
        <v>416</v>
      </c>
      <c r="I310" s="23" t="s">
        <v>219</v>
      </c>
      <c r="J310" s="25">
        <f>VLOOKUP(H310,Planilha1!B:C,2,0)</f>
        <v>201</v>
      </c>
    </row>
    <row r="311" spans="1:10" ht="15.75" hidden="1" customHeight="1" x14ac:dyDescent="0.15">
      <c r="A311" s="5" t="s">
        <v>196</v>
      </c>
      <c r="B311" s="4" t="s">
        <v>268</v>
      </c>
      <c r="C311" s="6">
        <v>46052</v>
      </c>
      <c r="D311" s="1" t="s">
        <v>268</v>
      </c>
      <c r="E311" s="1" t="s">
        <v>339</v>
      </c>
      <c r="F311" s="7">
        <v>-3710</v>
      </c>
      <c r="G311" s="1" t="s">
        <v>466</v>
      </c>
      <c r="H311" s="1" t="s">
        <v>23</v>
      </c>
      <c r="I311" s="23" t="s">
        <v>177</v>
      </c>
      <c r="J311" s="25">
        <f>VLOOKUP(H311,Planilha1!B:C,2,0)</f>
        <v>184</v>
      </c>
    </row>
    <row r="312" spans="1:10" ht="15.75" hidden="1" customHeight="1" x14ac:dyDescent="0.15">
      <c r="A312" s="5" t="s">
        <v>196</v>
      </c>
      <c r="B312" s="4" t="s">
        <v>289</v>
      </c>
      <c r="C312" s="6">
        <v>46052</v>
      </c>
      <c r="D312" s="1" t="s">
        <v>289</v>
      </c>
      <c r="E312" s="1" t="s">
        <v>339</v>
      </c>
      <c r="F312" s="4">
        <v>-150</v>
      </c>
      <c r="G312" s="1" t="s">
        <v>466</v>
      </c>
      <c r="H312" s="1" t="s">
        <v>331</v>
      </c>
      <c r="I312" s="23" t="s">
        <v>177</v>
      </c>
      <c r="J312" s="25">
        <f>VLOOKUP(H312,Planilha1!B:C,2,0)</f>
        <v>207</v>
      </c>
    </row>
    <row r="313" spans="1:10" ht="15.75" hidden="1" customHeight="1" x14ac:dyDescent="0.15">
      <c r="A313" s="5" t="s">
        <v>196</v>
      </c>
      <c r="B313" s="4" t="s">
        <v>491</v>
      </c>
      <c r="C313" s="6">
        <v>46052</v>
      </c>
      <c r="D313" s="1" t="s">
        <v>491</v>
      </c>
      <c r="E313" s="1" t="s">
        <v>202</v>
      </c>
      <c r="F313" s="7">
        <v>-1350</v>
      </c>
      <c r="G313" s="1" t="s">
        <v>466</v>
      </c>
      <c r="H313" s="1" t="s">
        <v>23</v>
      </c>
      <c r="I313" s="23" t="s">
        <v>177</v>
      </c>
      <c r="J313" s="25">
        <f>VLOOKUP(H313,Planilha1!B:C,2,0)</f>
        <v>184</v>
      </c>
    </row>
    <row r="314" spans="1:10" ht="15.75" hidden="1" customHeight="1" x14ac:dyDescent="0.15">
      <c r="A314" s="5" t="s">
        <v>196</v>
      </c>
      <c r="B314" s="4" t="s">
        <v>450</v>
      </c>
      <c r="C314" s="6">
        <v>46052</v>
      </c>
      <c r="D314" s="1" t="s">
        <v>450</v>
      </c>
      <c r="E314" s="1" t="s">
        <v>202</v>
      </c>
      <c r="F314" s="4">
        <v>-75</v>
      </c>
      <c r="G314" s="1" t="s">
        <v>466</v>
      </c>
      <c r="H314" s="1" t="s">
        <v>331</v>
      </c>
      <c r="I314" s="23" t="s">
        <v>177</v>
      </c>
      <c r="J314" s="25">
        <f>VLOOKUP(H314,Planilha1!B:C,2,0)</f>
        <v>207</v>
      </c>
    </row>
    <row r="315" spans="1:10" ht="15.75" hidden="1" customHeight="1" x14ac:dyDescent="0.15">
      <c r="A315" s="5" t="s">
        <v>328</v>
      </c>
      <c r="B315" s="4" t="s">
        <v>75</v>
      </c>
      <c r="C315" s="6">
        <v>46052</v>
      </c>
      <c r="D315" s="1" t="s">
        <v>75</v>
      </c>
      <c r="E315" s="1" t="s">
        <v>260</v>
      </c>
      <c r="F315" s="4">
        <v>44.5</v>
      </c>
      <c r="G315" s="1" t="s">
        <v>242</v>
      </c>
      <c r="H315" s="1" t="s">
        <v>428</v>
      </c>
      <c r="I315" s="23" t="s">
        <v>299</v>
      </c>
      <c r="J315" s="25" t="str">
        <f>VLOOKUP(H315,Planilha1!B:C,2,0)</f>
        <v>132 a 134</v>
      </c>
    </row>
    <row r="316" spans="1:10" ht="15.75" hidden="1" customHeight="1" x14ac:dyDescent="0.15">
      <c r="A316" s="5" t="s">
        <v>328</v>
      </c>
      <c r="B316" s="4" t="s">
        <v>254</v>
      </c>
      <c r="C316" s="6">
        <v>46052</v>
      </c>
      <c r="D316" s="1" t="s">
        <v>254</v>
      </c>
      <c r="E316" s="1" t="s">
        <v>338</v>
      </c>
      <c r="F316" s="4">
        <v>59.52</v>
      </c>
      <c r="G316" s="1" t="s">
        <v>242</v>
      </c>
      <c r="H316" s="1" t="s">
        <v>428</v>
      </c>
      <c r="I316" s="23" t="s">
        <v>299</v>
      </c>
      <c r="J316" s="25" t="str">
        <f>VLOOKUP(H316,Planilha1!B:C,2,0)</f>
        <v>132 a 134</v>
      </c>
    </row>
    <row r="317" spans="1:10" ht="15.75" hidden="1" customHeight="1" x14ac:dyDescent="0.15">
      <c r="A317" s="5" t="s">
        <v>328</v>
      </c>
      <c r="B317" s="4" t="s">
        <v>86</v>
      </c>
      <c r="C317" s="6">
        <v>46052</v>
      </c>
      <c r="D317" s="1" t="s">
        <v>86</v>
      </c>
      <c r="E317" s="1" t="s">
        <v>429</v>
      </c>
      <c r="F317" s="4">
        <v>5.91</v>
      </c>
      <c r="G317" s="1" t="s">
        <v>242</v>
      </c>
      <c r="H317" s="1" t="s">
        <v>197</v>
      </c>
      <c r="I317" s="23" t="s">
        <v>511</v>
      </c>
      <c r="J317" s="25">
        <f>VLOOKUP(H317,Planilha1!B:C,2,0)</f>
        <v>135</v>
      </c>
    </row>
    <row r="318" spans="1:10" ht="15.75" customHeight="1" x14ac:dyDescent="0.15">
      <c r="A318" s="5"/>
      <c r="B318" s="4"/>
      <c r="C318" s="6"/>
      <c r="D318" s="1"/>
      <c r="E318" s="1"/>
      <c r="F318" s="7"/>
      <c r="G318" s="1"/>
      <c r="H318" s="1"/>
      <c r="I318" s="23"/>
    </row>
    <row r="319" spans="1:10" ht="15.75" customHeight="1" x14ac:dyDescent="0.15">
      <c r="A319" s="5"/>
      <c r="B319" s="4"/>
      <c r="C319" s="6"/>
      <c r="D319" s="1"/>
      <c r="E319" s="1"/>
      <c r="F319" s="7"/>
      <c r="G319" s="1"/>
      <c r="H319" s="1"/>
      <c r="I319" s="23"/>
    </row>
    <row r="320" spans="1:10" ht="15.75" customHeight="1" x14ac:dyDescent="0.15">
      <c r="A320" s="5"/>
      <c r="B320" s="4"/>
      <c r="C320" s="6"/>
      <c r="D320" s="1"/>
      <c r="E320" s="1"/>
      <c r="F320" s="7"/>
      <c r="G320" s="1"/>
      <c r="H320" s="1"/>
      <c r="I320" s="23"/>
    </row>
    <row r="321" spans="1:9" ht="15.75" customHeight="1" x14ac:dyDescent="0.15">
      <c r="A321" s="5"/>
      <c r="B321" s="4"/>
      <c r="C321" s="6"/>
      <c r="D321" s="1"/>
      <c r="E321" s="1"/>
      <c r="F321" s="7"/>
      <c r="G321" s="1"/>
      <c r="H321" s="1"/>
      <c r="I321" s="23"/>
    </row>
    <row r="322" spans="1:9" ht="15.75" customHeight="1" x14ac:dyDescent="0.15">
      <c r="A322" s="5"/>
      <c r="B322" s="4"/>
      <c r="C322" s="6"/>
      <c r="D322" s="1"/>
      <c r="E322" s="1"/>
      <c r="F322" s="4"/>
      <c r="G322" s="1"/>
      <c r="H322" s="1"/>
      <c r="I322" s="23"/>
    </row>
    <row r="323" spans="1:9" ht="15.75" customHeight="1" x14ac:dyDescent="0.15">
      <c r="A323" s="5"/>
      <c r="B323" s="4"/>
      <c r="C323" s="6"/>
      <c r="D323" s="1"/>
      <c r="E323" s="1"/>
      <c r="F323" s="7"/>
      <c r="G323" s="1"/>
      <c r="H323" s="1"/>
      <c r="I323" s="23"/>
    </row>
    <row r="324" spans="1:9" ht="15.75" customHeight="1" x14ac:dyDescent="0.15">
      <c r="A324" s="5"/>
      <c r="B324" s="4"/>
      <c r="C324" s="6"/>
      <c r="D324" s="1"/>
      <c r="E324" s="1"/>
      <c r="F324" s="4"/>
      <c r="G324" s="1"/>
      <c r="H324" s="1"/>
      <c r="I324" s="23"/>
    </row>
    <row r="325" spans="1:9" ht="15.75" customHeight="1" x14ac:dyDescent="0.15">
      <c r="A325" s="5"/>
      <c r="B325" s="4"/>
      <c r="C325" s="6"/>
      <c r="D325" s="1"/>
      <c r="E325" s="1"/>
      <c r="F325" s="4"/>
      <c r="G325" s="1"/>
      <c r="H325" s="1"/>
      <c r="I325" s="23"/>
    </row>
    <row r="326" spans="1:9" ht="15.75" customHeight="1" x14ac:dyDescent="0.15">
      <c r="A326" s="5"/>
      <c r="B326" s="4"/>
      <c r="C326" s="6"/>
      <c r="D326" s="1"/>
      <c r="E326" s="1"/>
      <c r="F326" s="4"/>
      <c r="G326" s="1"/>
      <c r="H326" s="1"/>
      <c r="I326" s="23"/>
    </row>
    <row r="327" spans="1:9" ht="15.75" customHeight="1" x14ac:dyDescent="0.15">
      <c r="A327" s="5"/>
      <c r="B327" s="4"/>
      <c r="C327" s="6"/>
      <c r="D327" s="1"/>
      <c r="E327" s="1"/>
      <c r="F327" s="4"/>
      <c r="G327" s="1"/>
      <c r="H327" s="1"/>
      <c r="I327" s="23"/>
    </row>
    <row r="328" spans="1:9" ht="15.75" customHeight="1" x14ac:dyDescent="0.15">
      <c r="A328" s="5"/>
      <c r="B328" s="4"/>
      <c r="C328" s="6"/>
      <c r="D328" s="1"/>
      <c r="E328" s="1"/>
      <c r="F328" s="7"/>
      <c r="G328" s="1"/>
      <c r="H328" s="1"/>
      <c r="I328" s="23"/>
    </row>
    <row r="329" spans="1:9" ht="15.75" customHeight="1" x14ac:dyDescent="0.15">
      <c r="A329" s="5"/>
      <c r="B329" s="4"/>
      <c r="C329" s="6"/>
      <c r="D329" s="1"/>
      <c r="E329" s="1"/>
      <c r="F329" s="4"/>
      <c r="G329" s="1"/>
      <c r="H329" s="1"/>
      <c r="I329" s="23"/>
    </row>
    <row r="330" spans="1:9" ht="15.75" customHeight="1" x14ac:dyDescent="0.15">
      <c r="A330" s="5"/>
      <c r="B330" s="4"/>
      <c r="C330" s="6"/>
      <c r="D330" s="1"/>
      <c r="E330" s="1"/>
      <c r="F330" s="4"/>
      <c r="G330" s="1"/>
      <c r="H330" s="1"/>
      <c r="I330" s="23"/>
    </row>
    <row r="331" spans="1:9" ht="15.75" customHeight="1" x14ac:dyDescent="0.15">
      <c r="A331" s="5"/>
      <c r="B331" s="4"/>
      <c r="C331" s="6"/>
      <c r="D331" s="1"/>
      <c r="E331" s="1"/>
      <c r="F331" s="7"/>
      <c r="G331" s="1"/>
      <c r="H331" s="1"/>
      <c r="I331" s="23"/>
    </row>
    <row r="332" spans="1:9" ht="15.75" customHeight="1" x14ac:dyDescent="0.15">
      <c r="A332" s="5"/>
      <c r="B332" s="4"/>
      <c r="C332" s="6"/>
      <c r="D332" s="1"/>
      <c r="E332" s="1"/>
      <c r="F332" s="7"/>
      <c r="G332" s="1"/>
      <c r="H332" s="1"/>
      <c r="I332" s="23"/>
    </row>
    <row r="333" spans="1:9" ht="15.75" customHeight="1" x14ac:dyDescent="0.15">
      <c r="A333" s="5"/>
      <c r="B333" s="4"/>
      <c r="C333" s="6"/>
      <c r="D333" s="1"/>
      <c r="E333" s="1"/>
      <c r="F333" s="4"/>
      <c r="G333" s="1"/>
      <c r="H333" s="1"/>
      <c r="I333" s="23"/>
    </row>
    <row r="334" spans="1:9" ht="15.75" customHeight="1" x14ac:dyDescent="0.15">
      <c r="A334" s="5"/>
      <c r="B334" s="4"/>
      <c r="C334" s="6"/>
      <c r="D334" s="1"/>
      <c r="E334" s="1"/>
      <c r="F334" s="7"/>
      <c r="G334" s="1"/>
      <c r="H334" s="1"/>
      <c r="I334" s="23"/>
    </row>
    <row r="335" spans="1:9" ht="15.75" customHeight="1" x14ac:dyDescent="0.15">
      <c r="A335" s="5"/>
      <c r="B335" s="4"/>
      <c r="C335" s="6"/>
      <c r="D335" s="1"/>
      <c r="E335" s="1"/>
      <c r="F335" s="7"/>
      <c r="G335" s="1"/>
      <c r="H335" s="1"/>
      <c r="I335" s="23"/>
    </row>
    <row r="336" spans="1:9" ht="15.75" customHeight="1" x14ac:dyDescent="0.15">
      <c r="A336" s="5"/>
      <c r="B336" s="4"/>
      <c r="C336" s="6"/>
      <c r="D336" s="1"/>
      <c r="E336" s="1"/>
      <c r="F336" s="7"/>
      <c r="G336" s="1"/>
      <c r="H336" s="1"/>
      <c r="I336" s="23"/>
    </row>
    <row r="337" spans="1:9" ht="15.75" customHeight="1" x14ac:dyDescent="0.15">
      <c r="A337" s="5"/>
      <c r="B337" s="4"/>
      <c r="C337" s="6"/>
      <c r="D337" s="1"/>
      <c r="E337" s="1"/>
      <c r="F337" s="7"/>
      <c r="G337" s="1"/>
      <c r="H337" s="1"/>
      <c r="I337" s="23"/>
    </row>
    <row r="338" spans="1:9" ht="15.75" customHeight="1" x14ac:dyDescent="0.15">
      <c r="A338" s="5"/>
      <c r="B338" s="4"/>
      <c r="C338" s="6"/>
      <c r="D338" s="1"/>
      <c r="E338" s="1"/>
      <c r="F338" s="7"/>
      <c r="G338" s="1"/>
      <c r="H338" s="1"/>
      <c r="I338" s="23"/>
    </row>
    <row r="339" spans="1:9" ht="15.75" customHeight="1" x14ac:dyDescent="0.15">
      <c r="A339" s="5"/>
      <c r="B339" s="4"/>
      <c r="C339" s="6"/>
      <c r="D339" s="1"/>
      <c r="E339" s="1"/>
      <c r="F339" s="7"/>
      <c r="G339" s="1"/>
      <c r="H339" s="1"/>
      <c r="I339" s="23"/>
    </row>
    <row r="340" spans="1:9" ht="15.75" customHeight="1" x14ac:dyDescent="0.15">
      <c r="A340" s="5"/>
      <c r="B340" s="4"/>
      <c r="C340" s="6"/>
      <c r="D340" s="1"/>
      <c r="E340" s="1"/>
      <c r="F340" s="4"/>
      <c r="G340" s="1"/>
      <c r="H340" s="1"/>
      <c r="I340" s="23"/>
    </row>
    <row r="341" spans="1:9" ht="15.75" customHeight="1" x14ac:dyDescent="0.15">
      <c r="A341" s="5"/>
      <c r="B341" s="4"/>
      <c r="C341" s="6"/>
      <c r="D341" s="1"/>
      <c r="E341" s="1"/>
      <c r="F341" s="7"/>
      <c r="G341" s="1"/>
      <c r="H341" s="1"/>
      <c r="I341" s="23"/>
    </row>
    <row r="342" spans="1:9" ht="15.75" customHeight="1" x14ac:dyDescent="0.15">
      <c r="A342" s="5"/>
      <c r="B342" s="4"/>
      <c r="C342" s="6"/>
      <c r="D342" s="1"/>
      <c r="E342" s="1"/>
      <c r="F342" s="4"/>
      <c r="G342" s="1"/>
      <c r="H342" s="1"/>
      <c r="I342" s="23"/>
    </row>
    <row r="343" spans="1:9" ht="15.75" customHeight="1" x14ac:dyDescent="0.15">
      <c r="A343" s="5"/>
      <c r="B343" s="4"/>
      <c r="C343" s="6"/>
      <c r="D343" s="1"/>
      <c r="E343" s="1"/>
      <c r="F343" s="7"/>
      <c r="G343" s="1"/>
      <c r="H343" s="1"/>
      <c r="I343" s="23"/>
    </row>
    <row r="344" spans="1:9" ht="15.75" customHeight="1" x14ac:dyDescent="0.15">
      <c r="A344" s="5"/>
      <c r="B344" s="4"/>
      <c r="C344" s="6"/>
      <c r="D344" s="1"/>
      <c r="E344" s="1"/>
      <c r="F344" s="4"/>
      <c r="G344" s="1"/>
      <c r="H344" s="1"/>
      <c r="I344" s="23"/>
    </row>
  </sheetData>
  <autoFilter ref="A1:J317" xr:uid="{940BB0FA-6A06-4C9B-B57D-6BA84DB6C7E7}">
    <filterColumn colId="9">
      <filters>
        <filter val="#N/D"/>
      </filters>
    </filterColumn>
  </autoFilter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FD34D-5972-4B14-B01E-08D36B47F325}">
  <dimension ref="A1:C112"/>
  <sheetViews>
    <sheetView workbookViewId="0">
      <selection activeCell="B22" sqref="B22"/>
    </sheetView>
  </sheetViews>
  <sheetFormatPr defaultRowHeight="12.75" x14ac:dyDescent="0.15"/>
  <cols>
    <col min="1" max="1" width="24" style="9" customWidth="1"/>
    <col min="2" max="2" width="68.5" style="9" customWidth="1"/>
    <col min="3" max="3" width="22.33203125" style="9" bestFit="1" customWidth="1"/>
  </cols>
  <sheetData>
    <row r="1" spans="1:3" ht="15" x14ac:dyDescent="0.25">
      <c r="A1" s="18" t="s">
        <v>712</v>
      </c>
      <c r="B1" s="18" t="s">
        <v>376</v>
      </c>
      <c r="C1" s="18" t="s">
        <v>713</v>
      </c>
    </row>
    <row r="2" spans="1:3" ht="25.5" x14ac:dyDescent="0.15">
      <c r="A2" s="19">
        <v>0</v>
      </c>
      <c r="B2" s="19" t="s">
        <v>493</v>
      </c>
      <c r="C2" s="19">
        <v>62</v>
      </c>
    </row>
    <row r="3" spans="1:3" x14ac:dyDescent="0.15">
      <c r="A3" s="19">
        <v>2</v>
      </c>
      <c r="B3" s="19" t="s">
        <v>428</v>
      </c>
      <c r="C3" s="19" t="s">
        <v>714</v>
      </c>
    </row>
    <row r="4" spans="1:3" x14ac:dyDescent="0.15">
      <c r="A4" s="19">
        <v>3</v>
      </c>
      <c r="B4" s="19" t="s">
        <v>715</v>
      </c>
      <c r="C4" s="19">
        <v>28</v>
      </c>
    </row>
    <row r="5" spans="1:3" x14ac:dyDescent="0.15">
      <c r="A5" s="19">
        <v>4</v>
      </c>
      <c r="B5" s="19" t="s">
        <v>716</v>
      </c>
      <c r="C5" s="19">
        <v>134</v>
      </c>
    </row>
    <row r="6" spans="1:3" x14ac:dyDescent="0.15">
      <c r="A6" s="19">
        <v>10</v>
      </c>
      <c r="B6" s="19" t="s">
        <v>28</v>
      </c>
      <c r="C6" s="19" t="s">
        <v>717</v>
      </c>
    </row>
    <row r="7" spans="1:3" x14ac:dyDescent="0.15">
      <c r="A7" s="19">
        <v>11</v>
      </c>
      <c r="B7" s="19" t="s">
        <v>718</v>
      </c>
      <c r="C7" s="19">
        <v>752</v>
      </c>
    </row>
    <row r="8" spans="1:3" ht="25.5" x14ac:dyDescent="0.15">
      <c r="A8" s="19">
        <v>12</v>
      </c>
      <c r="B8" s="19" t="s">
        <v>719</v>
      </c>
      <c r="C8" s="19">
        <v>752</v>
      </c>
    </row>
    <row r="9" spans="1:3" x14ac:dyDescent="0.15">
      <c r="A9" s="19">
        <v>13</v>
      </c>
      <c r="B9" s="19" t="s">
        <v>223</v>
      </c>
      <c r="C9" s="19">
        <v>185</v>
      </c>
    </row>
    <row r="10" spans="1:3" x14ac:dyDescent="0.15">
      <c r="A10" s="19">
        <v>14</v>
      </c>
      <c r="B10" s="19" t="s">
        <v>404</v>
      </c>
      <c r="C10" s="19">
        <v>185</v>
      </c>
    </row>
    <row r="11" spans="1:3" x14ac:dyDescent="0.15">
      <c r="A11" s="19">
        <v>15</v>
      </c>
      <c r="B11" s="19" t="s">
        <v>720</v>
      </c>
      <c r="C11" s="19">
        <v>752</v>
      </c>
    </row>
    <row r="12" spans="1:3" x14ac:dyDescent="0.15">
      <c r="A12" s="19">
        <v>16</v>
      </c>
      <c r="B12" s="19" t="s">
        <v>357</v>
      </c>
      <c r="C12" s="19">
        <v>752</v>
      </c>
    </row>
    <row r="13" spans="1:3" x14ac:dyDescent="0.15">
      <c r="A13" s="19">
        <v>17</v>
      </c>
      <c r="B13" s="19" t="s">
        <v>310</v>
      </c>
      <c r="C13" s="19">
        <v>752</v>
      </c>
    </row>
    <row r="14" spans="1:3" x14ac:dyDescent="0.15">
      <c r="A14" s="19">
        <v>18</v>
      </c>
      <c r="B14" s="19" t="s">
        <v>138</v>
      </c>
      <c r="C14" s="19">
        <v>752</v>
      </c>
    </row>
    <row r="15" spans="1:3" x14ac:dyDescent="0.15">
      <c r="A15" s="19">
        <v>19</v>
      </c>
      <c r="B15" s="19" t="s">
        <v>523</v>
      </c>
      <c r="C15" s="19">
        <v>752</v>
      </c>
    </row>
    <row r="16" spans="1:3" x14ac:dyDescent="0.15">
      <c r="A16" s="19">
        <v>20</v>
      </c>
      <c r="B16" s="19" t="s">
        <v>194</v>
      </c>
      <c r="C16" s="19">
        <v>80</v>
      </c>
    </row>
    <row r="17" spans="1:3" x14ac:dyDescent="0.15">
      <c r="A17" s="19">
        <v>21</v>
      </c>
      <c r="B17" s="19" t="s">
        <v>472</v>
      </c>
      <c r="C17" s="19">
        <v>80</v>
      </c>
    </row>
    <row r="18" spans="1:3" x14ac:dyDescent="0.15">
      <c r="A18" s="19">
        <v>21</v>
      </c>
      <c r="B18" s="19" t="s">
        <v>721</v>
      </c>
      <c r="C18" s="19">
        <v>80</v>
      </c>
    </row>
    <row r="19" spans="1:3" x14ac:dyDescent="0.15">
      <c r="A19" s="19">
        <v>22</v>
      </c>
      <c r="B19" s="19" t="s">
        <v>431</v>
      </c>
      <c r="C19" s="19">
        <v>805</v>
      </c>
    </row>
    <row r="20" spans="1:3" x14ac:dyDescent="0.15">
      <c r="A20" s="19">
        <v>22</v>
      </c>
      <c r="B20" s="19" t="s">
        <v>431</v>
      </c>
      <c r="C20" s="19">
        <v>805</v>
      </c>
    </row>
    <row r="21" spans="1:3" x14ac:dyDescent="0.15">
      <c r="A21" s="19">
        <v>23</v>
      </c>
      <c r="B21" s="19" t="s">
        <v>173</v>
      </c>
      <c r="C21" s="19">
        <v>68</v>
      </c>
    </row>
    <row r="22" spans="1:3" x14ac:dyDescent="0.15">
      <c r="A22" s="19">
        <v>24</v>
      </c>
      <c r="B22" s="1" t="s">
        <v>396</v>
      </c>
      <c r="C22" s="19">
        <v>203</v>
      </c>
    </row>
    <row r="23" spans="1:3" x14ac:dyDescent="0.15">
      <c r="A23" s="19">
        <v>25</v>
      </c>
      <c r="B23" s="19" t="s">
        <v>205</v>
      </c>
      <c r="C23" s="19">
        <v>202</v>
      </c>
    </row>
    <row r="24" spans="1:3" x14ac:dyDescent="0.15">
      <c r="A24" s="19">
        <v>26</v>
      </c>
      <c r="B24" s="19" t="s">
        <v>416</v>
      </c>
      <c r="C24" s="19">
        <v>201</v>
      </c>
    </row>
    <row r="25" spans="1:3" x14ac:dyDescent="0.15">
      <c r="A25" s="19">
        <v>27</v>
      </c>
      <c r="B25" s="19" t="s">
        <v>251</v>
      </c>
      <c r="C25" s="19">
        <v>224</v>
      </c>
    </row>
    <row r="26" spans="1:3" x14ac:dyDescent="0.15">
      <c r="A26" s="19">
        <v>28</v>
      </c>
      <c r="B26" s="19" t="s">
        <v>178</v>
      </c>
      <c r="C26" s="19">
        <v>181</v>
      </c>
    </row>
    <row r="27" spans="1:3" x14ac:dyDescent="0.15">
      <c r="A27" s="19">
        <v>29</v>
      </c>
      <c r="B27" s="19" t="s">
        <v>462</v>
      </c>
      <c r="C27" s="19">
        <v>245</v>
      </c>
    </row>
    <row r="28" spans="1:3" x14ac:dyDescent="0.15">
      <c r="A28" s="19">
        <v>30</v>
      </c>
      <c r="B28" s="19" t="s">
        <v>146</v>
      </c>
      <c r="C28" s="19">
        <v>164</v>
      </c>
    </row>
    <row r="29" spans="1:3" x14ac:dyDescent="0.15">
      <c r="A29" s="19">
        <v>31</v>
      </c>
      <c r="B29" s="19" t="s">
        <v>722</v>
      </c>
      <c r="C29" s="19">
        <v>222</v>
      </c>
    </row>
    <row r="30" spans="1:3" x14ac:dyDescent="0.15">
      <c r="A30" s="19">
        <v>32</v>
      </c>
      <c r="B30" s="19" t="s">
        <v>480</v>
      </c>
      <c r="C30" s="19">
        <v>165</v>
      </c>
    </row>
    <row r="31" spans="1:3" x14ac:dyDescent="0.15">
      <c r="A31" s="19">
        <v>33</v>
      </c>
      <c r="B31" s="19" t="s">
        <v>36</v>
      </c>
      <c r="C31" s="19">
        <v>752</v>
      </c>
    </row>
    <row r="32" spans="1:3" x14ac:dyDescent="0.15">
      <c r="A32" s="19">
        <v>34</v>
      </c>
      <c r="B32" s="19" t="s">
        <v>407</v>
      </c>
      <c r="C32" s="19">
        <v>238</v>
      </c>
    </row>
    <row r="33" spans="1:3" x14ac:dyDescent="0.15">
      <c r="A33" s="19">
        <v>35</v>
      </c>
      <c r="B33" s="19" t="s">
        <v>70</v>
      </c>
      <c r="C33" s="19">
        <v>206</v>
      </c>
    </row>
    <row r="34" spans="1:3" x14ac:dyDescent="0.15">
      <c r="A34" s="19">
        <v>36</v>
      </c>
      <c r="B34" s="19" t="s">
        <v>334</v>
      </c>
      <c r="C34" s="19">
        <v>220</v>
      </c>
    </row>
    <row r="35" spans="1:3" x14ac:dyDescent="0.15">
      <c r="A35" s="19">
        <v>37</v>
      </c>
      <c r="B35" s="19" t="s">
        <v>185</v>
      </c>
      <c r="C35" s="19">
        <v>229</v>
      </c>
    </row>
    <row r="36" spans="1:3" x14ac:dyDescent="0.15">
      <c r="A36" s="19">
        <v>38</v>
      </c>
      <c r="B36" s="19" t="s">
        <v>723</v>
      </c>
      <c r="C36" s="19">
        <v>165</v>
      </c>
    </row>
    <row r="37" spans="1:3" x14ac:dyDescent="0.15">
      <c r="A37" s="19">
        <v>39</v>
      </c>
      <c r="B37" s="19" t="s">
        <v>370</v>
      </c>
      <c r="C37" s="19">
        <v>200</v>
      </c>
    </row>
    <row r="38" spans="1:3" x14ac:dyDescent="0.15">
      <c r="A38" s="19">
        <v>40</v>
      </c>
      <c r="B38" s="19" t="s">
        <v>724</v>
      </c>
      <c r="C38" s="19">
        <v>40</v>
      </c>
    </row>
    <row r="39" spans="1:3" x14ac:dyDescent="0.15">
      <c r="A39" s="19">
        <v>41</v>
      </c>
      <c r="B39" s="19" t="s">
        <v>725</v>
      </c>
      <c r="C39" s="19">
        <v>41</v>
      </c>
    </row>
    <row r="40" spans="1:3" x14ac:dyDescent="0.15">
      <c r="A40" s="19">
        <v>42</v>
      </c>
      <c r="B40" s="19" t="s">
        <v>726</v>
      </c>
      <c r="C40" s="19">
        <v>263</v>
      </c>
    </row>
    <row r="41" spans="1:3" x14ac:dyDescent="0.15">
      <c r="A41" s="19">
        <v>43</v>
      </c>
      <c r="B41" s="19" t="s">
        <v>727</v>
      </c>
      <c r="C41" s="19">
        <v>211</v>
      </c>
    </row>
    <row r="42" spans="1:3" x14ac:dyDescent="0.15">
      <c r="A42" s="19">
        <v>44</v>
      </c>
      <c r="B42" s="19" t="s">
        <v>331</v>
      </c>
      <c r="C42" s="19">
        <v>207</v>
      </c>
    </row>
    <row r="43" spans="1:3" x14ac:dyDescent="0.15">
      <c r="A43" s="19">
        <v>45</v>
      </c>
      <c r="B43" s="19" t="s">
        <v>728</v>
      </c>
      <c r="C43" s="19">
        <v>236</v>
      </c>
    </row>
    <row r="44" spans="1:3" x14ac:dyDescent="0.15">
      <c r="A44" s="19">
        <v>46</v>
      </c>
      <c r="B44" s="19" t="s">
        <v>729</v>
      </c>
      <c r="C44" s="19">
        <v>239</v>
      </c>
    </row>
    <row r="45" spans="1:3" x14ac:dyDescent="0.15">
      <c r="A45" s="19">
        <v>47</v>
      </c>
      <c r="B45" s="19" t="s">
        <v>730</v>
      </c>
      <c r="C45" s="19">
        <v>210</v>
      </c>
    </row>
    <row r="46" spans="1:3" x14ac:dyDescent="0.15">
      <c r="A46" s="19">
        <v>48</v>
      </c>
      <c r="B46" s="19" t="s">
        <v>731</v>
      </c>
      <c r="C46" s="19">
        <v>64</v>
      </c>
    </row>
    <row r="47" spans="1:3" x14ac:dyDescent="0.15">
      <c r="A47" s="19">
        <v>49</v>
      </c>
      <c r="B47" s="19" t="s">
        <v>732</v>
      </c>
      <c r="C47" s="19">
        <v>64</v>
      </c>
    </row>
    <row r="48" spans="1:3" x14ac:dyDescent="0.15">
      <c r="A48" s="19">
        <v>50</v>
      </c>
      <c r="B48" s="19" t="s">
        <v>733</v>
      </c>
      <c r="C48" s="19">
        <v>64</v>
      </c>
    </row>
    <row r="49" spans="1:3" x14ac:dyDescent="0.15">
      <c r="A49" s="19">
        <v>51</v>
      </c>
      <c r="B49" s="19" t="s">
        <v>734</v>
      </c>
      <c r="C49" s="19">
        <v>64</v>
      </c>
    </row>
    <row r="50" spans="1:3" x14ac:dyDescent="0.15">
      <c r="A50" s="19">
        <v>52</v>
      </c>
      <c r="B50" s="19" t="s">
        <v>735</v>
      </c>
      <c r="C50" s="19">
        <v>64</v>
      </c>
    </row>
    <row r="51" spans="1:3" x14ac:dyDescent="0.15">
      <c r="A51" s="19">
        <v>53</v>
      </c>
      <c r="B51" s="19" t="s">
        <v>736</v>
      </c>
      <c r="C51" s="19">
        <v>64</v>
      </c>
    </row>
    <row r="52" spans="1:3" x14ac:dyDescent="0.15">
      <c r="A52" s="19">
        <v>54</v>
      </c>
      <c r="B52" s="19" t="s">
        <v>737</v>
      </c>
      <c r="C52" s="19">
        <v>64</v>
      </c>
    </row>
    <row r="53" spans="1:3" x14ac:dyDescent="0.15">
      <c r="A53" s="19">
        <v>55</v>
      </c>
      <c r="B53" s="19" t="s">
        <v>738</v>
      </c>
      <c r="C53" s="19">
        <v>64</v>
      </c>
    </row>
    <row r="54" spans="1:3" x14ac:dyDescent="0.15">
      <c r="A54" s="19">
        <v>56</v>
      </c>
      <c r="B54" s="19" t="s">
        <v>739</v>
      </c>
      <c r="C54" s="19">
        <v>67</v>
      </c>
    </row>
    <row r="55" spans="1:3" x14ac:dyDescent="0.15">
      <c r="A55" s="19">
        <v>57</v>
      </c>
      <c r="B55" s="19" t="s">
        <v>25</v>
      </c>
      <c r="C55" s="19">
        <v>67</v>
      </c>
    </row>
    <row r="56" spans="1:3" x14ac:dyDescent="0.15">
      <c r="A56" s="19">
        <v>58</v>
      </c>
      <c r="B56" s="19" t="s">
        <v>740</v>
      </c>
      <c r="C56" s="19">
        <v>66</v>
      </c>
    </row>
    <row r="57" spans="1:3" x14ac:dyDescent="0.15">
      <c r="A57" s="19">
        <v>59</v>
      </c>
      <c r="B57" s="19" t="s">
        <v>741</v>
      </c>
      <c r="C57" s="19">
        <v>66</v>
      </c>
    </row>
    <row r="58" spans="1:3" x14ac:dyDescent="0.15">
      <c r="A58" s="19">
        <v>60</v>
      </c>
      <c r="B58" s="19" t="s">
        <v>742</v>
      </c>
      <c r="C58" s="19">
        <v>73</v>
      </c>
    </row>
    <row r="59" spans="1:3" x14ac:dyDescent="0.15">
      <c r="A59" s="19">
        <v>61</v>
      </c>
      <c r="B59" s="19" t="s">
        <v>542</v>
      </c>
      <c r="C59" s="19">
        <v>214</v>
      </c>
    </row>
    <row r="60" spans="1:3" x14ac:dyDescent="0.15">
      <c r="A60" s="19">
        <v>62</v>
      </c>
      <c r="B60" s="19" t="s">
        <v>380</v>
      </c>
      <c r="C60" s="19">
        <v>198</v>
      </c>
    </row>
    <row r="61" spans="1:3" x14ac:dyDescent="0.15">
      <c r="A61" s="19">
        <v>63</v>
      </c>
      <c r="B61" s="19" t="s">
        <v>743</v>
      </c>
      <c r="C61" s="19">
        <v>211</v>
      </c>
    </row>
    <row r="62" spans="1:3" x14ac:dyDescent="0.15">
      <c r="A62" s="19">
        <v>64</v>
      </c>
      <c r="B62" s="19" t="s">
        <v>744</v>
      </c>
      <c r="C62" s="19">
        <v>73</v>
      </c>
    </row>
    <row r="63" spans="1:3" x14ac:dyDescent="0.15">
      <c r="A63" s="19">
        <v>65</v>
      </c>
      <c r="B63" s="19" t="s">
        <v>745</v>
      </c>
      <c r="C63" s="19">
        <v>67</v>
      </c>
    </row>
    <row r="64" spans="1:3" x14ac:dyDescent="0.15">
      <c r="A64" s="19">
        <v>66</v>
      </c>
      <c r="B64" s="19" t="s">
        <v>746</v>
      </c>
      <c r="C64" s="19">
        <v>218</v>
      </c>
    </row>
    <row r="65" spans="1:3" x14ac:dyDescent="0.15">
      <c r="A65" s="19">
        <v>67</v>
      </c>
      <c r="B65" s="19" t="s">
        <v>381</v>
      </c>
      <c r="C65" s="19">
        <v>217</v>
      </c>
    </row>
    <row r="66" spans="1:3" x14ac:dyDescent="0.15">
      <c r="A66" s="19">
        <v>68</v>
      </c>
      <c r="B66" s="19" t="s">
        <v>747</v>
      </c>
      <c r="C66" s="19">
        <v>234</v>
      </c>
    </row>
    <row r="67" spans="1:3" x14ac:dyDescent="0.15">
      <c r="A67" s="19">
        <v>69</v>
      </c>
      <c r="B67" s="19" t="s">
        <v>550</v>
      </c>
      <c r="C67" s="19">
        <v>200</v>
      </c>
    </row>
    <row r="68" spans="1:3" x14ac:dyDescent="0.15">
      <c r="A68" s="19">
        <v>70</v>
      </c>
      <c r="B68" s="19" t="s">
        <v>748</v>
      </c>
      <c r="C68" s="19">
        <v>165</v>
      </c>
    </row>
    <row r="69" spans="1:3" x14ac:dyDescent="0.15">
      <c r="A69" s="19">
        <v>71</v>
      </c>
      <c r="B69" s="19" t="s">
        <v>285</v>
      </c>
      <c r="C69" s="19">
        <v>247</v>
      </c>
    </row>
    <row r="70" spans="1:3" x14ac:dyDescent="0.15">
      <c r="A70" s="19">
        <v>72</v>
      </c>
      <c r="B70" s="19" t="s">
        <v>749</v>
      </c>
      <c r="C70" s="19">
        <v>224</v>
      </c>
    </row>
    <row r="71" spans="1:3" x14ac:dyDescent="0.15">
      <c r="A71" s="19">
        <v>73</v>
      </c>
      <c r="B71" s="19" t="s">
        <v>31</v>
      </c>
      <c r="C71" s="19">
        <v>219</v>
      </c>
    </row>
    <row r="72" spans="1:3" x14ac:dyDescent="0.15">
      <c r="A72" s="19">
        <v>74</v>
      </c>
      <c r="B72" s="19" t="s">
        <v>750</v>
      </c>
      <c r="C72" s="19">
        <v>216</v>
      </c>
    </row>
    <row r="73" spans="1:3" x14ac:dyDescent="0.15">
      <c r="A73" s="19">
        <v>75</v>
      </c>
      <c r="B73" s="19" t="s">
        <v>80</v>
      </c>
      <c r="C73" s="19">
        <v>196</v>
      </c>
    </row>
    <row r="74" spans="1:3" x14ac:dyDescent="0.15">
      <c r="A74" s="19">
        <v>76</v>
      </c>
      <c r="B74" s="19" t="s">
        <v>751</v>
      </c>
      <c r="C74" s="19">
        <v>501</v>
      </c>
    </row>
    <row r="75" spans="1:3" x14ac:dyDescent="0.15">
      <c r="A75" s="19">
        <v>77</v>
      </c>
      <c r="B75" s="19" t="s">
        <v>77</v>
      </c>
      <c r="C75" s="19">
        <v>225</v>
      </c>
    </row>
    <row r="76" spans="1:3" ht="38.25" x14ac:dyDescent="0.15">
      <c r="A76" s="19">
        <v>78</v>
      </c>
      <c r="B76" s="19" t="s">
        <v>752</v>
      </c>
      <c r="C76" s="19" t="s">
        <v>753</v>
      </c>
    </row>
    <row r="77" spans="1:3" x14ac:dyDescent="0.15">
      <c r="A77" s="19">
        <v>79</v>
      </c>
      <c r="B77" s="19" t="s">
        <v>484</v>
      </c>
      <c r="C77" s="19">
        <v>233</v>
      </c>
    </row>
    <row r="78" spans="1:3" x14ac:dyDescent="0.15">
      <c r="A78" s="19">
        <v>80</v>
      </c>
      <c r="B78" s="19" t="s">
        <v>754</v>
      </c>
      <c r="C78" s="19">
        <v>67</v>
      </c>
    </row>
    <row r="79" spans="1:3" x14ac:dyDescent="0.15">
      <c r="A79" s="19">
        <v>81</v>
      </c>
      <c r="B79" s="19" t="s">
        <v>755</v>
      </c>
      <c r="C79" s="19">
        <v>165</v>
      </c>
    </row>
    <row r="80" spans="1:3" x14ac:dyDescent="0.15">
      <c r="A80" s="19">
        <v>82</v>
      </c>
      <c r="B80" s="19" t="s">
        <v>756</v>
      </c>
      <c r="C80" s="19">
        <v>197</v>
      </c>
    </row>
    <row r="81" spans="1:3" x14ac:dyDescent="0.15">
      <c r="A81" s="19">
        <v>83</v>
      </c>
      <c r="B81" s="19" t="s">
        <v>757</v>
      </c>
      <c r="C81" s="19">
        <v>255</v>
      </c>
    </row>
    <row r="82" spans="1:3" x14ac:dyDescent="0.15">
      <c r="A82" s="19">
        <v>84</v>
      </c>
      <c r="B82" s="20" t="s">
        <v>99</v>
      </c>
      <c r="C82" s="19">
        <v>244</v>
      </c>
    </row>
    <row r="83" spans="1:3" x14ac:dyDescent="0.15">
      <c r="A83" s="19">
        <v>85</v>
      </c>
      <c r="B83" s="19" t="s">
        <v>530</v>
      </c>
      <c r="C83" s="19">
        <v>710</v>
      </c>
    </row>
    <row r="84" spans="1:3" x14ac:dyDescent="0.15">
      <c r="A84" s="19">
        <v>86</v>
      </c>
      <c r="B84" s="19" t="s">
        <v>443</v>
      </c>
      <c r="C84" s="19">
        <v>166</v>
      </c>
    </row>
    <row r="85" spans="1:3" x14ac:dyDescent="0.15">
      <c r="A85" s="19">
        <v>87</v>
      </c>
      <c r="B85" s="19" t="s">
        <v>126</v>
      </c>
      <c r="C85" s="19">
        <v>193</v>
      </c>
    </row>
    <row r="86" spans="1:3" x14ac:dyDescent="0.15">
      <c r="A86" s="19">
        <v>88</v>
      </c>
      <c r="B86" s="19" t="s">
        <v>758</v>
      </c>
      <c r="C86" s="19">
        <v>251</v>
      </c>
    </row>
    <row r="87" spans="1:3" x14ac:dyDescent="0.15">
      <c r="A87" s="19">
        <v>89</v>
      </c>
      <c r="B87" s="19" t="s">
        <v>497</v>
      </c>
      <c r="C87" s="19">
        <v>215</v>
      </c>
    </row>
    <row r="88" spans="1:3" x14ac:dyDescent="0.15">
      <c r="A88" s="19">
        <v>90</v>
      </c>
      <c r="B88" s="19" t="s">
        <v>759</v>
      </c>
      <c r="C88" s="19">
        <v>212</v>
      </c>
    </row>
    <row r="89" spans="1:3" x14ac:dyDescent="0.15">
      <c r="A89" s="19">
        <v>91</v>
      </c>
      <c r="B89" s="19" t="s">
        <v>71</v>
      </c>
      <c r="C89" s="19">
        <v>227</v>
      </c>
    </row>
    <row r="90" spans="1:3" x14ac:dyDescent="0.15">
      <c r="A90" s="19">
        <v>92</v>
      </c>
      <c r="B90" s="19" t="s">
        <v>240</v>
      </c>
      <c r="C90" s="19">
        <v>711</v>
      </c>
    </row>
    <row r="91" spans="1:3" x14ac:dyDescent="0.15">
      <c r="A91" s="19">
        <v>93</v>
      </c>
      <c r="B91" s="19" t="s">
        <v>534</v>
      </c>
      <c r="C91" s="19">
        <v>186</v>
      </c>
    </row>
    <row r="92" spans="1:3" x14ac:dyDescent="0.15">
      <c r="A92" s="19">
        <v>94</v>
      </c>
      <c r="B92" s="19" t="s">
        <v>344</v>
      </c>
      <c r="C92" s="19">
        <v>247</v>
      </c>
    </row>
    <row r="93" spans="1:3" x14ac:dyDescent="0.15">
      <c r="A93" s="19">
        <v>95</v>
      </c>
      <c r="B93" s="19" t="s">
        <v>149</v>
      </c>
      <c r="C93" s="19">
        <v>179</v>
      </c>
    </row>
    <row r="94" spans="1:3" x14ac:dyDescent="0.15">
      <c r="A94" s="19">
        <v>96</v>
      </c>
      <c r="B94" s="19" t="s">
        <v>95</v>
      </c>
      <c r="C94" s="19">
        <v>180</v>
      </c>
    </row>
    <row r="95" spans="1:3" x14ac:dyDescent="0.15">
      <c r="A95" s="19">
        <v>97</v>
      </c>
      <c r="B95" s="19" t="s">
        <v>389</v>
      </c>
      <c r="C95" s="19">
        <v>238</v>
      </c>
    </row>
    <row r="96" spans="1:3" x14ac:dyDescent="0.15">
      <c r="A96" s="19">
        <v>98</v>
      </c>
      <c r="B96" s="19" t="s">
        <v>23</v>
      </c>
      <c r="C96" s="19">
        <v>184</v>
      </c>
    </row>
    <row r="97" spans="1:3" x14ac:dyDescent="0.15">
      <c r="A97" s="19">
        <v>99</v>
      </c>
      <c r="B97" s="19" t="s">
        <v>760</v>
      </c>
      <c r="C97" s="19">
        <v>187</v>
      </c>
    </row>
    <row r="98" spans="1:3" x14ac:dyDescent="0.15">
      <c r="A98" s="19">
        <v>100</v>
      </c>
      <c r="B98" s="19" t="s">
        <v>761</v>
      </c>
      <c r="C98" s="19">
        <v>226</v>
      </c>
    </row>
    <row r="99" spans="1:3" x14ac:dyDescent="0.15">
      <c r="A99" s="19">
        <v>101</v>
      </c>
      <c r="B99" s="19" t="s">
        <v>762</v>
      </c>
      <c r="C99" s="19">
        <v>237</v>
      </c>
    </row>
    <row r="100" spans="1:3" x14ac:dyDescent="0.15">
      <c r="A100" s="19">
        <v>102</v>
      </c>
      <c r="B100" s="19" t="s">
        <v>763</v>
      </c>
      <c r="C100" s="19" t="s">
        <v>764</v>
      </c>
    </row>
    <row r="101" spans="1:3" x14ac:dyDescent="0.15">
      <c r="A101" s="19">
        <v>103</v>
      </c>
      <c r="B101" s="19" t="s">
        <v>765</v>
      </c>
      <c r="C101" s="19" t="s">
        <v>766</v>
      </c>
    </row>
    <row r="102" spans="1:3" x14ac:dyDescent="0.15">
      <c r="A102" s="19">
        <v>104</v>
      </c>
      <c r="B102" s="19" t="s">
        <v>767</v>
      </c>
      <c r="C102" s="19">
        <v>224</v>
      </c>
    </row>
    <row r="103" spans="1:3" x14ac:dyDescent="0.15">
      <c r="A103" s="19">
        <v>105</v>
      </c>
      <c r="B103" s="19" t="s">
        <v>768</v>
      </c>
      <c r="C103" s="19">
        <v>67</v>
      </c>
    </row>
    <row r="104" spans="1:3" x14ac:dyDescent="0.15">
      <c r="A104" s="19">
        <v>106</v>
      </c>
      <c r="B104" s="19" t="s">
        <v>8</v>
      </c>
      <c r="C104" s="19">
        <v>0</v>
      </c>
    </row>
    <row r="105" spans="1:3" x14ac:dyDescent="0.15">
      <c r="A105" s="19">
        <v>107</v>
      </c>
      <c r="B105" s="19" t="s">
        <v>147</v>
      </c>
      <c r="C105" s="19">
        <v>252</v>
      </c>
    </row>
    <row r="106" spans="1:3" x14ac:dyDescent="0.15">
      <c r="A106" s="19">
        <v>108</v>
      </c>
      <c r="B106" s="19" t="s">
        <v>769</v>
      </c>
      <c r="C106" s="19" t="s">
        <v>770</v>
      </c>
    </row>
    <row r="107" spans="1:3" x14ac:dyDescent="0.15">
      <c r="A107" s="19">
        <v>109</v>
      </c>
      <c r="B107" s="19" t="s">
        <v>771</v>
      </c>
      <c r="C107" s="19">
        <v>73</v>
      </c>
    </row>
    <row r="108" spans="1:3" x14ac:dyDescent="0.15">
      <c r="A108" s="19">
        <v>110</v>
      </c>
      <c r="B108" s="19" t="s">
        <v>772</v>
      </c>
      <c r="C108" s="19">
        <v>41</v>
      </c>
    </row>
    <row r="109" spans="1:3" x14ac:dyDescent="0.15">
      <c r="A109" s="19">
        <v>111</v>
      </c>
      <c r="B109" s="19" t="s">
        <v>395</v>
      </c>
      <c r="C109" s="19">
        <v>76</v>
      </c>
    </row>
    <row r="110" spans="1:3" x14ac:dyDescent="0.15">
      <c r="A110" s="19">
        <v>112</v>
      </c>
      <c r="B110" s="19" t="s">
        <v>197</v>
      </c>
      <c r="C110" s="19">
        <v>135</v>
      </c>
    </row>
    <row r="111" spans="1:3" x14ac:dyDescent="0.15">
      <c r="A111" s="19">
        <v>113</v>
      </c>
      <c r="B111" s="19" t="s">
        <v>773</v>
      </c>
      <c r="C111" s="19">
        <v>237</v>
      </c>
    </row>
    <row r="112" spans="1:3" x14ac:dyDescent="0.15">
      <c r="A112" s="19">
        <v>114</v>
      </c>
      <c r="B112" s="19" t="s">
        <v>774</v>
      </c>
      <c r="C112" s="19">
        <v>62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AEDC-4EFB-4CA9-B230-1280AA39ABB4}">
  <dimension ref="A1:E291"/>
  <sheetViews>
    <sheetView workbookViewId="0">
      <selection activeCell="B4" sqref="B4:D4"/>
    </sheetView>
  </sheetViews>
  <sheetFormatPr defaultRowHeight="10.5" x14ac:dyDescent="0.15"/>
  <cols>
    <col min="1" max="1" width="23.33203125" style="9" customWidth="1"/>
    <col min="2" max="2" width="32.83203125" style="9" customWidth="1"/>
    <col min="3" max="3" width="18.83203125" style="9" customWidth="1"/>
    <col min="4" max="5" width="23.33203125" style="9" customWidth="1"/>
    <col min="6" max="16384" width="9.33203125" style="9"/>
  </cols>
  <sheetData>
    <row r="1" spans="1:5" ht="15" customHeight="1" x14ac:dyDescent="0.15">
      <c r="A1" s="8" t="s">
        <v>551</v>
      </c>
      <c r="B1" s="8" t="s">
        <v>552</v>
      </c>
      <c r="C1" s="8" t="s">
        <v>553</v>
      </c>
      <c r="D1" s="8" t="s">
        <v>554</v>
      </c>
    </row>
    <row r="2" spans="1:5" ht="15" customHeight="1" x14ac:dyDescent="0.15">
      <c r="A2" s="12" t="s">
        <v>119</v>
      </c>
      <c r="B2" s="10" t="s">
        <v>556</v>
      </c>
      <c r="C2" s="10" t="s">
        <v>555</v>
      </c>
      <c r="D2" s="11">
        <v>160</v>
      </c>
      <c r="E2" s="11">
        <v>413670.59</v>
      </c>
    </row>
    <row r="3" spans="1:5" ht="15" customHeight="1" x14ac:dyDescent="0.15">
      <c r="A3" s="12" t="s">
        <v>119</v>
      </c>
      <c r="B3" s="13" t="s">
        <v>557</v>
      </c>
      <c r="C3" s="13" t="s">
        <v>555</v>
      </c>
      <c r="D3" s="14">
        <v>19598.72</v>
      </c>
      <c r="E3" s="14">
        <v>413510.59</v>
      </c>
    </row>
    <row r="4" spans="1:5" ht="15" customHeight="1" x14ac:dyDescent="0.15">
      <c r="A4" s="12" t="s">
        <v>119</v>
      </c>
      <c r="B4" s="13" t="s">
        <v>558</v>
      </c>
      <c r="C4" s="13" t="s">
        <v>555</v>
      </c>
      <c r="D4" s="14">
        <v>-1105</v>
      </c>
      <c r="E4" s="14">
        <v>393911.87</v>
      </c>
    </row>
    <row r="5" spans="1:5" ht="15" customHeight="1" x14ac:dyDescent="0.15">
      <c r="A5" s="12" t="s">
        <v>119</v>
      </c>
      <c r="B5" s="13" t="s">
        <v>559</v>
      </c>
      <c r="C5" s="13" t="s">
        <v>555</v>
      </c>
      <c r="D5" s="14">
        <v>-888</v>
      </c>
      <c r="E5" s="14">
        <v>395016.87</v>
      </c>
    </row>
    <row r="6" spans="1:5" ht="15" customHeight="1" x14ac:dyDescent="0.15">
      <c r="A6" s="12" t="s">
        <v>119</v>
      </c>
      <c r="B6" s="13" t="s">
        <v>560</v>
      </c>
      <c r="C6" s="13" t="s">
        <v>561</v>
      </c>
      <c r="D6" s="14">
        <v>-725</v>
      </c>
      <c r="E6" s="14">
        <v>395904.87</v>
      </c>
    </row>
    <row r="7" spans="1:5" ht="15" customHeight="1" x14ac:dyDescent="0.15">
      <c r="A7" s="12" t="s">
        <v>119</v>
      </c>
      <c r="B7" s="13" t="s">
        <v>562</v>
      </c>
      <c r="C7" s="13" t="s">
        <v>561</v>
      </c>
      <c r="D7" s="14">
        <v>-4796.51</v>
      </c>
      <c r="E7" s="14">
        <v>396629.87</v>
      </c>
    </row>
    <row r="8" spans="1:5" ht="15" customHeight="1" x14ac:dyDescent="0.15">
      <c r="A8" s="12" t="s">
        <v>119</v>
      </c>
      <c r="B8" s="13" t="s">
        <v>563</v>
      </c>
      <c r="C8" s="13" t="s">
        <v>561</v>
      </c>
      <c r="D8" s="14">
        <v>-270.72000000000003</v>
      </c>
      <c r="E8" s="14">
        <v>401426.38</v>
      </c>
    </row>
    <row r="9" spans="1:5" ht="15" customHeight="1" x14ac:dyDescent="0.15">
      <c r="A9" s="12" t="s">
        <v>119</v>
      </c>
      <c r="B9" s="13" t="s">
        <v>564</v>
      </c>
      <c r="C9" s="13" t="s">
        <v>561</v>
      </c>
      <c r="D9" s="14">
        <v>-3289.16</v>
      </c>
      <c r="E9" s="14">
        <v>401697.1</v>
      </c>
    </row>
    <row r="10" spans="1:5" ht="15" customHeight="1" x14ac:dyDescent="0.15">
      <c r="A10" s="12" t="s">
        <v>119</v>
      </c>
      <c r="B10" s="13" t="s">
        <v>565</v>
      </c>
      <c r="C10" s="13" t="s">
        <v>561</v>
      </c>
      <c r="D10" s="14">
        <v>-1710.17</v>
      </c>
      <c r="E10" s="14">
        <v>404986.26</v>
      </c>
    </row>
    <row r="11" spans="1:5" ht="15" customHeight="1" x14ac:dyDescent="0.15">
      <c r="A11" s="12" t="s">
        <v>119</v>
      </c>
      <c r="B11" s="13" t="s">
        <v>566</v>
      </c>
      <c r="C11" s="13" t="s">
        <v>561</v>
      </c>
      <c r="D11" s="14">
        <v>-6505</v>
      </c>
      <c r="E11" s="16">
        <v>406696.43</v>
      </c>
    </row>
    <row r="12" spans="1:5" ht="15" customHeight="1" x14ac:dyDescent="0.15">
      <c r="A12" s="12" t="s">
        <v>327</v>
      </c>
      <c r="B12" s="13" t="s">
        <v>567</v>
      </c>
      <c r="C12" s="13" t="s">
        <v>555</v>
      </c>
      <c r="D12" s="14">
        <v>-975.69</v>
      </c>
      <c r="E12" s="14">
        <v>418415.81</v>
      </c>
    </row>
    <row r="13" spans="1:5" ht="15" customHeight="1" x14ac:dyDescent="0.15">
      <c r="A13" s="12" t="s">
        <v>327</v>
      </c>
      <c r="B13" s="13" t="s">
        <v>568</v>
      </c>
      <c r="C13" s="13" t="s">
        <v>561</v>
      </c>
      <c r="D13" s="14">
        <v>-307.72000000000003</v>
      </c>
      <c r="E13" s="14">
        <v>419391.5</v>
      </c>
    </row>
    <row r="14" spans="1:5" ht="15" customHeight="1" x14ac:dyDescent="0.15">
      <c r="A14" s="12" t="s">
        <v>327</v>
      </c>
      <c r="B14" s="13" t="s">
        <v>569</v>
      </c>
      <c r="C14" s="13" t="s">
        <v>561</v>
      </c>
      <c r="D14" s="14">
        <v>-5133.3100000000004</v>
      </c>
      <c r="E14" s="14">
        <v>419699.22</v>
      </c>
    </row>
    <row r="15" spans="1:5" ht="15" customHeight="1" x14ac:dyDescent="0.15">
      <c r="A15" s="12" t="s">
        <v>327</v>
      </c>
      <c r="B15" s="13" t="s">
        <v>570</v>
      </c>
      <c r="C15" s="13" t="s">
        <v>561</v>
      </c>
      <c r="D15" s="14">
        <v>-14318.53</v>
      </c>
      <c r="E15" s="14">
        <v>424832.53</v>
      </c>
    </row>
    <row r="16" spans="1:5" ht="15" customHeight="1" x14ac:dyDescent="0.15">
      <c r="A16" s="12" t="s">
        <v>327</v>
      </c>
      <c r="B16" s="13" t="s">
        <v>571</v>
      </c>
      <c r="C16" s="13" t="s">
        <v>561</v>
      </c>
      <c r="D16" s="14">
        <v>-2178</v>
      </c>
      <c r="E16" s="14">
        <v>439151.06</v>
      </c>
    </row>
    <row r="17" spans="1:5" ht="15" customHeight="1" x14ac:dyDescent="0.15">
      <c r="A17" s="12" t="s">
        <v>327</v>
      </c>
      <c r="B17" s="13" t="s">
        <v>570</v>
      </c>
      <c r="C17" s="13" t="s">
        <v>561</v>
      </c>
      <c r="D17" s="14">
        <v>-18475.52</v>
      </c>
      <c r="E17" s="14">
        <v>441329.06</v>
      </c>
    </row>
    <row r="18" spans="1:5" ht="15" customHeight="1" x14ac:dyDescent="0.15">
      <c r="A18" s="12" t="s">
        <v>327</v>
      </c>
      <c r="B18" s="13" t="s">
        <v>568</v>
      </c>
      <c r="C18" s="13" t="s">
        <v>561</v>
      </c>
      <c r="D18" s="14">
        <v>-1288.99</v>
      </c>
      <c r="E18" s="14">
        <v>459804.58</v>
      </c>
    </row>
    <row r="19" spans="1:5" ht="15" customHeight="1" x14ac:dyDescent="0.15">
      <c r="A19" s="12" t="s">
        <v>327</v>
      </c>
      <c r="B19" s="13" t="s">
        <v>570</v>
      </c>
      <c r="C19" s="13" t="s">
        <v>561</v>
      </c>
      <c r="D19" s="14">
        <v>-12009.09</v>
      </c>
      <c r="E19" s="14">
        <v>461093.57</v>
      </c>
    </row>
    <row r="20" spans="1:5" ht="15" customHeight="1" x14ac:dyDescent="0.15">
      <c r="A20" s="12" t="s">
        <v>327</v>
      </c>
      <c r="B20" s="13" t="s">
        <v>568</v>
      </c>
      <c r="C20" s="13" t="s">
        <v>561</v>
      </c>
      <c r="D20" s="14">
        <v>-1586.1</v>
      </c>
      <c r="E20" s="14">
        <v>473102.66</v>
      </c>
    </row>
    <row r="21" spans="1:5" ht="15" customHeight="1" x14ac:dyDescent="0.15">
      <c r="A21" s="12" t="s">
        <v>327</v>
      </c>
      <c r="B21" s="13" t="s">
        <v>557</v>
      </c>
      <c r="C21" s="13" t="s">
        <v>555</v>
      </c>
      <c r="D21" s="14">
        <v>25101.72</v>
      </c>
      <c r="E21" s="14">
        <v>474688.76</v>
      </c>
    </row>
    <row r="22" spans="1:5" ht="15" customHeight="1" x14ac:dyDescent="0.15">
      <c r="A22" s="12" t="s">
        <v>327</v>
      </c>
      <c r="B22" s="13" t="s">
        <v>572</v>
      </c>
      <c r="C22" s="13" t="s">
        <v>555</v>
      </c>
      <c r="D22" s="14">
        <v>28000</v>
      </c>
      <c r="E22" s="14">
        <v>449587.04</v>
      </c>
    </row>
    <row r="23" spans="1:5" ht="15" customHeight="1" x14ac:dyDescent="0.15">
      <c r="A23" s="12" t="s">
        <v>327</v>
      </c>
      <c r="B23" s="13" t="s">
        <v>573</v>
      </c>
      <c r="C23" s="13" t="s">
        <v>574</v>
      </c>
      <c r="D23" s="14">
        <v>4842.54</v>
      </c>
      <c r="E23" s="14">
        <v>421587.04</v>
      </c>
    </row>
    <row r="24" spans="1:5" ht="15" customHeight="1" x14ac:dyDescent="0.15">
      <c r="A24" s="12" t="s">
        <v>327</v>
      </c>
      <c r="B24" s="13" t="s">
        <v>575</v>
      </c>
      <c r="C24" s="13" t="s">
        <v>555</v>
      </c>
      <c r="D24" s="14">
        <v>-64.739999999999995</v>
      </c>
      <c r="E24" s="14">
        <v>416744.5</v>
      </c>
    </row>
    <row r="25" spans="1:5" ht="15" customHeight="1" x14ac:dyDescent="0.15">
      <c r="A25" s="12" t="s">
        <v>327</v>
      </c>
      <c r="B25" s="13" t="s">
        <v>576</v>
      </c>
      <c r="C25" s="13" t="s">
        <v>555</v>
      </c>
      <c r="D25" s="14">
        <v>-5.78</v>
      </c>
      <c r="E25" s="14">
        <v>416809.24</v>
      </c>
    </row>
    <row r="26" spans="1:5" ht="15" customHeight="1" x14ac:dyDescent="0.15">
      <c r="A26" s="12" t="s">
        <v>327</v>
      </c>
      <c r="B26" s="13" t="s">
        <v>577</v>
      </c>
      <c r="C26" s="13" t="s">
        <v>555</v>
      </c>
      <c r="D26" s="14">
        <v>3144.43</v>
      </c>
      <c r="E26" s="16">
        <v>416815.02</v>
      </c>
    </row>
    <row r="27" spans="1:5" ht="15" customHeight="1" x14ac:dyDescent="0.15">
      <c r="A27" s="12" t="s">
        <v>427</v>
      </c>
      <c r="B27" s="13" t="s">
        <v>578</v>
      </c>
      <c r="C27" s="13" t="s">
        <v>555</v>
      </c>
      <c r="D27" s="14">
        <v>2.88</v>
      </c>
      <c r="E27" s="14">
        <v>387003.01</v>
      </c>
    </row>
    <row r="28" spans="1:5" ht="15" customHeight="1" x14ac:dyDescent="0.15">
      <c r="A28" s="12" t="s">
        <v>427</v>
      </c>
      <c r="B28" s="13" t="s">
        <v>579</v>
      </c>
      <c r="C28" s="13" t="s">
        <v>580</v>
      </c>
      <c r="D28" s="14">
        <v>-3.28</v>
      </c>
      <c r="E28" s="14">
        <v>387000.13</v>
      </c>
    </row>
    <row r="29" spans="1:5" ht="15" customHeight="1" x14ac:dyDescent="0.15">
      <c r="A29" s="12" t="s">
        <v>427</v>
      </c>
      <c r="B29" s="13" t="s">
        <v>581</v>
      </c>
      <c r="C29" s="13" t="s">
        <v>582</v>
      </c>
      <c r="D29" s="14">
        <v>-579.9</v>
      </c>
      <c r="E29" s="14">
        <v>387003.41</v>
      </c>
    </row>
    <row r="30" spans="1:5" ht="15" customHeight="1" x14ac:dyDescent="0.15">
      <c r="A30" s="12" t="s">
        <v>427</v>
      </c>
      <c r="B30" s="13" t="s">
        <v>583</v>
      </c>
      <c r="C30" s="13" t="s">
        <v>561</v>
      </c>
      <c r="D30" s="14">
        <v>-423.91</v>
      </c>
      <c r="E30" s="14">
        <v>387583.31</v>
      </c>
    </row>
    <row r="31" spans="1:5" ht="15" customHeight="1" x14ac:dyDescent="0.15">
      <c r="A31" s="12" t="s">
        <v>427</v>
      </c>
      <c r="B31" s="13" t="s">
        <v>570</v>
      </c>
      <c r="C31" s="13" t="s">
        <v>561</v>
      </c>
      <c r="D31" s="14">
        <v>-16764.060000000001</v>
      </c>
      <c r="E31" s="14">
        <v>388007.22</v>
      </c>
    </row>
    <row r="32" spans="1:5" ht="15" customHeight="1" x14ac:dyDescent="0.15">
      <c r="A32" s="12" t="s">
        <v>427</v>
      </c>
      <c r="B32" s="13" t="s">
        <v>584</v>
      </c>
      <c r="C32" s="13" t="s">
        <v>555</v>
      </c>
      <c r="D32" s="14">
        <v>-1454.62</v>
      </c>
      <c r="E32" s="14">
        <v>404771.28</v>
      </c>
    </row>
    <row r="33" spans="1:5" ht="15" customHeight="1" x14ac:dyDescent="0.15">
      <c r="A33" s="12" t="s">
        <v>427</v>
      </c>
      <c r="B33" s="13" t="s">
        <v>585</v>
      </c>
      <c r="C33" s="13" t="s">
        <v>555</v>
      </c>
      <c r="D33" s="14">
        <v>-2960</v>
      </c>
      <c r="E33" s="14">
        <v>406225.9</v>
      </c>
    </row>
    <row r="34" spans="1:5" ht="15" customHeight="1" x14ac:dyDescent="0.15">
      <c r="A34" s="12" t="s">
        <v>427</v>
      </c>
      <c r="B34" s="13" t="s">
        <v>567</v>
      </c>
      <c r="C34" s="13" t="s">
        <v>555</v>
      </c>
      <c r="D34" s="14">
        <v>-960</v>
      </c>
      <c r="E34" s="14">
        <v>409185.9</v>
      </c>
    </row>
    <row r="35" spans="1:5" ht="15" customHeight="1" x14ac:dyDescent="0.15">
      <c r="A35" s="12" t="s">
        <v>427</v>
      </c>
      <c r="B35" s="13" t="s">
        <v>586</v>
      </c>
      <c r="C35" s="13" t="s">
        <v>555</v>
      </c>
      <c r="D35" s="14">
        <v>-27.4</v>
      </c>
      <c r="E35" s="14">
        <v>410145.9</v>
      </c>
    </row>
    <row r="36" spans="1:5" ht="15" customHeight="1" x14ac:dyDescent="0.15">
      <c r="A36" s="12" t="s">
        <v>427</v>
      </c>
      <c r="B36" s="13" t="s">
        <v>587</v>
      </c>
      <c r="C36" s="13" t="s">
        <v>555</v>
      </c>
      <c r="D36" s="14">
        <v>-8242.51</v>
      </c>
      <c r="E36" s="14">
        <v>410173.3</v>
      </c>
    </row>
    <row r="37" spans="1:5" ht="15" customHeight="1" x14ac:dyDescent="0.15">
      <c r="A37" s="12" t="s">
        <v>269</v>
      </c>
      <c r="B37" s="13" t="s">
        <v>588</v>
      </c>
      <c r="C37" s="13" t="s">
        <v>580</v>
      </c>
      <c r="D37" s="14">
        <v>-1.84</v>
      </c>
      <c r="E37" s="14">
        <v>443661.86</v>
      </c>
    </row>
    <row r="38" spans="1:5" ht="15" customHeight="1" x14ac:dyDescent="0.15">
      <c r="A38" s="12" t="s">
        <v>269</v>
      </c>
      <c r="B38" s="13" t="s">
        <v>589</v>
      </c>
      <c r="C38" s="13" t="s">
        <v>580</v>
      </c>
      <c r="D38" s="14">
        <v>-4.28</v>
      </c>
      <c r="E38" s="14">
        <v>443663.7</v>
      </c>
    </row>
    <row r="39" spans="1:5" ht="15" customHeight="1" x14ac:dyDescent="0.15">
      <c r="A39" s="12" t="s">
        <v>269</v>
      </c>
      <c r="B39" s="13" t="s">
        <v>590</v>
      </c>
      <c r="C39" s="13" t="s">
        <v>561</v>
      </c>
      <c r="D39" s="14">
        <v>-219.5</v>
      </c>
      <c r="E39" s="14">
        <v>443667.98</v>
      </c>
    </row>
    <row r="40" spans="1:5" ht="15" customHeight="1" x14ac:dyDescent="0.15">
      <c r="A40" s="12" t="s">
        <v>269</v>
      </c>
      <c r="B40" s="13" t="s">
        <v>568</v>
      </c>
      <c r="C40" s="13" t="s">
        <v>561</v>
      </c>
      <c r="D40" s="14">
        <v>-2891.32</v>
      </c>
      <c r="E40" s="14">
        <v>443887.48</v>
      </c>
    </row>
    <row r="41" spans="1:5" ht="15" customHeight="1" x14ac:dyDescent="0.15">
      <c r="A41" s="12" t="s">
        <v>269</v>
      </c>
      <c r="B41" s="13" t="s">
        <v>591</v>
      </c>
      <c r="C41" s="13" t="s">
        <v>561</v>
      </c>
      <c r="D41" s="14">
        <v>-4355.3999999999996</v>
      </c>
      <c r="E41" s="14">
        <v>446778.8</v>
      </c>
    </row>
    <row r="42" spans="1:5" ht="15" customHeight="1" x14ac:dyDescent="0.15">
      <c r="A42" s="12" t="s">
        <v>269</v>
      </c>
      <c r="B42" s="13" t="s">
        <v>592</v>
      </c>
      <c r="C42" s="13" t="s">
        <v>555</v>
      </c>
      <c r="D42" s="14">
        <v>-134.85</v>
      </c>
      <c r="E42" s="14">
        <v>451134.2</v>
      </c>
    </row>
    <row r="43" spans="1:5" ht="15" customHeight="1" x14ac:dyDescent="0.15">
      <c r="A43" s="12" t="s">
        <v>269</v>
      </c>
      <c r="B43" s="13" t="s">
        <v>586</v>
      </c>
      <c r="C43" s="13" t="s">
        <v>555</v>
      </c>
      <c r="D43" s="14">
        <v>-27.4</v>
      </c>
      <c r="E43" s="14">
        <v>451269.05</v>
      </c>
    </row>
    <row r="44" spans="1:5" ht="15" customHeight="1" x14ac:dyDescent="0.15">
      <c r="A44" s="12" t="s">
        <v>269</v>
      </c>
      <c r="B44" s="13" t="s">
        <v>593</v>
      </c>
      <c r="C44" s="13" t="s">
        <v>555</v>
      </c>
      <c r="D44" s="14">
        <v>-30.96</v>
      </c>
      <c r="E44" s="14">
        <v>451296.45</v>
      </c>
    </row>
    <row r="45" spans="1:5" ht="15" customHeight="1" x14ac:dyDescent="0.15">
      <c r="A45" s="12" t="s">
        <v>269</v>
      </c>
      <c r="B45" s="13" t="s">
        <v>557</v>
      </c>
      <c r="C45" s="13" t="s">
        <v>555</v>
      </c>
      <c r="D45" s="14">
        <v>34119.370000000003</v>
      </c>
      <c r="E45" s="14">
        <v>451327.41</v>
      </c>
    </row>
    <row r="46" spans="1:5" ht="15" customHeight="1" x14ac:dyDescent="0.15">
      <c r="A46" s="12" t="s">
        <v>269</v>
      </c>
      <c r="B46" s="13" t="s">
        <v>572</v>
      </c>
      <c r="C46" s="13" t="s">
        <v>555</v>
      </c>
      <c r="D46" s="14">
        <v>25000</v>
      </c>
      <c r="E46" s="14">
        <v>417208.04</v>
      </c>
    </row>
    <row r="47" spans="1:5" ht="15" customHeight="1" x14ac:dyDescent="0.15">
      <c r="A47" s="12" t="s">
        <v>269</v>
      </c>
      <c r="B47" s="13" t="s">
        <v>594</v>
      </c>
      <c r="C47" s="13" t="s">
        <v>555</v>
      </c>
      <c r="D47" s="14">
        <v>4294.1000000000004</v>
      </c>
      <c r="E47" s="14">
        <v>392208.04</v>
      </c>
    </row>
    <row r="48" spans="1:5" ht="15" customHeight="1" x14ac:dyDescent="0.15">
      <c r="A48" s="12" t="s">
        <v>269</v>
      </c>
      <c r="B48" s="13" t="s">
        <v>577</v>
      </c>
      <c r="C48" s="13" t="s">
        <v>555</v>
      </c>
      <c r="D48" s="14">
        <v>910.93</v>
      </c>
      <c r="E48" s="14">
        <v>387913.94</v>
      </c>
    </row>
    <row r="49" spans="1:5" ht="15" customHeight="1" x14ac:dyDescent="0.15">
      <c r="A49" s="12" t="s">
        <v>26</v>
      </c>
      <c r="B49" s="13" t="s">
        <v>578</v>
      </c>
      <c r="C49" s="13" t="s">
        <v>555</v>
      </c>
      <c r="D49" s="14">
        <v>0.71</v>
      </c>
      <c r="E49" s="14">
        <v>435400.83</v>
      </c>
    </row>
    <row r="50" spans="1:5" ht="15" customHeight="1" x14ac:dyDescent="0.15">
      <c r="A50" s="12" t="s">
        <v>26</v>
      </c>
      <c r="B50" s="13" t="s">
        <v>589</v>
      </c>
      <c r="C50" s="13" t="s">
        <v>580</v>
      </c>
      <c r="D50" s="14">
        <v>-12.84</v>
      </c>
      <c r="E50" s="14">
        <v>435400.12</v>
      </c>
    </row>
    <row r="51" spans="1:5" ht="15" customHeight="1" x14ac:dyDescent="0.15">
      <c r="A51" s="12" t="s">
        <v>26</v>
      </c>
      <c r="B51" s="13" t="s">
        <v>579</v>
      </c>
      <c r="C51" s="13" t="s">
        <v>580</v>
      </c>
      <c r="D51" s="14">
        <v>-1.64</v>
      </c>
      <c r="E51" s="14">
        <v>435412.96</v>
      </c>
    </row>
    <row r="52" spans="1:5" ht="15" customHeight="1" x14ac:dyDescent="0.15">
      <c r="A52" s="12" t="s">
        <v>26</v>
      </c>
      <c r="B52" s="13" t="s">
        <v>595</v>
      </c>
      <c r="C52" s="13" t="s">
        <v>555</v>
      </c>
      <c r="D52" s="14">
        <v>-3056.69</v>
      </c>
      <c r="E52" s="14">
        <v>435414.6</v>
      </c>
    </row>
    <row r="53" spans="1:5" ht="15" customHeight="1" x14ac:dyDescent="0.15">
      <c r="A53" s="12" t="s">
        <v>26</v>
      </c>
      <c r="B53" s="13" t="s">
        <v>581</v>
      </c>
      <c r="C53" s="13" t="s">
        <v>596</v>
      </c>
      <c r="D53" s="14">
        <v>-260.10000000000002</v>
      </c>
      <c r="E53" s="14">
        <v>438471.29</v>
      </c>
    </row>
    <row r="54" spans="1:5" ht="15" customHeight="1" x14ac:dyDescent="0.15">
      <c r="A54" s="12" t="s">
        <v>26</v>
      </c>
      <c r="B54" s="13" t="s">
        <v>597</v>
      </c>
      <c r="C54" s="13" t="s">
        <v>555</v>
      </c>
      <c r="D54" s="14">
        <v>-1511.94</v>
      </c>
      <c r="E54" s="14">
        <v>438731.39</v>
      </c>
    </row>
    <row r="55" spans="1:5" ht="15" customHeight="1" x14ac:dyDescent="0.15">
      <c r="A55" s="12" t="s">
        <v>26</v>
      </c>
      <c r="B55" s="13" t="s">
        <v>598</v>
      </c>
      <c r="C55" s="13" t="s">
        <v>555</v>
      </c>
      <c r="D55" s="14">
        <v>-1416</v>
      </c>
      <c r="E55" s="14">
        <v>440243.33</v>
      </c>
    </row>
    <row r="56" spans="1:5" ht="15" customHeight="1" x14ac:dyDescent="0.15">
      <c r="A56" s="12" t="s">
        <v>26</v>
      </c>
      <c r="B56" s="13" t="s">
        <v>599</v>
      </c>
      <c r="C56" s="13" t="s">
        <v>555</v>
      </c>
      <c r="D56" s="14">
        <v>-567.54999999999995</v>
      </c>
      <c r="E56" s="14">
        <v>441659.33</v>
      </c>
    </row>
    <row r="57" spans="1:5" ht="15" customHeight="1" x14ac:dyDescent="0.15">
      <c r="A57" s="12" t="s">
        <v>26</v>
      </c>
      <c r="B57" s="13" t="s">
        <v>600</v>
      </c>
      <c r="C57" s="13" t="s">
        <v>561</v>
      </c>
      <c r="D57" s="14">
        <v>-1899.27</v>
      </c>
      <c r="E57" s="14">
        <v>442226.88</v>
      </c>
    </row>
    <row r="58" spans="1:5" ht="15" customHeight="1" x14ac:dyDescent="0.15">
      <c r="A58" s="12" t="s">
        <v>26</v>
      </c>
      <c r="B58" s="13" t="s">
        <v>568</v>
      </c>
      <c r="C58" s="13" t="s">
        <v>561</v>
      </c>
      <c r="D58" s="14">
        <v>-7347.38</v>
      </c>
      <c r="E58" s="14">
        <v>444126.15</v>
      </c>
    </row>
    <row r="59" spans="1:5" ht="15" customHeight="1" x14ac:dyDescent="0.15">
      <c r="A59" s="12" t="s">
        <v>26</v>
      </c>
      <c r="B59" s="13" t="s">
        <v>601</v>
      </c>
      <c r="C59" s="13" t="s">
        <v>574</v>
      </c>
      <c r="D59" s="14">
        <v>84.91</v>
      </c>
      <c r="E59" s="14">
        <v>451473.53</v>
      </c>
    </row>
    <row r="60" spans="1:5" ht="15" customHeight="1" x14ac:dyDescent="0.15">
      <c r="A60" s="12" t="s">
        <v>26</v>
      </c>
      <c r="B60" s="13" t="s">
        <v>602</v>
      </c>
      <c r="C60" s="13" t="s">
        <v>574</v>
      </c>
      <c r="D60" s="14">
        <v>237.73</v>
      </c>
      <c r="E60" s="14">
        <v>451388.62</v>
      </c>
    </row>
    <row r="61" spans="1:5" ht="15" customHeight="1" x14ac:dyDescent="0.15">
      <c r="A61" s="12" t="s">
        <v>26</v>
      </c>
      <c r="B61" s="13" t="s">
        <v>603</v>
      </c>
      <c r="C61" s="13" t="s">
        <v>574</v>
      </c>
      <c r="D61" s="14">
        <v>3884.49</v>
      </c>
      <c r="E61" s="14">
        <v>451150.89</v>
      </c>
    </row>
    <row r="62" spans="1:5" ht="15" customHeight="1" x14ac:dyDescent="0.15">
      <c r="A62" s="12" t="s">
        <v>26</v>
      </c>
      <c r="B62" s="13" t="s">
        <v>577</v>
      </c>
      <c r="C62" s="13" t="s">
        <v>555</v>
      </c>
      <c r="D62" s="14">
        <v>3607.43</v>
      </c>
      <c r="E62" s="14">
        <v>447266.4</v>
      </c>
    </row>
    <row r="63" spans="1:5" ht="15" customHeight="1" x14ac:dyDescent="0.15">
      <c r="A63" s="12" t="s">
        <v>26</v>
      </c>
      <c r="B63" s="13" t="s">
        <v>604</v>
      </c>
      <c r="C63" s="13" t="s">
        <v>555</v>
      </c>
      <c r="D63" s="14">
        <v>-2.89</v>
      </c>
      <c r="E63" s="14">
        <v>443658.97</v>
      </c>
    </row>
    <row r="64" spans="1:5" ht="15" customHeight="1" x14ac:dyDescent="0.15">
      <c r="A64" s="12" t="s">
        <v>353</v>
      </c>
      <c r="B64" s="13" t="s">
        <v>578</v>
      </c>
      <c r="C64" s="13" t="s">
        <v>555</v>
      </c>
      <c r="D64" s="14">
        <v>5.07</v>
      </c>
      <c r="E64" s="14">
        <v>383006.26</v>
      </c>
    </row>
    <row r="65" spans="1:5" ht="15" customHeight="1" x14ac:dyDescent="0.15">
      <c r="A65" s="12" t="s">
        <v>353</v>
      </c>
      <c r="B65" s="13" t="s">
        <v>597</v>
      </c>
      <c r="C65" s="13" t="s">
        <v>555</v>
      </c>
      <c r="D65" s="14">
        <v>-55885.19</v>
      </c>
      <c r="E65" s="14">
        <v>383001.19</v>
      </c>
    </row>
    <row r="66" spans="1:5" ht="15" customHeight="1" x14ac:dyDescent="0.15">
      <c r="A66" s="12" t="s">
        <v>353</v>
      </c>
      <c r="B66" s="13" t="s">
        <v>605</v>
      </c>
      <c r="C66" s="13" t="s">
        <v>555</v>
      </c>
      <c r="D66" s="14">
        <v>-829.07</v>
      </c>
      <c r="E66" s="14">
        <v>438886.38</v>
      </c>
    </row>
    <row r="67" spans="1:5" ht="15" customHeight="1" x14ac:dyDescent="0.15">
      <c r="A67" s="12" t="s">
        <v>353</v>
      </c>
      <c r="B67" s="13" t="s">
        <v>600</v>
      </c>
      <c r="C67" s="13" t="s">
        <v>561</v>
      </c>
      <c r="D67" s="14">
        <v>-3502.2</v>
      </c>
      <c r="E67" s="14">
        <v>439715.45</v>
      </c>
    </row>
    <row r="68" spans="1:5" ht="15" customHeight="1" x14ac:dyDescent="0.15">
      <c r="A68" s="12" t="s">
        <v>353</v>
      </c>
      <c r="B68" s="13" t="s">
        <v>606</v>
      </c>
      <c r="C68" s="13" t="s">
        <v>561</v>
      </c>
      <c r="D68" s="14">
        <v>-17.22</v>
      </c>
      <c r="E68" s="14">
        <v>443217.65</v>
      </c>
    </row>
    <row r="69" spans="1:5" ht="15" customHeight="1" x14ac:dyDescent="0.15">
      <c r="A69" s="12" t="s">
        <v>353</v>
      </c>
      <c r="B69" s="13" t="s">
        <v>607</v>
      </c>
      <c r="C69" s="13" t="s">
        <v>555</v>
      </c>
      <c r="D69" s="14">
        <v>7845.6</v>
      </c>
      <c r="E69" s="14">
        <v>443234.87</v>
      </c>
    </row>
    <row r="70" spans="1:5" ht="15" customHeight="1" x14ac:dyDescent="0.15">
      <c r="A70" s="12" t="s">
        <v>353</v>
      </c>
      <c r="B70" s="13" t="s">
        <v>576</v>
      </c>
      <c r="C70" s="13" t="s">
        <v>555</v>
      </c>
      <c r="D70" s="14">
        <v>-11.56</v>
      </c>
      <c r="E70" s="14">
        <v>435389.27</v>
      </c>
    </row>
    <row r="71" spans="1:5" ht="15" customHeight="1" x14ac:dyDescent="0.15">
      <c r="A71" s="12" t="s">
        <v>97</v>
      </c>
      <c r="B71" s="13" t="s">
        <v>578</v>
      </c>
      <c r="C71" s="13" t="s">
        <v>555</v>
      </c>
      <c r="D71" s="14">
        <v>7.51</v>
      </c>
      <c r="E71" s="14">
        <v>294165.88</v>
      </c>
    </row>
    <row r="72" spans="1:5" ht="15" customHeight="1" x14ac:dyDescent="0.15">
      <c r="A72" s="12" t="s">
        <v>97</v>
      </c>
      <c r="B72" s="13" t="s">
        <v>608</v>
      </c>
      <c r="C72" s="13" t="s">
        <v>555</v>
      </c>
      <c r="D72" s="14">
        <v>-2064</v>
      </c>
      <c r="E72" s="14">
        <v>294158.37</v>
      </c>
    </row>
    <row r="73" spans="1:5" ht="15" customHeight="1" x14ac:dyDescent="0.15">
      <c r="A73" s="12" t="s">
        <v>97</v>
      </c>
      <c r="B73" s="13" t="s">
        <v>609</v>
      </c>
      <c r="C73" s="13" t="s">
        <v>555</v>
      </c>
      <c r="D73" s="14">
        <v>-100</v>
      </c>
      <c r="E73" s="14">
        <v>296222.37</v>
      </c>
    </row>
    <row r="74" spans="1:5" ht="15" customHeight="1" x14ac:dyDescent="0.15">
      <c r="A74" s="12" t="s">
        <v>97</v>
      </c>
      <c r="B74" s="13" t="s">
        <v>610</v>
      </c>
      <c r="C74" s="13" t="s">
        <v>555</v>
      </c>
      <c r="D74" s="14">
        <v>-768</v>
      </c>
      <c r="E74" s="14">
        <v>296322.37</v>
      </c>
    </row>
    <row r="75" spans="1:5" ht="15" customHeight="1" x14ac:dyDescent="0.15">
      <c r="A75" s="12" t="s">
        <v>97</v>
      </c>
      <c r="B75" s="13" t="s">
        <v>611</v>
      </c>
      <c r="C75" s="13" t="s">
        <v>555</v>
      </c>
      <c r="D75" s="14">
        <v>-13.43</v>
      </c>
      <c r="E75" s="14">
        <v>297090.37</v>
      </c>
    </row>
    <row r="76" spans="1:5" ht="15" customHeight="1" x14ac:dyDescent="0.15">
      <c r="A76" s="12" t="s">
        <v>97</v>
      </c>
      <c r="B76" s="13" t="s">
        <v>612</v>
      </c>
      <c r="C76" s="13" t="s">
        <v>561</v>
      </c>
      <c r="D76" s="14">
        <v>-4386.1499999999996</v>
      </c>
      <c r="E76" s="14">
        <v>297103.8</v>
      </c>
    </row>
    <row r="77" spans="1:5" ht="15" customHeight="1" x14ac:dyDescent="0.15">
      <c r="A77" s="12" t="s">
        <v>97</v>
      </c>
      <c r="B77" s="13" t="s">
        <v>563</v>
      </c>
      <c r="C77" s="13" t="s">
        <v>561</v>
      </c>
      <c r="D77" s="14">
        <v>-307.72000000000003</v>
      </c>
      <c r="E77" s="14">
        <v>301489.95</v>
      </c>
    </row>
    <row r="78" spans="1:5" ht="15" customHeight="1" x14ac:dyDescent="0.15">
      <c r="A78" s="12" t="s">
        <v>97</v>
      </c>
      <c r="B78" s="13" t="s">
        <v>613</v>
      </c>
      <c r="C78" s="13" t="s">
        <v>561</v>
      </c>
      <c r="D78" s="14">
        <v>-3235</v>
      </c>
      <c r="E78" s="14">
        <v>301797.67</v>
      </c>
    </row>
    <row r="79" spans="1:5" ht="15" customHeight="1" x14ac:dyDescent="0.15">
      <c r="A79" s="12" t="s">
        <v>97</v>
      </c>
      <c r="B79" s="13" t="s">
        <v>600</v>
      </c>
      <c r="C79" s="13" t="s">
        <v>561</v>
      </c>
      <c r="D79" s="14">
        <v>-4579.8</v>
      </c>
      <c r="E79" s="14">
        <v>305032.67</v>
      </c>
    </row>
    <row r="80" spans="1:5" ht="15" customHeight="1" x14ac:dyDescent="0.15">
      <c r="A80" s="12" t="s">
        <v>97</v>
      </c>
      <c r="B80" s="13" t="s">
        <v>614</v>
      </c>
      <c r="C80" s="13" t="s">
        <v>561</v>
      </c>
      <c r="D80" s="14">
        <v>-1453.92</v>
      </c>
      <c r="E80" s="14">
        <v>309612.46999999997</v>
      </c>
    </row>
    <row r="81" spans="1:5" ht="15" customHeight="1" x14ac:dyDescent="0.15">
      <c r="A81" s="12" t="s">
        <v>97</v>
      </c>
      <c r="B81" s="13" t="s">
        <v>583</v>
      </c>
      <c r="C81" s="13" t="s">
        <v>561</v>
      </c>
      <c r="D81" s="14">
        <v>-2122.46</v>
      </c>
      <c r="E81" s="14">
        <v>311066.39</v>
      </c>
    </row>
    <row r="82" spans="1:5" ht="15" customHeight="1" x14ac:dyDescent="0.15">
      <c r="A82" s="12" t="s">
        <v>97</v>
      </c>
      <c r="B82" s="13" t="s">
        <v>615</v>
      </c>
      <c r="C82" s="13" t="s">
        <v>561</v>
      </c>
      <c r="D82" s="14">
        <v>-3550</v>
      </c>
      <c r="E82" s="14">
        <v>313188.84999999998</v>
      </c>
    </row>
    <row r="83" spans="1:5" ht="15" customHeight="1" x14ac:dyDescent="0.15">
      <c r="A83" s="12" t="s">
        <v>97</v>
      </c>
      <c r="B83" s="13" t="s">
        <v>616</v>
      </c>
      <c r="C83" s="13" t="s">
        <v>561</v>
      </c>
      <c r="D83" s="14">
        <v>-868.85</v>
      </c>
      <c r="E83" s="14">
        <v>316738.84999999998</v>
      </c>
    </row>
    <row r="84" spans="1:5" ht="15" customHeight="1" x14ac:dyDescent="0.15">
      <c r="A84" s="12" t="s">
        <v>97</v>
      </c>
      <c r="B84" s="13" t="s">
        <v>617</v>
      </c>
      <c r="C84" s="13" t="s">
        <v>561</v>
      </c>
      <c r="D84" s="14">
        <v>-356.62</v>
      </c>
      <c r="E84" s="14">
        <v>317607.7</v>
      </c>
    </row>
    <row r="85" spans="1:5" ht="15" customHeight="1" x14ac:dyDescent="0.15">
      <c r="A85" s="12" t="s">
        <v>97</v>
      </c>
      <c r="B85" s="13" t="s">
        <v>617</v>
      </c>
      <c r="C85" s="13" t="s">
        <v>561</v>
      </c>
      <c r="D85" s="14">
        <v>-1576.32</v>
      </c>
      <c r="E85" s="14">
        <v>317964.32</v>
      </c>
    </row>
    <row r="86" spans="1:5" ht="15" customHeight="1" x14ac:dyDescent="0.15">
      <c r="A86" s="12" t="s">
        <v>97</v>
      </c>
      <c r="B86" s="13" t="s">
        <v>617</v>
      </c>
      <c r="C86" s="13" t="s">
        <v>561</v>
      </c>
      <c r="D86" s="14">
        <v>-474.74</v>
      </c>
      <c r="E86" s="14">
        <v>319540.64</v>
      </c>
    </row>
    <row r="87" spans="1:5" ht="15" customHeight="1" x14ac:dyDescent="0.15">
      <c r="A87" s="12" t="s">
        <v>97</v>
      </c>
      <c r="B87" s="13" t="s">
        <v>560</v>
      </c>
      <c r="C87" s="13" t="s">
        <v>561</v>
      </c>
      <c r="D87" s="14">
        <v>-725</v>
      </c>
      <c r="E87" s="14">
        <v>320015.38</v>
      </c>
    </row>
    <row r="88" spans="1:5" ht="15" customHeight="1" x14ac:dyDescent="0.15">
      <c r="A88" s="12" t="s">
        <v>97</v>
      </c>
      <c r="B88" s="13" t="s">
        <v>600</v>
      </c>
      <c r="C88" s="13" t="s">
        <v>561</v>
      </c>
      <c r="D88" s="14">
        <v>-6187.42</v>
      </c>
      <c r="E88" s="14">
        <v>320740.38</v>
      </c>
    </row>
    <row r="89" spans="1:5" ht="15" customHeight="1" x14ac:dyDescent="0.15">
      <c r="A89" s="12" t="s">
        <v>97</v>
      </c>
      <c r="B89" s="13" t="s">
        <v>600</v>
      </c>
      <c r="C89" s="13" t="s">
        <v>561</v>
      </c>
      <c r="D89" s="14">
        <v>-3652.25</v>
      </c>
      <c r="E89" s="14">
        <v>326927.8</v>
      </c>
    </row>
    <row r="90" spans="1:5" ht="15" customHeight="1" x14ac:dyDescent="0.15">
      <c r="A90" s="12" t="s">
        <v>97</v>
      </c>
      <c r="B90" s="13" t="s">
        <v>618</v>
      </c>
      <c r="C90" s="13" t="s">
        <v>561</v>
      </c>
      <c r="D90" s="14">
        <v>-1430</v>
      </c>
      <c r="E90" s="14">
        <v>330580.05</v>
      </c>
    </row>
    <row r="91" spans="1:5" ht="15" customHeight="1" x14ac:dyDescent="0.15">
      <c r="A91" s="12" t="s">
        <v>97</v>
      </c>
      <c r="B91" s="13" t="s">
        <v>600</v>
      </c>
      <c r="C91" s="13" t="s">
        <v>561</v>
      </c>
      <c r="D91" s="14">
        <v>-4579.8</v>
      </c>
      <c r="E91" s="14">
        <v>332010.05</v>
      </c>
    </row>
    <row r="92" spans="1:5" ht="15" customHeight="1" x14ac:dyDescent="0.15">
      <c r="A92" s="12" t="s">
        <v>97</v>
      </c>
      <c r="B92" s="13" t="s">
        <v>619</v>
      </c>
      <c r="C92" s="13" t="s">
        <v>561</v>
      </c>
      <c r="D92" s="14">
        <v>-309</v>
      </c>
      <c r="E92" s="14">
        <v>336589.85</v>
      </c>
    </row>
    <row r="93" spans="1:5" ht="15" customHeight="1" x14ac:dyDescent="0.15">
      <c r="A93" s="12" t="s">
        <v>97</v>
      </c>
      <c r="B93" s="13" t="s">
        <v>620</v>
      </c>
      <c r="C93" s="13" t="s">
        <v>561</v>
      </c>
      <c r="D93" s="14">
        <v>-4140</v>
      </c>
      <c r="E93" s="14">
        <v>336898.85</v>
      </c>
    </row>
    <row r="94" spans="1:5" ht="15" customHeight="1" x14ac:dyDescent="0.15">
      <c r="A94" s="12" t="s">
        <v>97</v>
      </c>
      <c r="B94" s="13" t="s">
        <v>621</v>
      </c>
      <c r="C94" s="13" t="s">
        <v>555</v>
      </c>
      <c r="D94" s="14">
        <v>-17209.73</v>
      </c>
      <c r="E94" s="14">
        <v>341038.85</v>
      </c>
    </row>
    <row r="95" spans="1:5" ht="15" customHeight="1" x14ac:dyDescent="0.15">
      <c r="A95" s="12" t="s">
        <v>97</v>
      </c>
      <c r="B95" s="13" t="s">
        <v>622</v>
      </c>
      <c r="C95" s="13" t="s">
        <v>555</v>
      </c>
      <c r="D95" s="14">
        <v>-24639.9</v>
      </c>
      <c r="E95" s="14">
        <v>358248.58</v>
      </c>
    </row>
    <row r="96" spans="1:5" ht="15" customHeight="1" x14ac:dyDescent="0.15">
      <c r="A96" s="12" t="s">
        <v>97</v>
      </c>
      <c r="B96" s="13" t="s">
        <v>576</v>
      </c>
      <c r="C96" s="13" t="s">
        <v>555</v>
      </c>
      <c r="D96" s="14">
        <v>-5.78</v>
      </c>
      <c r="E96" s="14">
        <v>382888.48</v>
      </c>
    </row>
    <row r="97" spans="1:5" ht="15" customHeight="1" x14ac:dyDescent="0.15">
      <c r="A97" s="12" t="s">
        <v>97</v>
      </c>
      <c r="B97" s="13" t="s">
        <v>623</v>
      </c>
      <c r="C97" s="13" t="s">
        <v>555</v>
      </c>
      <c r="D97" s="14">
        <v>-112</v>
      </c>
      <c r="E97" s="14">
        <v>382894.26</v>
      </c>
    </row>
    <row r="98" spans="1:5" ht="15" customHeight="1" x14ac:dyDescent="0.15">
      <c r="A98" s="12" t="s">
        <v>374</v>
      </c>
      <c r="B98" s="13" t="s">
        <v>578</v>
      </c>
      <c r="C98" s="13" t="s">
        <v>555</v>
      </c>
      <c r="D98" s="14">
        <v>0.7</v>
      </c>
      <c r="E98" s="14">
        <v>285297.75</v>
      </c>
    </row>
    <row r="99" spans="1:5" ht="15" customHeight="1" x14ac:dyDescent="0.15">
      <c r="A99" s="12" t="s">
        <v>374</v>
      </c>
      <c r="B99" s="13" t="s">
        <v>589</v>
      </c>
      <c r="C99" s="13" t="s">
        <v>580</v>
      </c>
      <c r="D99" s="14">
        <v>-8.56</v>
      </c>
      <c r="E99" s="14">
        <v>285297.05</v>
      </c>
    </row>
    <row r="100" spans="1:5" ht="15" customHeight="1" x14ac:dyDescent="0.15">
      <c r="A100" s="12" t="s">
        <v>374</v>
      </c>
      <c r="B100" s="13" t="s">
        <v>579</v>
      </c>
      <c r="C100" s="13" t="s">
        <v>580</v>
      </c>
      <c r="D100" s="14">
        <v>-1.64</v>
      </c>
      <c r="E100" s="14">
        <v>285305.61</v>
      </c>
    </row>
    <row r="101" spans="1:5" ht="15" customHeight="1" x14ac:dyDescent="0.15">
      <c r="A101" s="12" t="s">
        <v>374</v>
      </c>
      <c r="B101" s="13" t="s">
        <v>624</v>
      </c>
      <c r="C101" s="13" t="s">
        <v>555</v>
      </c>
      <c r="D101" s="14">
        <v>-490</v>
      </c>
      <c r="E101" s="14">
        <v>285307.25</v>
      </c>
    </row>
    <row r="102" spans="1:5" ht="15" customHeight="1" x14ac:dyDescent="0.15">
      <c r="A102" s="12" t="s">
        <v>374</v>
      </c>
      <c r="B102" s="13" t="s">
        <v>625</v>
      </c>
      <c r="C102" s="13" t="s">
        <v>555</v>
      </c>
      <c r="D102" s="14">
        <v>-375.19</v>
      </c>
      <c r="E102" s="14">
        <v>285797.25</v>
      </c>
    </row>
    <row r="103" spans="1:5" ht="15" customHeight="1" x14ac:dyDescent="0.15">
      <c r="A103" s="12" t="s">
        <v>374</v>
      </c>
      <c r="B103" s="13" t="s">
        <v>626</v>
      </c>
      <c r="C103" s="13" t="s">
        <v>555</v>
      </c>
      <c r="D103" s="14">
        <v>-4000</v>
      </c>
      <c r="E103" s="14">
        <v>286172.44</v>
      </c>
    </row>
    <row r="104" spans="1:5" ht="15" customHeight="1" x14ac:dyDescent="0.15">
      <c r="A104" s="12" t="s">
        <v>374</v>
      </c>
      <c r="B104" s="13" t="s">
        <v>600</v>
      </c>
      <c r="C104" s="13" t="s">
        <v>561</v>
      </c>
      <c r="D104" s="14">
        <v>-4849.2</v>
      </c>
      <c r="E104" s="14">
        <v>290172.44</v>
      </c>
    </row>
    <row r="105" spans="1:5" ht="15" customHeight="1" x14ac:dyDescent="0.15">
      <c r="A105" s="12" t="s">
        <v>374</v>
      </c>
      <c r="B105" s="13" t="s">
        <v>568</v>
      </c>
      <c r="C105" s="13" t="s">
        <v>561</v>
      </c>
      <c r="D105" s="14">
        <v>-461.55</v>
      </c>
      <c r="E105" s="14">
        <v>295021.64</v>
      </c>
    </row>
    <row r="106" spans="1:5" ht="15" customHeight="1" x14ac:dyDescent="0.15">
      <c r="A106" s="12" t="s">
        <v>374</v>
      </c>
      <c r="B106" s="13" t="s">
        <v>577</v>
      </c>
      <c r="C106" s="13" t="s">
        <v>555</v>
      </c>
      <c r="D106" s="14">
        <v>1328.87</v>
      </c>
      <c r="E106" s="14">
        <v>295483.19</v>
      </c>
    </row>
    <row r="107" spans="1:5" ht="15" customHeight="1" x14ac:dyDescent="0.15">
      <c r="A107" s="12" t="s">
        <v>374</v>
      </c>
      <c r="B107" s="13" t="s">
        <v>576</v>
      </c>
      <c r="C107" s="13" t="s">
        <v>555</v>
      </c>
      <c r="D107" s="14">
        <v>-11.56</v>
      </c>
      <c r="E107" s="14">
        <v>294154.32</v>
      </c>
    </row>
    <row r="108" spans="1:5" ht="15" customHeight="1" x14ac:dyDescent="0.15">
      <c r="A108" s="12" t="s">
        <v>548</v>
      </c>
      <c r="B108" s="13" t="s">
        <v>588</v>
      </c>
      <c r="C108" s="13" t="s">
        <v>580</v>
      </c>
      <c r="D108" s="14">
        <v>-3.68</v>
      </c>
      <c r="E108" s="14">
        <v>302931.11</v>
      </c>
    </row>
    <row r="109" spans="1:5" ht="15" customHeight="1" x14ac:dyDescent="0.15">
      <c r="A109" s="12" t="s">
        <v>548</v>
      </c>
      <c r="B109" s="13" t="s">
        <v>627</v>
      </c>
      <c r="C109" s="13" t="s">
        <v>561</v>
      </c>
      <c r="D109" s="14">
        <v>-106.63</v>
      </c>
      <c r="E109" s="14">
        <v>302934.78999999998</v>
      </c>
    </row>
    <row r="110" spans="1:5" ht="15" customHeight="1" x14ac:dyDescent="0.15">
      <c r="A110" s="12" t="s">
        <v>548</v>
      </c>
      <c r="B110" s="13" t="s">
        <v>628</v>
      </c>
      <c r="C110" s="13" t="s">
        <v>561</v>
      </c>
      <c r="D110" s="14">
        <v>-20174.3</v>
      </c>
      <c r="E110" s="14">
        <v>303041.42</v>
      </c>
    </row>
    <row r="111" spans="1:5" ht="15" customHeight="1" x14ac:dyDescent="0.15">
      <c r="A111" s="12" t="s">
        <v>548</v>
      </c>
      <c r="B111" s="13" t="s">
        <v>629</v>
      </c>
      <c r="C111" s="13" t="s">
        <v>561</v>
      </c>
      <c r="D111" s="14">
        <v>-54.8</v>
      </c>
      <c r="E111" s="14">
        <v>323215.71999999997</v>
      </c>
    </row>
    <row r="112" spans="1:5" ht="15" customHeight="1" x14ac:dyDescent="0.15">
      <c r="A112" s="12" t="s">
        <v>548</v>
      </c>
      <c r="B112" s="13" t="s">
        <v>612</v>
      </c>
      <c r="C112" s="13" t="s">
        <v>561</v>
      </c>
      <c r="D112" s="14">
        <v>-1702.29</v>
      </c>
      <c r="E112" s="14">
        <v>323270.52</v>
      </c>
    </row>
    <row r="113" spans="1:5" ht="15" customHeight="1" x14ac:dyDescent="0.15">
      <c r="A113" s="12" t="s">
        <v>548</v>
      </c>
      <c r="B113" s="13" t="s">
        <v>583</v>
      </c>
      <c r="C113" s="13" t="s">
        <v>561</v>
      </c>
      <c r="D113" s="14">
        <v>-1336.13</v>
      </c>
      <c r="E113" s="14">
        <v>324972.81</v>
      </c>
    </row>
    <row r="114" spans="1:5" ht="15" customHeight="1" x14ac:dyDescent="0.15">
      <c r="A114" s="12" t="s">
        <v>548</v>
      </c>
      <c r="B114" s="13" t="s">
        <v>616</v>
      </c>
      <c r="C114" s="13" t="s">
        <v>561</v>
      </c>
      <c r="D114" s="14">
        <v>-3418.68</v>
      </c>
      <c r="E114" s="14">
        <v>326308.94</v>
      </c>
    </row>
    <row r="115" spans="1:5" ht="15" customHeight="1" x14ac:dyDescent="0.15">
      <c r="A115" s="12" t="s">
        <v>548</v>
      </c>
      <c r="B115" s="13" t="s">
        <v>630</v>
      </c>
      <c r="C115" s="13" t="s">
        <v>561</v>
      </c>
      <c r="D115" s="14">
        <v>-9773.44</v>
      </c>
      <c r="E115" s="14">
        <v>329727.62</v>
      </c>
    </row>
    <row r="116" spans="1:5" ht="15" customHeight="1" x14ac:dyDescent="0.15">
      <c r="A116" s="12" t="s">
        <v>548</v>
      </c>
      <c r="B116" s="13" t="s">
        <v>609</v>
      </c>
      <c r="C116" s="13" t="s">
        <v>555</v>
      </c>
      <c r="D116" s="14">
        <v>-1000</v>
      </c>
      <c r="E116" s="14">
        <v>339501.06</v>
      </c>
    </row>
    <row r="117" spans="1:5" ht="15" customHeight="1" x14ac:dyDescent="0.15">
      <c r="A117" s="12" t="s">
        <v>548</v>
      </c>
      <c r="B117" s="13" t="s">
        <v>572</v>
      </c>
      <c r="C117" s="13" t="s">
        <v>555</v>
      </c>
      <c r="D117" s="14">
        <v>50000</v>
      </c>
      <c r="E117" s="14">
        <v>340501.06</v>
      </c>
    </row>
    <row r="118" spans="1:5" ht="15" customHeight="1" x14ac:dyDescent="0.15">
      <c r="A118" s="12" t="s">
        <v>548</v>
      </c>
      <c r="B118" s="13" t="s">
        <v>573</v>
      </c>
      <c r="C118" s="13" t="s">
        <v>574</v>
      </c>
      <c r="D118" s="14">
        <v>5211.9799999999996</v>
      </c>
      <c r="E118" s="14">
        <v>290501.06</v>
      </c>
    </row>
    <row r="119" spans="1:5" ht="15" customHeight="1" x14ac:dyDescent="0.15">
      <c r="A119" s="12" t="s">
        <v>548</v>
      </c>
      <c r="B119" s="13" t="s">
        <v>576</v>
      </c>
      <c r="C119" s="13" t="s">
        <v>555</v>
      </c>
      <c r="D119" s="14">
        <v>-8.67</v>
      </c>
      <c r="E119" s="14">
        <v>285289.08</v>
      </c>
    </row>
    <row r="120" spans="1:5" ht="15" customHeight="1" x14ac:dyDescent="0.15">
      <c r="A120" s="12" t="s">
        <v>417</v>
      </c>
      <c r="B120" s="13" t="s">
        <v>578</v>
      </c>
      <c r="C120" s="13" t="s">
        <v>555</v>
      </c>
      <c r="D120" s="14">
        <v>2.62</v>
      </c>
      <c r="E120" s="14">
        <v>273705.78000000003</v>
      </c>
    </row>
    <row r="121" spans="1:5" ht="15" customHeight="1" x14ac:dyDescent="0.15">
      <c r="A121" s="12" t="s">
        <v>417</v>
      </c>
      <c r="B121" s="13" t="s">
        <v>589</v>
      </c>
      <c r="C121" s="13" t="s">
        <v>580</v>
      </c>
      <c r="D121" s="14">
        <v>-8.56</v>
      </c>
      <c r="E121" s="14">
        <v>273703.15999999997</v>
      </c>
    </row>
    <row r="122" spans="1:5" ht="15" customHeight="1" x14ac:dyDescent="0.15">
      <c r="A122" s="12" t="s">
        <v>417</v>
      </c>
      <c r="B122" s="13" t="s">
        <v>579</v>
      </c>
      <c r="C122" s="13" t="s">
        <v>580</v>
      </c>
      <c r="D122" s="14">
        <v>-1.64</v>
      </c>
      <c r="E122" s="14">
        <v>273711.71999999997</v>
      </c>
    </row>
    <row r="123" spans="1:5" ht="15" customHeight="1" x14ac:dyDescent="0.15">
      <c r="A123" s="12" t="s">
        <v>417</v>
      </c>
      <c r="B123" s="13" t="s">
        <v>612</v>
      </c>
      <c r="C123" s="13" t="s">
        <v>561</v>
      </c>
      <c r="D123" s="14">
        <v>-380</v>
      </c>
      <c r="E123" s="14">
        <v>273713.36</v>
      </c>
    </row>
    <row r="124" spans="1:5" ht="15" customHeight="1" x14ac:dyDescent="0.15">
      <c r="A124" s="12" t="s">
        <v>417</v>
      </c>
      <c r="B124" s="13" t="s">
        <v>631</v>
      </c>
      <c r="C124" s="13" t="s">
        <v>561</v>
      </c>
      <c r="D124" s="14">
        <v>-5000</v>
      </c>
      <c r="E124" s="14">
        <v>274093.36</v>
      </c>
    </row>
    <row r="125" spans="1:5" ht="15" customHeight="1" x14ac:dyDescent="0.15">
      <c r="A125" s="12" t="s">
        <v>417</v>
      </c>
      <c r="B125" s="13" t="s">
        <v>632</v>
      </c>
      <c r="C125" s="13" t="s">
        <v>555</v>
      </c>
      <c r="D125" s="14">
        <v>-1145.1300000000001</v>
      </c>
      <c r="E125" s="14">
        <v>279093.36</v>
      </c>
    </row>
    <row r="126" spans="1:5" ht="15" customHeight="1" x14ac:dyDescent="0.15">
      <c r="A126" s="12" t="s">
        <v>417</v>
      </c>
      <c r="B126" s="13" t="s">
        <v>633</v>
      </c>
      <c r="C126" s="13" t="s">
        <v>555</v>
      </c>
      <c r="D126" s="14">
        <v>-60.1</v>
      </c>
      <c r="E126" s="14">
        <v>280238.49</v>
      </c>
    </row>
    <row r="127" spans="1:5" ht="15" customHeight="1" x14ac:dyDescent="0.15">
      <c r="A127" s="12" t="s">
        <v>417</v>
      </c>
      <c r="B127" s="13" t="s">
        <v>634</v>
      </c>
      <c r="C127" s="13" t="s">
        <v>555</v>
      </c>
      <c r="D127" s="14">
        <v>-1145.1300000000001</v>
      </c>
      <c r="E127" s="14">
        <v>280298.59000000003</v>
      </c>
    </row>
    <row r="128" spans="1:5" ht="15" customHeight="1" x14ac:dyDescent="0.15">
      <c r="A128" s="12" t="s">
        <v>417</v>
      </c>
      <c r="B128" s="13" t="s">
        <v>635</v>
      </c>
      <c r="C128" s="13" t="s">
        <v>555</v>
      </c>
      <c r="D128" s="14">
        <v>-9570.81</v>
      </c>
      <c r="E128" s="14">
        <v>281443.71999999997</v>
      </c>
    </row>
    <row r="129" spans="1:5" ht="15" customHeight="1" x14ac:dyDescent="0.15">
      <c r="A129" s="12" t="s">
        <v>417</v>
      </c>
      <c r="B129" s="13" t="s">
        <v>636</v>
      </c>
      <c r="C129" s="13" t="s">
        <v>555</v>
      </c>
      <c r="D129" s="14">
        <v>-1584.37</v>
      </c>
      <c r="E129" s="14">
        <v>291014.53000000003</v>
      </c>
    </row>
    <row r="130" spans="1:5" ht="15" customHeight="1" x14ac:dyDescent="0.15">
      <c r="A130" s="12" t="s">
        <v>417</v>
      </c>
      <c r="B130" s="13" t="s">
        <v>637</v>
      </c>
      <c r="C130" s="13" t="s">
        <v>555</v>
      </c>
      <c r="D130" s="14">
        <v>-139.77000000000001</v>
      </c>
      <c r="E130" s="14">
        <v>292598.90000000002</v>
      </c>
    </row>
    <row r="131" spans="1:5" ht="15" customHeight="1" x14ac:dyDescent="0.15">
      <c r="A131" s="12" t="s">
        <v>417</v>
      </c>
      <c r="B131" s="13" t="s">
        <v>638</v>
      </c>
      <c r="C131" s="13" t="s">
        <v>555</v>
      </c>
      <c r="D131" s="14">
        <v>-68.98</v>
      </c>
      <c r="E131" s="14">
        <v>292738.67</v>
      </c>
    </row>
    <row r="132" spans="1:5" ht="15" customHeight="1" x14ac:dyDescent="0.15">
      <c r="A132" s="12" t="s">
        <v>417</v>
      </c>
      <c r="B132" s="13" t="s">
        <v>581</v>
      </c>
      <c r="C132" s="13" t="s">
        <v>639</v>
      </c>
      <c r="D132" s="14">
        <v>-855.9</v>
      </c>
      <c r="E132" s="14">
        <v>292807.65000000002</v>
      </c>
    </row>
    <row r="133" spans="1:5" ht="15" customHeight="1" x14ac:dyDescent="0.15">
      <c r="A133" s="12" t="s">
        <v>417</v>
      </c>
      <c r="B133" s="13" t="s">
        <v>640</v>
      </c>
      <c r="C133" s="13" t="s">
        <v>555</v>
      </c>
      <c r="D133" s="14">
        <v>-455.07</v>
      </c>
      <c r="E133" s="14">
        <v>293663.55</v>
      </c>
    </row>
    <row r="134" spans="1:5" ht="15" customHeight="1" x14ac:dyDescent="0.15">
      <c r="A134" s="12" t="s">
        <v>417</v>
      </c>
      <c r="B134" s="13" t="s">
        <v>581</v>
      </c>
      <c r="C134" s="13" t="s">
        <v>641</v>
      </c>
      <c r="D134" s="14">
        <v>-855</v>
      </c>
      <c r="E134" s="14">
        <v>294118.62</v>
      </c>
    </row>
    <row r="135" spans="1:5" ht="15" customHeight="1" x14ac:dyDescent="0.15">
      <c r="A135" s="12" t="s">
        <v>417</v>
      </c>
      <c r="B135" s="13" t="s">
        <v>642</v>
      </c>
      <c r="C135" s="13" t="s">
        <v>555</v>
      </c>
      <c r="D135" s="14">
        <v>-144.09</v>
      </c>
      <c r="E135" s="14">
        <v>294973.62</v>
      </c>
    </row>
    <row r="136" spans="1:5" ht="15" customHeight="1" x14ac:dyDescent="0.15">
      <c r="A136" s="12" t="s">
        <v>417</v>
      </c>
      <c r="B136" s="13" t="s">
        <v>643</v>
      </c>
      <c r="C136" s="13" t="s">
        <v>555</v>
      </c>
      <c r="D136" s="14">
        <v>-1591.94</v>
      </c>
      <c r="E136" s="14">
        <v>295117.71000000002</v>
      </c>
    </row>
    <row r="137" spans="1:5" ht="15" customHeight="1" x14ac:dyDescent="0.15">
      <c r="A137" s="12" t="s">
        <v>417</v>
      </c>
      <c r="B137" s="13" t="s">
        <v>644</v>
      </c>
      <c r="C137" s="13" t="s">
        <v>555</v>
      </c>
      <c r="D137" s="14">
        <v>-225.68</v>
      </c>
      <c r="E137" s="14">
        <v>296709.65000000002</v>
      </c>
    </row>
    <row r="138" spans="1:5" ht="15" customHeight="1" x14ac:dyDescent="0.15">
      <c r="A138" s="12" t="s">
        <v>417</v>
      </c>
      <c r="B138" s="13" t="s">
        <v>645</v>
      </c>
      <c r="C138" s="13" t="s">
        <v>555</v>
      </c>
      <c r="D138" s="14">
        <v>-8161</v>
      </c>
      <c r="E138" s="14">
        <v>296935.33</v>
      </c>
    </row>
    <row r="139" spans="1:5" ht="15" customHeight="1" x14ac:dyDescent="0.15">
      <c r="A139" s="12" t="s">
        <v>417</v>
      </c>
      <c r="B139" s="13" t="s">
        <v>646</v>
      </c>
      <c r="C139" s="13" t="s">
        <v>555</v>
      </c>
      <c r="D139" s="14">
        <v>-453.01</v>
      </c>
      <c r="E139" s="14">
        <v>305096.33</v>
      </c>
    </row>
    <row r="140" spans="1:5" ht="15" customHeight="1" x14ac:dyDescent="0.15">
      <c r="A140" s="12" t="s">
        <v>417</v>
      </c>
      <c r="B140" s="13" t="s">
        <v>647</v>
      </c>
      <c r="C140" s="13" t="s">
        <v>555</v>
      </c>
      <c r="D140" s="14">
        <v>-192.04</v>
      </c>
      <c r="E140" s="14">
        <v>305549.34000000003</v>
      </c>
    </row>
    <row r="141" spans="1:5" ht="15" customHeight="1" x14ac:dyDescent="0.15">
      <c r="A141" s="12" t="s">
        <v>417</v>
      </c>
      <c r="B141" s="13" t="s">
        <v>586</v>
      </c>
      <c r="C141" s="13" t="s">
        <v>555</v>
      </c>
      <c r="D141" s="14">
        <v>-164.4</v>
      </c>
      <c r="E141" s="14">
        <v>305741.38</v>
      </c>
    </row>
    <row r="142" spans="1:5" ht="15" customHeight="1" x14ac:dyDescent="0.15">
      <c r="A142" s="12" t="s">
        <v>417</v>
      </c>
      <c r="B142" s="13" t="s">
        <v>648</v>
      </c>
      <c r="C142" s="13" t="s">
        <v>555</v>
      </c>
      <c r="D142" s="14">
        <v>1881.47</v>
      </c>
      <c r="E142" s="14">
        <v>305905.78000000003</v>
      </c>
    </row>
    <row r="143" spans="1:5" ht="15" customHeight="1" x14ac:dyDescent="0.15">
      <c r="A143" s="12" t="s">
        <v>417</v>
      </c>
      <c r="B143" s="13" t="s">
        <v>648</v>
      </c>
      <c r="C143" s="13" t="s">
        <v>555</v>
      </c>
      <c r="D143" s="14">
        <v>0.06</v>
      </c>
      <c r="E143" s="14">
        <v>304024.31</v>
      </c>
    </row>
    <row r="144" spans="1:5" ht="15" customHeight="1" x14ac:dyDescent="0.15">
      <c r="A144" s="12" t="s">
        <v>417</v>
      </c>
      <c r="B144" s="13" t="s">
        <v>577</v>
      </c>
      <c r="C144" s="13" t="s">
        <v>555</v>
      </c>
      <c r="D144" s="14">
        <v>1096.03</v>
      </c>
      <c r="E144" s="14">
        <v>304024.25</v>
      </c>
    </row>
    <row r="145" spans="1:5" ht="15" customHeight="1" x14ac:dyDescent="0.15">
      <c r="A145" s="12" t="s">
        <v>417</v>
      </c>
      <c r="B145" s="13" t="s">
        <v>649</v>
      </c>
      <c r="C145" s="13" t="s">
        <v>555</v>
      </c>
      <c r="D145" s="14">
        <v>-2.89</v>
      </c>
      <c r="E145" s="14">
        <v>302928.21999999997</v>
      </c>
    </row>
    <row r="146" spans="1:5" ht="15" customHeight="1" x14ac:dyDescent="0.15">
      <c r="A146" s="12" t="s">
        <v>538</v>
      </c>
      <c r="B146" s="13" t="s">
        <v>578</v>
      </c>
      <c r="C146" s="13" t="s">
        <v>555</v>
      </c>
      <c r="D146" s="14">
        <v>2.25</v>
      </c>
      <c r="E146" s="14">
        <v>248662.99</v>
      </c>
    </row>
    <row r="147" spans="1:5" ht="15" customHeight="1" x14ac:dyDescent="0.15">
      <c r="A147" s="12" t="s">
        <v>538</v>
      </c>
      <c r="B147" s="13" t="s">
        <v>579</v>
      </c>
      <c r="C147" s="13" t="s">
        <v>580</v>
      </c>
      <c r="D147" s="14">
        <v>-1.64</v>
      </c>
      <c r="E147" s="14">
        <v>248660.74</v>
      </c>
    </row>
    <row r="148" spans="1:5" ht="15" customHeight="1" x14ac:dyDescent="0.15">
      <c r="A148" s="12" t="s">
        <v>538</v>
      </c>
      <c r="B148" s="13" t="s">
        <v>570</v>
      </c>
      <c r="C148" s="13" t="s">
        <v>561</v>
      </c>
      <c r="D148" s="14">
        <v>-153.91999999999999</v>
      </c>
      <c r="E148" s="14">
        <v>248662.38</v>
      </c>
    </row>
    <row r="149" spans="1:5" ht="15" customHeight="1" x14ac:dyDescent="0.15">
      <c r="A149" s="12" t="s">
        <v>538</v>
      </c>
      <c r="B149" s="13" t="s">
        <v>612</v>
      </c>
      <c r="C149" s="13" t="s">
        <v>561</v>
      </c>
      <c r="D149" s="14">
        <v>-7929.72</v>
      </c>
      <c r="E149" s="14">
        <v>248816.3</v>
      </c>
    </row>
    <row r="150" spans="1:5" ht="15" customHeight="1" x14ac:dyDescent="0.15">
      <c r="A150" s="12" t="s">
        <v>538</v>
      </c>
      <c r="B150" s="13" t="s">
        <v>570</v>
      </c>
      <c r="C150" s="13" t="s">
        <v>561</v>
      </c>
      <c r="D150" s="14">
        <v>-9620</v>
      </c>
      <c r="E150" s="14">
        <v>256746.02</v>
      </c>
    </row>
    <row r="151" spans="1:5" ht="15" customHeight="1" x14ac:dyDescent="0.15">
      <c r="A151" s="12" t="s">
        <v>538</v>
      </c>
      <c r="B151" s="13" t="s">
        <v>616</v>
      </c>
      <c r="C151" s="13" t="s">
        <v>561</v>
      </c>
      <c r="D151" s="14">
        <v>-2435.88</v>
      </c>
      <c r="E151" s="14">
        <v>266366.02</v>
      </c>
    </row>
    <row r="152" spans="1:5" ht="15" customHeight="1" x14ac:dyDescent="0.15">
      <c r="A152" s="12" t="s">
        <v>538</v>
      </c>
      <c r="B152" s="13" t="s">
        <v>650</v>
      </c>
      <c r="C152" s="13" t="s">
        <v>555</v>
      </c>
      <c r="D152" s="14">
        <v>-153.38</v>
      </c>
      <c r="E152" s="14">
        <v>268801.90000000002</v>
      </c>
    </row>
    <row r="153" spans="1:5" ht="15" customHeight="1" x14ac:dyDescent="0.15">
      <c r="A153" s="12" t="s">
        <v>538</v>
      </c>
      <c r="B153" s="13" t="s">
        <v>651</v>
      </c>
      <c r="C153" s="13" t="s">
        <v>555</v>
      </c>
      <c r="D153" s="14">
        <v>-3552.75</v>
      </c>
      <c r="E153" s="14">
        <v>268955.28000000003</v>
      </c>
    </row>
    <row r="154" spans="1:5" ht="15" customHeight="1" x14ac:dyDescent="0.15">
      <c r="A154" s="12" t="s">
        <v>538</v>
      </c>
      <c r="B154" s="13" t="s">
        <v>652</v>
      </c>
      <c r="C154" s="13" t="s">
        <v>555</v>
      </c>
      <c r="D154" s="14">
        <v>-1200</v>
      </c>
      <c r="E154" s="14">
        <v>272508.03000000003</v>
      </c>
    </row>
    <row r="155" spans="1:5" ht="15" customHeight="1" x14ac:dyDescent="0.15">
      <c r="A155" s="12" t="s">
        <v>538</v>
      </c>
      <c r="B155" s="13" t="s">
        <v>576</v>
      </c>
      <c r="C155" s="13" t="s">
        <v>555</v>
      </c>
      <c r="D155" s="14">
        <v>-34.68</v>
      </c>
      <c r="E155" s="14">
        <v>273708.03000000003</v>
      </c>
    </row>
    <row r="156" spans="1:5" ht="15" customHeight="1" x14ac:dyDescent="0.15">
      <c r="A156" s="12" t="s">
        <v>538</v>
      </c>
      <c r="B156" s="13" t="s">
        <v>653</v>
      </c>
      <c r="C156" s="13" t="s">
        <v>555</v>
      </c>
      <c r="D156" s="14">
        <v>36.93</v>
      </c>
      <c r="E156" s="14">
        <v>273742.71000000002</v>
      </c>
    </row>
    <row r="157" spans="1:5" ht="15" customHeight="1" x14ac:dyDescent="0.15">
      <c r="A157" s="12" t="s">
        <v>117</v>
      </c>
      <c r="B157" s="13" t="s">
        <v>654</v>
      </c>
      <c r="C157" s="13" t="s">
        <v>555</v>
      </c>
      <c r="D157" s="14">
        <v>28125</v>
      </c>
      <c r="E157" s="14">
        <v>317094.12</v>
      </c>
    </row>
    <row r="158" spans="1:5" ht="15" customHeight="1" x14ac:dyDescent="0.15">
      <c r="A158" s="12" t="s">
        <v>117</v>
      </c>
      <c r="B158" s="13" t="s">
        <v>655</v>
      </c>
      <c r="C158" s="13" t="s">
        <v>555</v>
      </c>
      <c r="D158" s="14">
        <v>1299</v>
      </c>
      <c r="E158" s="14">
        <v>288969.12</v>
      </c>
    </row>
    <row r="159" spans="1:5" ht="15" customHeight="1" x14ac:dyDescent="0.15">
      <c r="A159" s="12" t="s">
        <v>117</v>
      </c>
      <c r="B159" s="13" t="s">
        <v>572</v>
      </c>
      <c r="C159" s="13" t="s">
        <v>555</v>
      </c>
      <c r="D159" s="14">
        <v>46202.09</v>
      </c>
      <c r="E159" s="14">
        <v>287670.12</v>
      </c>
    </row>
    <row r="160" spans="1:5" ht="15" customHeight="1" x14ac:dyDescent="0.15">
      <c r="A160" s="12" t="s">
        <v>117</v>
      </c>
      <c r="B160" s="13" t="s">
        <v>616</v>
      </c>
      <c r="C160" s="13" t="s">
        <v>561</v>
      </c>
      <c r="D160" s="14">
        <v>-839.23</v>
      </c>
      <c r="E160" s="14">
        <v>241468.03</v>
      </c>
    </row>
    <row r="161" spans="1:5" ht="15" customHeight="1" x14ac:dyDescent="0.15">
      <c r="A161" s="12" t="s">
        <v>117</v>
      </c>
      <c r="B161" s="13" t="s">
        <v>656</v>
      </c>
      <c r="C161" s="13" t="s">
        <v>561</v>
      </c>
      <c r="D161" s="14">
        <v>-1606.62</v>
      </c>
      <c r="E161" s="14">
        <v>242307.26</v>
      </c>
    </row>
    <row r="162" spans="1:5" ht="15" customHeight="1" x14ac:dyDescent="0.15">
      <c r="A162" s="12" t="s">
        <v>117</v>
      </c>
      <c r="B162" s="13" t="s">
        <v>568</v>
      </c>
      <c r="C162" s="13" t="s">
        <v>561</v>
      </c>
      <c r="D162" s="14">
        <v>-933</v>
      </c>
      <c r="E162" s="14">
        <v>243913.88</v>
      </c>
    </row>
    <row r="163" spans="1:5" ht="15" customHeight="1" x14ac:dyDescent="0.15">
      <c r="A163" s="12" t="s">
        <v>117</v>
      </c>
      <c r="B163" s="13" t="s">
        <v>657</v>
      </c>
      <c r="C163" s="13" t="s">
        <v>561</v>
      </c>
      <c r="D163" s="14">
        <v>-42.85</v>
      </c>
      <c r="E163" s="14">
        <v>244846.88</v>
      </c>
    </row>
    <row r="164" spans="1:5" ht="15" customHeight="1" x14ac:dyDescent="0.15">
      <c r="A164" s="12" t="s">
        <v>117</v>
      </c>
      <c r="B164" s="13" t="s">
        <v>658</v>
      </c>
      <c r="C164" s="13" t="s">
        <v>561</v>
      </c>
      <c r="D164" s="14">
        <v>-1758.6</v>
      </c>
      <c r="E164" s="14">
        <v>244889.73</v>
      </c>
    </row>
    <row r="165" spans="1:5" ht="15" customHeight="1" x14ac:dyDescent="0.15">
      <c r="A165" s="12" t="s">
        <v>117</v>
      </c>
      <c r="B165" s="13" t="s">
        <v>659</v>
      </c>
      <c r="C165" s="13" t="s">
        <v>561</v>
      </c>
      <c r="D165" s="14">
        <v>-751.5</v>
      </c>
      <c r="E165" s="14">
        <v>246648.33</v>
      </c>
    </row>
    <row r="166" spans="1:5" ht="15" customHeight="1" x14ac:dyDescent="0.15">
      <c r="A166" s="12" t="s">
        <v>117</v>
      </c>
      <c r="B166" s="13" t="s">
        <v>650</v>
      </c>
      <c r="C166" s="13" t="s">
        <v>555</v>
      </c>
      <c r="D166" s="14">
        <v>-14.37</v>
      </c>
      <c r="E166" s="14">
        <v>247399.83</v>
      </c>
    </row>
    <row r="167" spans="1:5" ht="15" customHeight="1" x14ac:dyDescent="0.15">
      <c r="A167" s="12" t="s">
        <v>117</v>
      </c>
      <c r="B167" s="13" t="s">
        <v>660</v>
      </c>
      <c r="C167" s="13" t="s">
        <v>555</v>
      </c>
      <c r="D167" s="14">
        <v>-1212.75</v>
      </c>
      <c r="E167" s="14">
        <v>247414.2</v>
      </c>
    </row>
    <row r="168" spans="1:5" ht="15" customHeight="1" x14ac:dyDescent="0.15">
      <c r="A168" s="12" t="s">
        <v>117</v>
      </c>
      <c r="B168" s="13" t="s">
        <v>661</v>
      </c>
      <c r="C168" s="13" t="s">
        <v>555</v>
      </c>
      <c r="D168" s="14">
        <v>-30.26</v>
      </c>
      <c r="E168" s="14">
        <v>248626.95</v>
      </c>
    </row>
    <row r="169" spans="1:5" ht="15" customHeight="1" x14ac:dyDescent="0.15">
      <c r="A169" s="12" t="s">
        <v>117</v>
      </c>
      <c r="B169" s="13" t="s">
        <v>576</v>
      </c>
      <c r="C169" s="13" t="s">
        <v>555</v>
      </c>
      <c r="D169" s="14">
        <v>-5.78</v>
      </c>
      <c r="E169" s="14">
        <v>248657.21</v>
      </c>
    </row>
    <row r="170" spans="1:5" ht="15" customHeight="1" x14ac:dyDescent="0.15">
      <c r="A170" s="12" t="s">
        <v>436</v>
      </c>
      <c r="B170" s="13" t="s">
        <v>589</v>
      </c>
      <c r="C170" s="13" t="s">
        <v>580</v>
      </c>
      <c r="D170" s="14">
        <v>-4.28</v>
      </c>
      <c r="E170" s="14">
        <v>362849.7</v>
      </c>
    </row>
    <row r="171" spans="1:5" ht="15" customHeight="1" x14ac:dyDescent="0.15">
      <c r="A171" s="12" t="s">
        <v>436</v>
      </c>
      <c r="B171" s="13" t="s">
        <v>579</v>
      </c>
      <c r="C171" s="13" t="s">
        <v>580</v>
      </c>
      <c r="D171" s="14">
        <v>-3.28</v>
      </c>
      <c r="E171" s="14">
        <v>362853.98</v>
      </c>
    </row>
    <row r="172" spans="1:5" ht="15" customHeight="1" x14ac:dyDescent="0.15">
      <c r="A172" s="12" t="s">
        <v>436</v>
      </c>
      <c r="B172" s="13" t="s">
        <v>662</v>
      </c>
      <c r="C172" s="13" t="s">
        <v>561</v>
      </c>
      <c r="D172" s="14">
        <v>-482</v>
      </c>
      <c r="E172" s="14">
        <v>362857.26</v>
      </c>
    </row>
    <row r="173" spans="1:5" ht="15" customHeight="1" x14ac:dyDescent="0.15">
      <c r="A173" s="12" t="s">
        <v>436</v>
      </c>
      <c r="B173" s="13" t="s">
        <v>663</v>
      </c>
      <c r="C173" s="13" t="s">
        <v>561</v>
      </c>
      <c r="D173" s="14">
        <v>-104.77</v>
      </c>
      <c r="E173" s="14">
        <v>363339.26</v>
      </c>
    </row>
    <row r="174" spans="1:5" ht="15" customHeight="1" x14ac:dyDescent="0.15">
      <c r="A174" s="12" t="s">
        <v>436</v>
      </c>
      <c r="B174" s="13" t="s">
        <v>664</v>
      </c>
      <c r="C174" s="13" t="s">
        <v>561</v>
      </c>
      <c r="D174" s="14">
        <v>-329.42</v>
      </c>
      <c r="E174" s="14">
        <v>363444.03</v>
      </c>
    </row>
    <row r="175" spans="1:5" ht="15" customHeight="1" x14ac:dyDescent="0.15">
      <c r="A175" s="12" t="s">
        <v>436</v>
      </c>
      <c r="B175" s="13" t="s">
        <v>664</v>
      </c>
      <c r="C175" s="13" t="s">
        <v>561</v>
      </c>
      <c r="D175" s="14">
        <v>-114.07</v>
      </c>
      <c r="E175" s="14">
        <v>363773.45</v>
      </c>
    </row>
    <row r="176" spans="1:5" ht="15" customHeight="1" x14ac:dyDescent="0.15">
      <c r="A176" s="12" t="s">
        <v>436</v>
      </c>
      <c r="B176" s="13" t="s">
        <v>635</v>
      </c>
      <c r="C176" s="13" t="s">
        <v>555</v>
      </c>
      <c r="D176" s="14">
        <v>-44613.59</v>
      </c>
      <c r="E176" s="14">
        <v>363887.52</v>
      </c>
    </row>
    <row r="177" spans="1:5" ht="15" customHeight="1" x14ac:dyDescent="0.15">
      <c r="A177" s="12" t="s">
        <v>436</v>
      </c>
      <c r="B177" s="13" t="s">
        <v>665</v>
      </c>
      <c r="C177" s="13" t="s">
        <v>555</v>
      </c>
      <c r="D177" s="14">
        <v>-991.9</v>
      </c>
      <c r="E177" s="14">
        <v>408501.11</v>
      </c>
    </row>
    <row r="178" spans="1:5" ht="15" customHeight="1" x14ac:dyDescent="0.15">
      <c r="A178" s="12" t="s">
        <v>436</v>
      </c>
      <c r="B178" s="13" t="s">
        <v>666</v>
      </c>
      <c r="C178" s="13" t="s">
        <v>555</v>
      </c>
      <c r="D178" s="14">
        <v>-2545.71</v>
      </c>
      <c r="E178" s="14">
        <v>409493.01</v>
      </c>
    </row>
    <row r="179" spans="1:5" ht="15" customHeight="1" x14ac:dyDescent="0.15">
      <c r="A179" s="12" t="s">
        <v>436</v>
      </c>
      <c r="B179" s="13" t="s">
        <v>666</v>
      </c>
      <c r="C179" s="13" t="s">
        <v>555</v>
      </c>
      <c r="D179" s="14">
        <v>-4472.8500000000004</v>
      </c>
      <c r="E179" s="14">
        <v>412038.72</v>
      </c>
    </row>
    <row r="180" spans="1:5" ht="15" customHeight="1" x14ac:dyDescent="0.15">
      <c r="A180" s="12" t="s">
        <v>436</v>
      </c>
      <c r="B180" s="13" t="s">
        <v>665</v>
      </c>
      <c r="C180" s="13" t="s">
        <v>555</v>
      </c>
      <c r="D180" s="14">
        <v>-341.69</v>
      </c>
      <c r="E180" s="14">
        <v>416511.57</v>
      </c>
    </row>
    <row r="181" spans="1:5" ht="15" customHeight="1" x14ac:dyDescent="0.15">
      <c r="A181" s="12" t="s">
        <v>436</v>
      </c>
      <c r="B181" s="13" t="s">
        <v>557</v>
      </c>
      <c r="C181" s="13" t="s">
        <v>555</v>
      </c>
      <c r="D181" s="14">
        <v>91191.05</v>
      </c>
      <c r="E181" s="14">
        <v>416853.26</v>
      </c>
    </row>
    <row r="182" spans="1:5" ht="15" customHeight="1" x14ac:dyDescent="0.15">
      <c r="A182" s="12" t="s">
        <v>436</v>
      </c>
      <c r="B182" s="13" t="s">
        <v>594</v>
      </c>
      <c r="C182" s="13" t="s">
        <v>555</v>
      </c>
      <c r="D182" s="14">
        <v>6126.07</v>
      </c>
      <c r="E182" s="14">
        <v>325662.21000000002</v>
      </c>
    </row>
    <row r="183" spans="1:5" ht="15" customHeight="1" x14ac:dyDescent="0.15">
      <c r="A183" s="12" t="s">
        <v>436</v>
      </c>
      <c r="B183" s="13" t="s">
        <v>577</v>
      </c>
      <c r="C183" s="13" t="s">
        <v>555</v>
      </c>
      <c r="D183" s="14">
        <v>2447.8000000000002</v>
      </c>
      <c r="E183" s="14">
        <v>319536.14</v>
      </c>
    </row>
    <row r="184" spans="1:5" ht="15" customHeight="1" x14ac:dyDescent="0.15">
      <c r="A184" s="12" t="s">
        <v>436</v>
      </c>
      <c r="B184" s="13" t="s">
        <v>576</v>
      </c>
      <c r="C184" s="13" t="s">
        <v>555</v>
      </c>
      <c r="D184" s="14">
        <v>-5.78</v>
      </c>
      <c r="E184" s="14">
        <v>317088.34000000003</v>
      </c>
    </row>
    <row r="185" spans="1:5" ht="15" customHeight="1" x14ac:dyDescent="0.15">
      <c r="A185" s="12" t="s">
        <v>276</v>
      </c>
      <c r="B185" s="13" t="s">
        <v>578</v>
      </c>
      <c r="C185" s="13" t="s">
        <v>555</v>
      </c>
      <c r="D185" s="14">
        <v>9.93</v>
      </c>
      <c r="E185" s="14">
        <v>252417.42</v>
      </c>
    </row>
    <row r="186" spans="1:5" ht="15" customHeight="1" x14ac:dyDescent="0.15">
      <c r="A186" s="12" t="s">
        <v>276</v>
      </c>
      <c r="B186" s="13" t="s">
        <v>616</v>
      </c>
      <c r="C186" s="13" t="s">
        <v>561</v>
      </c>
      <c r="D186" s="14">
        <v>-5771.54</v>
      </c>
      <c r="E186" s="14">
        <v>252407.49</v>
      </c>
    </row>
    <row r="187" spans="1:5" ht="15" customHeight="1" x14ac:dyDescent="0.15">
      <c r="A187" s="12" t="s">
        <v>276</v>
      </c>
      <c r="B187" s="13" t="s">
        <v>590</v>
      </c>
      <c r="C187" s="13" t="s">
        <v>561</v>
      </c>
      <c r="D187" s="14">
        <v>-297</v>
      </c>
      <c r="E187" s="14">
        <v>258179.03</v>
      </c>
    </row>
    <row r="188" spans="1:5" ht="15" customHeight="1" x14ac:dyDescent="0.15">
      <c r="A188" s="12" t="s">
        <v>276</v>
      </c>
      <c r="B188" s="13" t="s">
        <v>568</v>
      </c>
      <c r="C188" s="13" t="s">
        <v>561</v>
      </c>
      <c r="D188" s="14">
        <v>-3732</v>
      </c>
      <c r="E188" s="14">
        <v>258476.03</v>
      </c>
    </row>
    <row r="189" spans="1:5" ht="15" customHeight="1" x14ac:dyDescent="0.15">
      <c r="A189" s="12" t="s">
        <v>276</v>
      </c>
      <c r="B189" s="13" t="s">
        <v>568</v>
      </c>
      <c r="C189" s="13" t="s">
        <v>561</v>
      </c>
      <c r="D189" s="14">
        <v>-461.55</v>
      </c>
      <c r="E189" s="14">
        <v>262208.03000000003</v>
      </c>
    </row>
    <row r="190" spans="1:5" ht="15" customHeight="1" x14ac:dyDescent="0.15">
      <c r="A190" s="12" t="s">
        <v>276</v>
      </c>
      <c r="B190" s="13" t="s">
        <v>667</v>
      </c>
      <c r="C190" s="13" t="s">
        <v>555</v>
      </c>
      <c r="D190" s="14">
        <v>-43013.75</v>
      </c>
      <c r="E190" s="14">
        <v>262669.58</v>
      </c>
    </row>
    <row r="191" spans="1:5" ht="15" customHeight="1" x14ac:dyDescent="0.15">
      <c r="A191" s="12" t="s">
        <v>276</v>
      </c>
      <c r="B191" s="13" t="s">
        <v>668</v>
      </c>
      <c r="C191" s="13" t="s">
        <v>555</v>
      </c>
      <c r="D191" s="14">
        <v>-6.17</v>
      </c>
      <c r="E191" s="14">
        <v>305683.33</v>
      </c>
    </row>
    <row r="192" spans="1:5" ht="15" customHeight="1" x14ac:dyDescent="0.15">
      <c r="A192" s="12" t="s">
        <v>276</v>
      </c>
      <c r="B192" s="13" t="s">
        <v>669</v>
      </c>
      <c r="C192" s="13" t="s">
        <v>555</v>
      </c>
      <c r="D192" s="14">
        <v>-62316.29</v>
      </c>
      <c r="E192" s="14">
        <v>305689.5</v>
      </c>
    </row>
    <row r="193" spans="1:5" ht="15" customHeight="1" x14ac:dyDescent="0.15">
      <c r="A193" s="12" t="s">
        <v>276</v>
      </c>
      <c r="B193" s="13" t="s">
        <v>594</v>
      </c>
      <c r="C193" s="13" t="s">
        <v>555</v>
      </c>
      <c r="D193" s="14">
        <v>5158.9799999999996</v>
      </c>
      <c r="E193" s="14">
        <v>368005.79</v>
      </c>
    </row>
    <row r="194" spans="1:5" ht="15" customHeight="1" x14ac:dyDescent="0.15">
      <c r="A194" s="12" t="s">
        <v>276</v>
      </c>
      <c r="B194" s="13" t="s">
        <v>670</v>
      </c>
      <c r="C194" s="13" t="s">
        <v>555</v>
      </c>
      <c r="D194" s="14">
        <v>-2.89</v>
      </c>
      <c r="E194" s="14">
        <v>362846.81</v>
      </c>
    </row>
    <row r="195" spans="1:5" ht="15" customHeight="1" x14ac:dyDescent="0.15">
      <c r="A195" s="12" t="s">
        <v>526</v>
      </c>
      <c r="B195" s="13" t="s">
        <v>579</v>
      </c>
      <c r="C195" s="13" t="s">
        <v>580</v>
      </c>
      <c r="D195" s="14">
        <v>-4.92</v>
      </c>
      <c r="E195" s="14">
        <v>271049.40000000002</v>
      </c>
    </row>
    <row r="196" spans="1:5" ht="15" customHeight="1" x14ac:dyDescent="0.15">
      <c r="A196" s="12" t="s">
        <v>526</v>
      </c>
      <c r="B196" s="13" t="s">
        <v>557</v>
      </c>
      <c r="C196" s="13" t="s">
        <v>555</v>
      </c>
      <c r="D196" s="14">
        <v>18394.63</v>
      </c>
      <c r="E196" s="14">
        <v>271054.32</v>
      </c>
    </row>
    <row r="197" spans="1:5" ht="15" customHeight="1" x14ac:dyDescent="0.15">
      <c r="A197" s="12" t="s">
        <v>526</v>
      </c>
      <c r="B197" s="13" t="s">
        <v>581</v>
      </c>
      <c r="C197" s="13" t="s">
        <v>671</v>
      </c>
      <c r="D197" s="14">
        <v>-224.4</v>
      </c>
      <c r="E197" s="14">
        <v>252659.69</v>
      </c>
    </row>
    <row r="198" spans="1:5" ht="15" customHeight="1" x14ac:dyDescent="0.15">
      <c r="A198" s="12" t="s">
        <v>526</v>
      </c>
      <c r="B198" s="13" t="s">
        <v>601</v>
      </c>
      <c r="C198" s="13" t="s">
        <v>574</v>
      </c>
      <c r="D198" s="14">
        <v>154.12</v>
      </c>
      <c r="E198" s="14">
        <v>252884.09</v>
      </c>
    </row>
    <row r="199" spans="1:5" ht="15" customHeight="1" x14ac:dyDescent="0.15">
      <c r="A199" s="12" t="s">
        <v>526</v>
      </c>
      <c r="B199" s="13" t="s">
        <v>602</v>
      </c>
      <c r="C199" s="13" t="s">
        <v>574</v>
      </c>
      <c r="D199" s="14">
        <v>315.44</v>
      </c>
      <c r="E199" s="14">
        <v>252729.97</v>
      </c>
    </row>
    <row r="200" spans="1:5" ht="15" customHeight="1" x14ac:dyDescent="0.15">
      <c r="A200" s="12" t="s">
        <v>526</v>
      </c>
      <c r="B200" s="13" t="s">
        <v>672</v>
      </c>
      <c r="C200" s="13" t="s">
        <v>555</v>
      </c>
      <c r="D200" s="14">
        <v>-2.89</v>
      </c>
      <c r="E200" s="14">
        <v>252414.53</v>
      </c>
    </row>
    <row r="201" spans="1:5" ht="15" customHeight="1" x14ac:dyDescent="0.15">
      <c r="A201" s="12" t="s">
        <v>150</v>
      </c>
      <c r="B201" s="13" t="s">
        <v>578</v>
      </c>
      <c r="C201" s="13" t="s">
        <v>555</v>
      </c>
      <c r="D201" s="14">
        <v>1.21</v>
      </c>
      <c r="E201" s="14">
        <v>254180.56</v>
      </c>
    </row>
    <row r="202" spans="1:5" ht="15" customHeight="1" x14ac:dyDescent="0.15">
      <c r="A202" s="12" t="s">
        <v>150</v>
      </c>
      <c r="B202" s="13" t="s">
        <v>589</v>
      </c>
      <c r="C202" s="13" t="s">
        <v>580</v>
      </c>
      <c r="D202" s="14">
        <v>-4.28</v>
      </c>
      <c r="E202" s="14">
        <v>254179.35</v>
      </c>
    </row>
    <row r="203" spans="1:5" ht="15" customHeight="1" x14ac:dyDescent="0.15">
      <c r="A203" s="12" t="s">
        <v>150</v>
      </c>
      <c r="B203" s="13" t="s">
        <v>579</v>
      </c>
      <c r="C203" s="13" t="s">
        <v>580</v>
      </c>
      <c r="D203" s="14">
        <v>-1.64</v>
      </c>
      <c r="E203" s="14">
        <v>254183.63</v>
      </c>
    </row>
    <row r="204" spans="1:5" ht="15" customHeight="1" x14ac:dyDescent="0.15">
      <c r="A204" s="12" t="s">
        <v>150</v>
      </c>
      <c r="B204" s="13" t="s">
        <v>612</v>
      </c>
      <c r="C204" s="13" t="s">
        <v>561</v>
      </c>
      <c r="D204" s="14">
        <v>-3137.54</v>
      </c>
      <c r="E204" s="14">
        <v>254185.27</v>
      </c>
    </row>
    <row r="205" spans="1:5" ht="15" customHeight="1" x14ac:dyDescent="0.15">
      <c r="A205" s="12" t="s">
        <v>150</v>
      </c>
      <c r="B205" s="13" t="s">
        <v>612</v>
      </c>
      <c r="C205" s="13" t="s">
        <v>561</v>
      </c>
      <c r="D205" s="14">
        <v>-3800.97</v>
      </c>
      <c r="E205" s="14">
        <v>257322.81</v>
      </c>
    </row>
    <row r="206" spans="1:5" ht="15" customHeight="1" x14ac:dyDescent="0.15">
      <c r="A206" s="12" t="s">
        <v>150</v>
      </c>
      <c r="B206" s="13" t="s">
        <v>673</v>
      </c>
      <c r="C206" s="13" t="s">
        <v>561</v>
      </c>
      <c r="D206" s="14">
        <v>-1673.24</v>
      </c>
      <c r="E206" s="14">
        <v>261123.78</v>
      </c>
    </row>
    <row r="207" spans="1:5" ht="15" customHeight="1" x14ac:dyDescent="0.15">
      <c r="A207" s="12" t="s">
        <v>150</v>
      </c>
      <c r="B207" s="13" t="s">
        <v>674</v>
      </c>
      <c r="C207" s="13" t="s">
        <v>555</v>
      </c>
      <c r="D207" s="14">
        <v>-9187.7199999999993</v>
      </c>
      <c r="E207" s="14">
        <v>262797.02</v>
      </c>
    </row>
    <row r="208" spans="1:5" ht="15" customHeight="1" x14ac:dyDescent="0.15">
      <c r="A208" s="12" t="s">
        <v>150</v>
      </c>
      <c r="B208" s="13" t="s">
        <v>577</v>
      </c>
      <c r="C208" s="13" t="s">
        <v>555</v>
      </c>
      <c r="D208" s="14">
        <v>935.34</v>
      </c>
      <c r="E208" s="14">
        <v>271984.74</v>
      </c>
    </row>
    <row r="209" spans="1:5" ht="15" customHeight="1" x14ac:dyDescent="0.15">
      <c r="A209" s="12" t="s">
        <v>456</v>
      </c>
      <c r="B209" s="13" t="s">
        <v>578</v>
      </c>
      <c r="C209" s="13" t="s">
        <v>555</v>
      </c>
      <c r="D209" s="14">
        <v>1.28</v>
      </c>
      <c r="E209" s="14">
        <v>235721.51</v>
      </c>
    </row>
    <row r="210" spans="1:5" ht="15" customHeight="1" x14ac:dyDescent="0.15">
      <c r="A210" s="12" t="s">
        <v>456</v>
      </c>
      <c r="B210" s="13" t="s">
        <v>589</v>
      </c>
      <c r="C210" s="13" t="s">
        <v>580</v>
      </c>
      <c r="D210" s="14">
        <v>-4.28</v>
      </c>
      <c r="E210" s="14">
        <v>235720.23</v>
      </c>
    </row>
    <row r="211" spans="1:5" ht="15" customHeight="1" x14ac:dyDescent="0.15">
      <c r="A211" s="12" t="s">
        <v>456</v>
      </c>
      <c r="B211" s="13" t="s">
        <v>579</v>
      </c>
      <c r="C211" s="13" t="s">
        <v>580</v>
      </c>
      <c r="D211" s="14">
        <v>-1.64</v>
      </c>
      <c r="E211" s="14">
        <v>235724.51</v>
      </c>
    </row>
    <row r="212" spans="1:5" ht="15" customHeight="1" x14ac:dyDescent="0.15">
      <c r="A212" s="12" t="s">
        <v>456</v>
      </c>
      <c r="B212" s="13" t="s">
        <v>612</v>
      </c>
      <c r="C212" s="13" t="s">
        <v>561</v>
      </c>
      <c r="D212" s="14">
        <v>-2357.25</v>
      </c>
      <c r="E212" s="14">
        <v>235726.15</v>
      </c>
    </row>
    <row r="213" spans="1:5" ht="15" customHeight="1" x14ac:dyDescent="0.15">
      <c r="A213" s="12" t="s">
        <v>456</v>
      </c>
      <c r="B213" s="13" t="s">
        <v>568</v>
      </c>
      <c r="C213" s="13" t="s">
        <v>561</v>
      </c>
      <c r="D213" s="14">
        <v>-2751.4</v>
      </c>
      <c r="E213" s="14">
        <v>238083.4</v>
      </c>
    </row>
    <row r="214" spans="1:5" ht="15" customHeight="1" x14ac:dyDescent="0.15">
      <c r="A214" s="12" t="s">
        <v>456</v>
      </c>
      <c r="B214" s="13" t="s">
        <v>675</v>
      </c>
      <c r="C214" s="13" t="s">
        <v>561</v>
      </c>
      <c r="D214" s="14">
        <v>-727</v>
      </c>
      <c r="E214" s="14">
        <v>240834.8</v>
      </c>
    </row>
    <row r="215" spans="1:5" ht="15" customHeight="1" x14ac:dyDescent="0.15">
      <c r="A215" s="12" t="s">
        <v>456</v>
      </c>
      <c r="B215" s="13" t="s">
        <v>568</v>
      </c>
      <c r="C215" s="13" t="s">
        <v>561</v>
      </c>
      <c r="D215" s="14">
        <v>-1559.4</v>
      </c>
      <c r="E215" s="14">
        <v>241561.8</v>
      </c>
    </row>
    <row r="216" spans="1:5" ht="15" customHeight="1" x14ac:dyDescent="0.15">
      <c r="A216" s="12" t="s">
        <v>456</v>
      </c>
      <c r="B216" s="13" t="s">
        <v>612</v>
      </c>
      <c r="C216" s="13" t="s">
        <v>561</v>
      </c>
      <c r="D216" s="14">
        <v>-5309.85</v>
      </c>
      <c r="E216" s="14">
        <v>243121.2</v>
      </c>
    </row>
    <row r="217" spans="1:5" ht="15" customHeight="1" x14ac:dyDescent="0.15">
      <c r="A217" s="12" t="s">
        <v>456</v>
      </c>
      <c r="B217" s="13" t="s">
        <v>658</v>
      </c>
      <c r="C217" s="13" t="s">
        <v>561</v>
      </c>
      <c r="D217" s="14">
        <v>-832</v>
      </c>
      <c r="E217" s="14">
        <v>248431.05</v>
      </c>
    </row>
    <row r="218" spans="1:5" ht="15" customHeight="1" x14ac:dyDescent="0.15">
      <c r="A218" s="12" t="s">
        <v>456</v>
      </c>
      <c r="B218" s="13" t="s">
        <v>676</v>
      </c>
      <c r="C218" s="13" t="s">
        <v>561</v>
      </c>
      <c r="D218" s="14">
        <v>-1109.23</v>
      </c>
      <c r="E218" s="14">
        <v>249263.05</v>
      </c>
    </row>
    <row r="219" spans="1:5" ht="15" customHeight="1" x14ac:dyDescent="0.15">
      <c r="A219" s="12" t="s">
        <v>456</v>
      </c>
      <c r="B219" s="13" t="s">
        <v>673</v>
      </c>
      <c r="C219" s="13" t="s">
        <v>561</v>
      </c>
      <c r="D219" s="14">
        <v>-1532.31</v>
      </c>
      <c r="E219" s="14">
        <v>250372.28</v>
      </c>
    </row>
    <row r="220" spans="1:5" ht="15" customHeight="1" x14ac:dyDescent="0.15">
      <c r="A220" s="12" t="s">
        <v>456</v>
      </c>
      <c r="B220" s="13" t="s">
        <v>673</v>
      </c>
      <c r="C220" s="13" t="s">
        <v>561</v>
      </c>
      <c r="D220" s="14">
        <v>-1525.31</v>
      </c>
      <c r="E220" s="14">
        <v>251904.59</v>
      </c>
    </row>
    <row r="221" spans="1:5" ht="15" customHeight="1" x14ac:dyDescent="0.15">
      <c r="A221" s="12" t="s">
        <v>456</v>
      </c>
      <c r="B221" s="13" t="s">
        <v>673</v>
      </c>
      <c r="C221" s="13" t="s">
        <v>561</v>
      </c>
      <c r="D221" s="14">
        <v>-1663.15</v>
      </c>
      <c r="E221" s="14">
        <v>253429.9</v>
      </c>
    </row>
    <row r="222" spans="1:5" ht="15" customHeight="1" x14ac:dyDescent="0.15">
      <c r="A222" s="12" t="s">
        <v>456</v>
      </c>
      <c r="B222" s="13" t="s">
        <v>652</v>
      </c>
      <c r="C222" s="13" t="s">
        <v>555</v>
      </c>
      <c r="D222" s="14">
        <v>-1360</v>
      </c>
      <c r="E222" s="14">
        <v>255093.05</v>
      </c>
    </row>
    <row r="223" spans="1:5" ht="15" customHeight="1" x14ac:dyDescent="0.15">
      <c r="A223" s="12" t="s">
        <v>456</v>
      </c>
      <c r="B223" s="13" t="s">
        <v>597</v>
      </c>
      <c r="C223" s="13" t="s">
        <v>555</v>
      </c>
      <c r="D223" s="14">
        <v>-2463.37</v>
      </c>
      <c r="E223" s="14">
        <v>256453.05</v>
      </c>
    </row>
    <row r="224" spans="1:5" ht="15" customHeight="1" x14ac:dyDescent="0.15">
      <c r="A224" s="12" t="s">
        <v>456</v>
      </c>
      <c r="B224" s="13" t="s">
        <v>677</v>
      </c>
      <c r="C224" s="13" t="s">
        <v>555</v>
      </c>
      <c r="D224" s="14">
        <v>54.75</v>
      </c>
      <c r="E224" s="14">
        <v>258916.42</v>
      </c>
    </row>
    <row r="225" spans="1:5" ht="15" customHeight="1" x14ac:dyDescent="0.15">
      <c r="A225" s="12" t="s">
        <v>456</v>
      </c>
      <c r="B225" s="13" t="s">
        <v>678</v>
      </c>
      <c r="C225" s="13" t="s">
        <v>555</v>
      </c>
      <c r="D225" s="14">
        <v>-2.89</v>
      </c>
      <c r="E225" s="14">
        <v>258861.67</v>
      </c>
    </row>
    <row r="226" spans="1:5" ht="15" customHeight="1" x14ac:dyDescent="0.15">
      <c r="A226" s="12" t="s">
        <v>456</v>
      </c>
      <c r="B226" s="13" t="s">
        <v>577</v>
      </c>
      <c r="C226" s="13" t="s">
        <v>555</v>
      </c>
      <c r="D226" s="14">
        <v>4684</v>
      </c>
      <c r="E226" s="14">
        <v>258864.56</v>
      </c>
    </row>
    <row r="227" spans="1:5" ht="15" customHeight="1" x14ac:dyDescent="0.15">
      <c r="A227" s="12" t="s">
        <v>192</v>
      </c>
      <c r="B227" s="13" t="s">
        <v>578</v>
      </c>
      <c r="C227" s="13" t="s">
        <v>555</v>
      </c>
      <c r="D227" s="14">
        <v>0.52</v>
      </c>
      <c r="E227" s="14">
        <v>228919.57</v>
      </c>
    </row>
    <row r="228" spans="1:5" ht="15" customHeight="1" x14ac:dyDescent="0.15">
      <c r="A228" s="12" t="s">
        <v>192</v>
      </c>
      <c r="B228" s="13" t="s">
        <v>589</v>
      </c>
      <c r="C228" s="13" t="s">
        <v>580</v>
      </c>
      <c r="D228" s="14">
        <v>-4.28</v>
      </c>
      <c r="E228" s="14">
        <v>228919.05</v>
      </c>
    </row>
    <row r="229" spans="1:5" ht="15" customHeight="1" x14ac:dyDescent="0.15">
      <c r="A229" s="12" t="s">
        <v>192</v>
      </c>
      <c r="B229" s="13" t="s">
        <v>679</v>
      </c>
      <c r="C229" s="13" t="s">
        <v>580</v>
      </c>
      <c r="D229" s="14">
        <v>-3.27</v>
      </c>
      <c r="E229" s="14">
        <v>228923.33</v>
      </c>
    </row>
    <row r="230" spans="1:5" ht="15" customHeight="1" x14ac:dyDescent="0.15">
      <c r="A230" s="12" t="s">
        <v>192</v>
      </c>
      <c r="B230" s="13" t="s">
        <v>579</v>
      </c>
      <c r="C230" s="13" t="s">
        <v>580</v>
      </c>
      <c r="D230" s="14">
        <v>-4.92</v>
      </c>
      <c r="E230" s="14">
        <v>228926.6</v>
      </c>
    </row>
    <row r="231" spans="1:5" ht="15" customHeight="1" x14ac:dyDescent="0.15">
      <c r="A231" s="12" t="s">
        <v>192</v>
      </c>
      <c r="B231" s="13" t="s">
        <v>612</v>
      </c>
      <c r="C231" s="13" t="s">
        <v>561</v>
      </c>
      <c r="D231" s="14">
        <v>-2628.84</v>
      </c>
      <c r="E231" s="14">
        <v>228931.52</v>
      </c>
    </row>
    <row r="232" spans="1:5" ht="15" customHeight="1" x14ac:dyDescent="0.15">
      <c r="A232" s="12" t="s">
        <v>192</v>
      </c>
      <c r="B232" s="13" t="s">
        <v>680</v>
      </c>
      <c r="C232" s="13" t="s">
        <v>561</v>
      </c>
      <c r="D232" s="14">
        <v>-294.29000000000002</v>
      </c>
      <c r="E232" s="14">
        <v>231560.36</v>
      </c>
    </row>
    <row r="233" spans="1:5" ht="15" customHeight="1" x14ac:dyDescent="0.15">
      <c r="A233" s="12" t="s">
        <v>192</v>
      </c>
      <c r="B233" s="13" t="s">
        <v>681</v>
      </c>
      <c r="C233" s="13" t="s">
        <v>555</v>
      </c>
      <c r="D233" s="14">
        <v>-111.1</v>
      </c>
      <c r="E233" s="14">
        <v>231854.65</v>
      </c>
    </row>
    <row r="234" spans="1:5" ht="15" customHeight="1" x14ac:dyDescent="0.15">
      <c r="A234" s="12" t="s">
        <v>192</v>
      </c>
      <c r="B234" s="13" t="s">
        <v>595</v>
      </c>
      <c r="C234" s="13" t="s">
        <v>555</v>
      </c>
      <c r="D234" s="14">
        <v>-4167.24</v>
      </c>
      <c r="E234" s="14">
        <v>231965.75</v>
      </c>
    </row>
    <row r="235" spans="1:5" ht="15" customHeight="1" x14ac:dyDescent="0.15">
      <c r="A235" s="12" t="s">
        <v>192</v>
      </c>
      <c r="B235" s="13" t="s">
        <v>610</v>
      </c>
      <c r="C235" s="13" t="s">
        <v>555</v>
      </c>
      <c r="D235" s="14">
        <v>-972</v>
      </c>
      <c r="E235" s="14">
        <v>236132.99</v>
      </c>
    </row>
    <row r="236" spans="1:5" ht="15" customHeight="1" x14ac:dyDescent="0.15">
      <c r="A236" s="12" t="s">
        <v>192</v>
      </c>
      <c r="B236" s="13" t="s">
        <v>586</v>
      </c>
      <c r="C236" s="13" t="s">
        <v>555</v>
      </c>
      <c r="D236" s="14">
        <v>-109.6</v>
      </c>
      <c r="E236" s="14">
        <v>237104.99</v>
      </c>
    </row>
    <row r="237" spans="1:5" ht="15" customHeight="1" x14ac:dyDescent="0.15">
      <c r="A237" s="12" t="s">
        <v>192</v>
      </c>
      <c r="B237" s="13" t="s">
        <v>682</v>
      </c>
      <c r="C237" s="13" t="s">
        <v>555</v>
      </c>
      <c r="D237" s="14">
        <v>1158.0999999999999</v>
      </c>
      <c r="E237" s="14">
        <v>237214.59</v>
      </c>
    </row>
    <row r="238" spans="1:5" ht="15" customHeight="1" x14ac:dyDescent="0.15">
      <c r="A238" s="12" t="s">
        <v>192</v>
      </c>
      <c r="B238" s="13" t="s">
        <v>577</v>
      </c>
      <c r="C238" s="13" t="s">
        <v>555</v>
      </c>
      <c r="D238" s="14">
        <v>340.76</v>
      </c>
      <c r="E238" s="14">
        <v>236056.49</v>
      </c>
    </row>
    <row r="239" spans="1:5" ht="15" customHeight="1" x14ac:dyDescent="0.15">
      <c r="A239" s="12" t="s">
        <v>192</v>
      </c>
      <c r="B239" s="13" t="s">
        <v>576</v>
      </c>
      <c r="C239" s="13" t="s">
        <v>555</v>
      </c>
      <c r="D239" s="14">
        <v>-5.78</v>
      </c>
      <c r="E239" s="14">
        <v>235715.73</v>
      </c>
    </row>
    <row r="240" spans="1:5" ht="15" customHeight="1" x14ac:dyDescent="0.15">
      <c r="A240" s="12" t="s">
        <v>424</v>
      </c>
      <c r="B240" s="13" t="s">
        <v>579</v>
      </c>
      <c r="C240" s="13" t="s">
        <v>580</v>
      </c>
      <c r="D240" s="14">
        <v>-3.28</v>
      </c>
      <c r="E240" s="14">
        <v>296582.90000000002</v>
      </c>
    </row>
    <row r="241" spans="1:5" ht="15" customHeight="1" x14ac:dyDescent="0.15">
      <c r="A241" s="12" t="s">
        <v>424</v>
      </c>
      <c r="B241" s="13" t="s">
        <v>572</v>
      </c>
      <c r="C241" s="13" t="s">
        <v>555</v>
      </c>
      <c r="D241" s="14">
        <v>55000</v>
      </c>
      <c r="E241" s="14">
        <v>296586.18</v>
      </c>
    </row>
    <row r="242" spans="1:5" ht="15" customHeight="1" x14ac:dyDescent="0.15">
      <c r="A242" s="12" t="s">
        <v>424</v>
      </c>
      <c r="B242" s="13" t="s">
        <v>683</v>
      </c>
      <c r="C242" s="13" t="s">
        <v>555</v>
      </c>
      <c r="D242" s="14">
        <v>7527.18</v>
      </c>
      <c r="E242" s="14">
        <v>241586.18</v>
      </c>
    </row>
    <row r="243" spans="1:5" ht="15" customHeight="1" x14ac:dyDescent="0.15">
      <c r="A243" s="12" t="s">
        <v>424</v>
      </c>
      <c r="B243" s="13" t="s">
        <v>684</v>
      </c>
      <c r="C243" s="13" t="s">
        <v>555</v>
      </c>
      <c r="D243" s="14">
        <v>-700</v>
      </c>
      <c r="E243" s="14">
        <v>234059</v>
      </c>
    </row>
    <row r="244" spans="1:5" ht="15" customHeight="1" x14ac:dyDescent="0.15">
      <c r="A244" s="12" t="s">
        <v>424</v>
      </c>
      <c r="B244" s="13" t="s">
        <v>650</v>
      </c>
      <c r="C244" s="13" t="s">
        <v>555</v>
      </c>
      <c r="D244" s="14">
        <v>-18.739999999999998</v>
      </c>
      <c r="E244" s="14">
        <v>234759</v>
      </c>
    </row>
    <row r="245" spans="1:5" ht="15" customHeight="1" x14ac:dyDescent="0.15">
      <c r="A245" s="12" t="s">
        <v>424</v>
      </c>
      <c r="B245" s="13" t="s">
        <v>573</v>
      </c>
      <c r="C245" s="13" t="s">
        <v>574</v>
      </c>
      <c r="D245" s="14">
        <v>5866.84</v>
      </c>
      <c r="E245" s="14">
        <v>234777.74</v>
      </c>
    </row>
    <row r="246" spans="1:5" ht="15" customHeight="1" x14ac:dyDescent="0.15">
      <c r="A246" s="12" t="s">
        <v>424</v>
      </c>
      <c r="B246" s="13" t="s">
        <v>576</v>
      </c>
      <c r="C246" s="13" t="s">
        <v>555</v>
      </c>
      <c r="D246" s="14">
        <v>-8.67</v>
      </c>
      <c r="E246" s="14">
        <v>228910.9</v>
      </c>
    </row>
    <row r="247" spans="1:5" ht="15" customHeight="1" x14ac:dyDescent="0.15">
      <c r="A247" s="12" t="s">
        <v>89</v>
      </c>
      <c r="B247" s="13" t="s">
        <v>685</v>
      </c>
      <c r="C247" s="13" t="s">
        <v>580</v>
      </c>
      <c r="D247" s="14">
        <v>-3.27</v>
      </c>
      <c r="E247" s="14">
        <v>362396.06</v>
      </c>
    </row>
    <row r="248" spans="1:5" ht="15" customHeight="1" x14ac:dyDescent="0.15">
      <c r="A248" s="12" t="s">
        <v>89</v>
      </c>
      <c r="B248" s="13" t="s">
        <v>589</v>
      </c>
      <c r="C248" s="13" t="s">
        <v>580</v>
      </c>
      <c r="D248" s="14">
        <v>-12.84</v>
      </c>
      <c r="E248" s="14">
        <v>362399.33</v>
      </c>
    </row>
    <row r="249" spans="1:5" ht="15" customHeight="1" x14ac:dyDescent="0.15">
      <c r="A249" s="12" t="s">
        <v>89</v>
      </c>
      <c r="B249" s="13" t="s">
        <v>572</v>
      </c>
      <c r="C249" s="13" t="s">
        <v>555</v>
      </c>
      <c r="D249" s="14">
        <v>18000</v>
      </c>
      <c r="E249" s="14">
        <v>362412.17</v>
      </c>
    </row>
    <row r="250" spans="1:5" ht="15" customHeight="1" x14ac:dyDescent="0.15">
      <c r="A250" s="12" t="s">
        <v>89</v>
      </c>
      <c r="B250" s="13" t="s">
        <v>686</v>
      </c>
      <c r="C250" s="13" t="s">
        <v>561</v>
      </c>
      <c r="D250" s="14">
        <v>-1075</v>
      </c>
      <c r="E250" s="14">
        <v>344412.17</v>
      </c>
    </row>
    <row r="251" spans="1:5" ht="15" customHeight="1" x14ac:dyDescent="0.15">
      <c r="A251" s="12" t="s">
        <v>89</v>
      </c>
      <c r="B251" s="13" t="s">
        <v>686</v>
      </c>
      <c r="C251" s="13" t="s">
        <v>561</v>
      </c>
      <c r="D251" s="14">
        <v>-215</v>
      </c>
      <c r="E251" s="14">
        <v>345487.17</v>
      </c>
    </row>
    <row r="252" spans="1:5" ht="15" customHeight="1" x14ac:dyDescent="0.15">
      <c r="A252" s="12" t="s">
        <v>89</v>
      </c>
      <c r="B252" s="13" t="s">
        <v>568</v>
      </c>
      <c r="C252" s="13" t="s">
        <v>561</v>
      </c>
      <c r="D252" s="14">
        <v>-677.68</v>
      </c>
      <c r="E252" s="14">
        <v>345702.17</v>
      </c>
    </row>
    <row r="253" spans="1:5" ht="15" customHeight="1" x14ac:dyDescent="0.15">
      <c r="A253" s="12" t="s">
        <v>89</v>
      </c>
      <c r="B253" s="13" t="s">
        <v>686</v>
      </c>
      <c r="C253" s="13" t="s">
        <v>561</v>
      </c>
      <c r="D253" s="14">
        <v>-864</v>
      </c>
      <c r="E253" s="14">
        <v>346379.85</v>
      </c>
    </row>
    <row r="254" spans="1:5" ht="15" customHeight="1" x14ac:dyDescent="0.15">
      <c r="A254" s="12" t="s">
        <v>89</v>
      </c>
      <c r="B254" s="13" t="s">
        <v>612</v>
      </c>
      <c r="C254" s="13" t="s">
        <v>561</v>
      </c>
      <c r="D254" s="14">
        <v>-4633.25</v>
      </c>
      <c r="E254" s="14">
        <v>347243.85</v>
      </c>
    </row>
    <row r="255" spans="1:5" ht="15" customHeight="1" x14ac:dyDescent="0.15">
      <c r="A255" s="12" t="s">
        <v>89</v>
      </c>
      <c r="B255" s="13" t="s">
        <v>686</v>
      </c>
      <c r="C255" s="13" t="s">
        <v>561</v>
      </c>
      <c r="D255" s="14">
        <v>-3520</v>
      </c>
      <c r="E255" s="14">
        <v>351877.1</v>
      </c>
    </row>
    <row r="256" spans="1:5" ht="15" customHeight="1" x14ac:dyDescent="0.15">
      <c r="A256" s="12" t="s">
        <v>89</v>
      </c>
      <c r="B256" s="13" t="s">
        <v>581</v>
      </c>
      <c r="C256" s="13" t="s">
        <v>687</v>
      </c>
      <c r="D256" s="14">
        <v>-179.7</v>
      </c>
      <c r="E256" s="14">
        <v>355397.1</v>
      </c>
    </row>
    <row r="257" spans="1:5" ht="15" customHeight="1" x14ac:dyDescent="0.15">
      <c r="A257" s="12" t="s">
        <v>89</v>
      </c>
      <c r="B257" s="13" t="s">
        <v>557</v>
      </c>
      <c r="C257" s="13" t="s">
        <v>555</v>
      </c>
      <c r="D257" s="14">
        <v>51038.07</v>
      </c>
      <c r="E257" s="14">
        <v>355576.8</v>
      </c>
    </row>
    <row r="258" spans="1:5" ht="15" customHeight="1" x14ac:dyDescent="0.15">
      <c r="A258" s="12" t="s">
        <v>89</v>
      </c>
      <c r="B258" s="13" t="s">
        <v>577</v>
      </c>
      <c r="C258" s="13" t="s">
        <v>555</v>
      </c>
      <c r="D258" s="14">
        <v>7961.61</v>
      </c>
      <c r="E258" s="14">
        <v>304538.73</v>
      </c>
    </row>
    <row r="259" spans="1:5" ht="15" customHeight="1" x14ac:dyDescent="0.15">
      <c r="A259" s="12" t="s">
        <v>89</v>
      </c>
      <c r="B259" s="13" t="s">
        <v>576</v>
      </c>
      <c r="C259" s="13" t="s">
        <v>555</v>
      </c>
      <c r="D259" s="14">
        <v>-5.78</v>
      </c>
      <c r="E259" s="14">
        <v>296577.12</v>
      </c>
    </row>
    <row r="260" spans="1:5" ht="15" customHeight="1" x14ac:dyDescent="0.15">
      <c r="A260" s="12" t="s">
        <v>209</v>
      </c>
      <c r="B260" s="13" t="s">
        <v>578</v>
      </c>
      <c r="C260" s="13" t="s">
        <v>555</v>
      </c>
      <c r="D260" s="14">
        <v>5.91</v>
      </c>
      <c r="E260" s="14">
        <v>243474.55</v>
      </c>
    </row>
    <row r="261" spans="1:5" ht="15" customHeight="1" x14ac:dyDescent="0.15">
      <c r="A261" s="12" t="s">
        <v>209</v>
      </c>
      <c r="B261" s="13" t="s">
        <v>589</v>
      </c>
      <c r="C261" s="13" t="s">
        <v>580</v>
      </c>
      <c r="D261" s="14">
        <v>-4.28</v>
      </c>
      <c r="E261" s="14">
        <v>243468.64</v>
      </c>
    </row>
    <row r="262" spans="1:5" ht="15" customHeight="1" x14ac:dyDescent="0.15">
      <c r="A262" s="12" t="s">
        <v>209</v>
      </c>
      <c r="B262" s="13" t="s">
        <v>579</v>
      </c>
      <c r="C262" s="13" t="s">
        <v>580</v>
      </c>
      <c r="D262" s="14">
        <v>-3.28</v>
      </c>
      <c r="E262" s="14">
        <v>243472.92</v>
      </c>
    </row>
    <row r="263" spans="1:5" ht="15" customHeight="1" x14ac:dyDescent="0.15">
      <c r="A263" s="12" t="s">
        <v>209</v>
      </c>
      <c r="B263" s="13" t="s">
        <v>653</v>
      </c>
      <c r="C263" s="13" t="s">
        <v>555</v>
      </c>
      <c r="D263" s="14">
        <v>59.52</v>
      </c>
      <c r="E263" s="14">
        <v>243476.2</v>
      </c>
    </row>
    <row r="264" spans="1:5" ht="15" customHeight="1" x14ac:dyDescent="0.15">
      <c r="A264" s="12" t="s">
        <v>209</v>
      </c>
      <c r="B264" s="13" t="s">
        <v>688</v>
      </c>
      <c r="C264" s="13" t="s">
        <v>555</v>
      </c>
      <c r="D264" s="14">
        <v>44.5</v>
      </c>
      <c r="E264" s="14">
        <v>243416.68</v>
      </c>
    </row>
    <row r="265" spans="1:5" ht="15" customHeight="1" x14ac:dyDescent="0.15">
      <c r="A265" s="12" t="s">
        <v>209</v>
      </c>
      <c r="B265" s="13" t="s">
        <v>689</v>
      </c>
      <c r="C265" s="13" t="s">
        <v>555</v>
      </c>
      <c r="D265" s="14">
        <v>-2123.98</v>
      </c>
      <c r="E265" s="14">
        <v>243372.18</v>
      </c>
    </row>
    <row r="266" spans="1:5" ht="15" customHeight="1" x14ac:dyDescent="0.15">
      <c r="A266" s="12" t="s">
        <v>209</v>
      </c>
      <c r="B266" s="13" t="s">
        <v>592</v>
      </c>
      <c r="C266" s="13" t="s">
        <v>555</v>
      </c>
      <c r="D266" s="14">
        <v>-10000</v>
      </c>
      <c r="E266" s="14">
        <v>245496.16</v>
      </c>
    </row>
    <row r="267" spans="1:5" ht="15" customHeight="1" x14ac:dyDescent="0.15">
      <c r="A267" s="12" t="s">
        <v>209</v>
      </c>
      <c r="B267" s="13" t="s">
        <v>690</v>
      </c>
      <c r="C267" s="13" t="s">
        <v>555</v>
      </c>
      <c r="D267" s="14">
        <v>-6750</v>
      </c>
      <c r="E267" s="14">
        <v>255496.16</v>
      </c>
    </row>
    <row r="268" spans="1:5" ht="15" customHeight="1" x14ac:dyDescent="0.15">
      <c r="A268" s="12" t="s">
        <v>209</v>
      </c>
      <c r="B268" s="13" t="s">
        <v>691</v>
      </c>
      <c r="C268" s="13" t="s">
        <v>555</v>
      </c>
      <c r="D268" s="14">
        <v>-5750</v>
      </c>
      <c r="E268" s="14">
        <v>262246.15999999997</v>
      </c>
    </row>
    <row r="269" spans="1:5" ht="15" customHeight="1" x14ac:dyDescent="0.15">
      <c r="A269" s="12" t="s">
        <v>209</v>
      </c>
      <c r="B269" s="13" t="s">
        <v>595</v>
      </c>
      <c r="C269" s="13" t="s">
        <v>555</v>
      </c>
      <c r="D269" s="14">
        <v>-3000</v>
      </c>
      <c r="E269" s="14">
        <v>267996.15999999997</v>
      </c>
    </row>
    <row r="270" spans="1:5" ht="15" customHeight="1" x14ac:dyDescent="0.15">
      <c r="A270" s="12" t="s">
        <v>209</v>
      </c>
      <c r="B270" s="13" t="s">
        <v>692</v>
      </c>
      <c r="C270" s="13" t="s">
        <v>555</v>
      </c>
      <c r="D270" s="14">
        <v>-4300</v>
      </c>
      <c r="E270" s="14">
        <v>270996.15999999997</v>
      </c>
    </row>
    <row r="271" spans="1:5" ht="15" customHeight="1" x14ac:dyDescent="0.15">
      <c r="A271" s="12" t="s">
        <v>209</v>
      </c>
      <c r="B271" s="13" t="s">
        <v>650</v>
      </c>
      <c r="C271" s="13" t="s">
        <v>555</v>
      </c>
      <c r="D271" s="14">
        <v>-2184.9699999999998</v>
      </c>
      <c r="E271" s="14">
        <v>275296.15999999997</v>
      </c>
    </row>
    <row r="272" spans="1:5" ht="15" customHeight="1" x14ac:dyDescent="0.15">
      <c r="A272" s="12" t="s">
        <v>209</v>
      </c>
      <c r="B272" s="13" t="s">
        <v>635</v>
      </c>
      <c r="C272" s="13" t="s">
        <v>555</v>
      </c>
      <c r="D272" s="14">
        <v>-8570.81</v>
      </c>
      <c r="E272" s="14">
        <v>277481.13</v>
      </c>
    </row>
    <row r="273" spans="1:5" ht="15" customHeight="1" x14ac:dyDescent="0.15">
      <c r="A273" s="12" t="s">
        <v>209</v>
      </c>
      <c r="B273" s="13" t="s">
        <v>693</v>
      </c>
      <c r="C273" s="13" t="s">
        <v>555</v>
      </c>
      <c r="D273" s="14">
        <v>-10000</v>
      </c>
      <c r="E273" s="14">
        <v>286051.94</v>
      </c>
    </row>
    <row r="274" spans="1:5" ht="15" customHeight="1" x14ac:dyDescent="0.15">
      <c r="A274" s="12" t="s">
        <v>209</v>
      </c>
      <c r="B274" s="13" t="s">
        <v>694</v>
      </c>
      <c r="C274" s="13" t="s">
        <v>555</v>
      </c>
      <c r="D274" s="14">
        <v>-795</v>
      </c>
      <c r="E274" s="14">
        <v>296051.94</v>
      </c>
    </row>
    <row r="275" spans="1:5" ht="15" customHeight="1" x14ac:dyDescent="0.15">
      <c r="A275" s="12" t="s">
        <v>209</v>
      </c>
      <c r="B275" s="13" t="s">
        <v>695</v>
      </c>
      <c r="C275" s="13" t="s">
        <v>555</v>
      </c>
      <c r="D275" s="14">
        <v>-5285</v>
      </c>
      <c r="E275" s="14">
        <v>296846.94</v>
      </c>
    </row>
    <row r="276" spans="1:5" ht="15" customHeight="1" x14ac:dyDescent="0.15">
      <c r="A276" s="12" t="s">
        <v>209</v>
      </c>
      <c r="B276" s="13" t="s">
        <v>696</v>
      </c>
      <c r="C276" s="13" t="s">
        <v>555</v>
      </c>
      <c r="D276" s="14">
        <v>-540</v>
      </c>
      <c r="E276" s="14">
        <v>302131.94</v>
      </c>
    </row>
    <row r="277" spans="1:5" ht="15" customHeight="1" x14ac:dyDescent="0.15">
      <c r="A277" s="12" t="s">
        <v>209</v>
      </c>
      <c r="B277" s="13" t="s">
        <v>681</v>
      </c>
      <c r="C277" s="13" t="s">
        <v>555</v>
      </c>
      <c r="D277" s="14">
        <v>-686.06</v>
      </c>
      <c r="E277" s="14">
        <v>302671.94</v>
      </c>
    </row>
    <row r="278" spans="1:5" ht="15" customHeight="1" x14ac:dyDescent="0.15">
      <c r="A278" s="12" t="s">
        <v>209</v>
      </c>
      <c r="B278" s="13" t="s">
        <v>697</v>
      </c>
      <c r="C278" s="13" t="s">
        <v>555</v>
      </c>
      <c r="D278" s="14">
        <v>-2068.5500000000002</v>
      </c>
      <c r="E278" s="14">
        <v>303358</v>
      </c>
    </row>
    <row r="279" spans="1:5" ht="15" customHeight="1" x14ac:dyDescent="0.15">
      <c r="A279" s="12" t="s">
        <v>209</v>
      </c>
      <c r="B279" s="13" t="s">
        <v>698</v>
      </c>
      <c r="C279" s="13" t="s">
        <v>555</v>
      </c>
      <c r="D279" s="14">
        <v>-3085.05</v>
      </c>
      <c r="E279" s="14">
        <v>305426.55</v>
      </c>
    </row>
    <row r="280" spans="1:5" ht="15" customHeight="1" x14ac:dyDescent="0.15">
      <c r="A280" s="12" t="s">
        <v>209</v>
      </c>
      <c r="B280" s="13" t="s">
        <v>699</v>
      </c>
      <c r="C280" s="13" t="s">
        <v>555</v>
      </c>
      <c r="D280" s="14">
        <v>-2000</v>
      </c>
      <c r="E280" s="14">
        <v>308511.59999999998</v>
      </c>
    </row>
    <row r="281" spans="1:5" ht="15" customHeight="1" x14ac:dyDescent="0.15">
      <c r="A281" s="12" t="s">
        <v>209</v>
      </c>
      <c r="B281" s="13" t="s">
        <v>700</v>
      </c>
      <c r="C281" s="13" t="s">
        <v>555</v>
      </c>
      <c r="D281" s="14">
        <v>-4000</v>
      </c>
      <c r="E281" s="14">
        <v>310511.59999999998</v>
      </c>
    </row>
    <row r="282" spans="1:5" ht="15" customHeight="1" x14ac:dyDescent="0.15">
      <c r="A282" s="12" t="s">
        <v>209</v>
      </c>
      <c r="B282" s="13" t="s">
        <v>625</v>
      </c>
      <c r="C282" s="13" t="s">
        <v>555</v>
      </c>
      <c r="D282" s="14">
        <v>-6666.8</v>
      </c>
      <c r="E282" s="14">
        <v>314511.59999999998</v>
      </c>
    </row>
    <row r="283" spans="1:5" ht="15" customHeight="1" x14ac:dyDescent="0.15">
      <c r="A283" s="12" t="s">
        <v>209</v>
      </c>
      <c r="B283" s="13" t="s">
        <v>593</v>
      </c>
      <c r="C283" s="13" t="s">
        <v>555</v>
      </c>
      <c r="D283" s="14">
        <v>-2811.88</v>
      </c>
      <c r="E283" s="14">
        <v>321178.40000000002</v>
      </c>
    </row>
    <row r="284" spans="1:5" ht="15" customHeight="1" x14ac:dyDescent="0.15">
      <c r="A284" s="12" t="s">
        <v>209</v>
      </c>
      <c r="B284" s="13" t="s">
        <v>701</v>
      </c>
      <c r="C284" s="13" t="s">
        <v>561</v>
      </c>
      <c r="D284" s="14">
        <v>-263.8</v>
      </c>
      <c r="E284" s="14">
        <v>323990.28000000003</v>
      </c>
    </row>
    <row r="285" spans="1:5" ht="15" customHeight="1" x14ac:dyDescent="0.15">
      <c r="A285" s="12" t="s">
        <v>209</v>
      </c>
      <c r="B285" s="13" t="s">
        <v>612</v>
      </c>
      <c r="C285" s="13" t="s">
        <v>561</v>
      </c>
      <c r="D285" s="14">
        <v>-8008.19</v>
      </c>
      <c r="E285" s="14">
        <v>324254.08000000002</v>
      </c>
    </row>
    <row r="286" spans="1:5" ht="15" customHeight="1" x14ac:dyDescent="0.15">
      <c r="A286" s="12" t="s">
        <v>209</v>
      </c>
      <c r="B286" s="13" t="s">
        <v>628</v>
      </c>
      <c r="C286" s="13" t="s">
        <v>561</v>
      </c>
      <c r="D286" s="14">
        <v>-25525.37</v>
      </c>
      <c r="E286" s="14">
        <v>332262.27</v>
      </c>
    </row>
    <row r="287" spans="1:5" ht="15" customHeight="1" x14ac:dyDescent="0.15">
      <c r="A287" s="12" t="s">
        <v>209</v>
      </c>
      <c r="B287" s="13" t="s">
        <v>702</v>
      </c>
      <c r="C287" s="13" t="s">
        <v>555</v>
      </c>
      <c r="D287" s="14">
        <v>-210</v>
      </c>
      <c r="E287" s="14">
        <v>357787.64</v>
      </c>
    </row>
    <row r="288" spans="1:5" ht="15" customHeight="1" x14ac:dyDescent="0.15">
      <c r="A288" s="12" t="s">
        <v>209</v>
      </c>
      <c r="B288" s="13" t="s">
        <v>703</v>
      </c>
      <c r="C288" s="13" t="s">
        <v>555</v>
      </c>
      <c r="D288" s="14">
        <v>-795</v>
      </c>
      <c r="E288" s="14">
        <v>357997.64</v>
      </c>
    </row>
    <row r="289" spans="1:5" ht="15" customHeight="1" x14ac:dyDescent="0.15">
      <c r="A289" s="12" t="s">
        <v>209</v>
      </c>
      <c r="B289" s="13" t="s">
        <v>704</v>
      </c>
      <c r="C289" s="13" t="s">
        <v>555</v>
      </c>
      <c r="D289" s="14">
        <v>-4227.5</v>
      </c>
      <c r="E289" s="14">
        <v>358792.64</v>
      </c>
    </row>
    <row r="290" spans="1:5" ht="15" customHeight="1" x14ac:dyDescent="0.15">
      <c r="A290" s="12" t="s">
        <v>209</v>
      </c>
      <c r="B290" s="13" t="s">
        <v>577</v>
      </c>
      <c r="C290" s="13" t="s">
        <v>555</v>
      </c>
      <c r="D290" s="14">
        <v>624.08000000000004</v>
      </c>
      <c r="E290" s="14">
        <v>363020.14</v>
      </c>
    </row>
    <row r="291" spans="1:5" ht="15" customHeight="1" x14ac:dyDescent="0.15">
      <c r="A291" s="15" t="s">
        <v>367</v>
      </c>
      <c r="B291" s="15" t="s">
        <v>705</v>
      </c>
      <c r="C291" s="15" t="s">
        <v>366</v>
      </c>
      <c r="D291" s="15" t="s">
        <v>706</v>
      </c>
      <c r="E291" s="15" t="s">
        <v>707</v>
      </c>
    </row>
  </sheetData>
  <autoFilter ref="A2:E291" xr:uid="{F4EFAEDC-4EFB-4CA9-B230-1280AA39ABB4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7D41-005A-4758-97BF-4AB418D3EA77}">
  <dimension ref="A1:D22"/>
  <sheetViews>
    <sheetView workbookViewId="0">
      <selection activeCell="B1" sqref="B1:B1048576"/>
    </sheetView>
  </sheetViews>
  <sheetFormatPr defaultRowHeight="12.75" x14ac:dyDescent="0.15"/>
  <cols>
    <col min="1" max="1" width="31.33203125" customWidth="1"/>
    <col min="2" max="2" width="12.6640625" customWidth="1"/>
    <col min="3" max="3" width="14" customWidth="1"/>
    <col min="4" max="4" width="13.83203125" style="17" customWidth="1"/>
  </cols>
  <sheetData>
    <row r="1" spans="1:4" x14ac:dyDescent="0.15">
      <c r="A1" s="2"/>
      <c r="B1" t="s">
        <v>708</v>
      </c>
      <c r="C1" t="s">
        <v>709</v>
      </c>
      <c r="D1" s="17" t="s">
        <v>710</v>
      </c>
    </row>
    <row r="2" spans="1:4" x14ac:dyDescent="0.15">
      <c r="A2" s="6">
        <v>46024</v>
      </c>
      <c r="B2">
        <f>SUMIF('extrato-literarius'!C:C,'literarius-santander'!A2,'extrato-literarius'!F:F)</f>
        <v>469.16000000000349</v>
      </c>
      <c r="C2">
        <f>SUMIF('extrato-santander'!A:A,'literarius-santander'!A2,'extrato-santander'!D:D)</f>
        <v>469.16000000000167</v>
      </c>
      <c r="D2" s="17">
        <f>B2-C2</f>
        <v>1.8189894035458565E-12</v>
      </c>
    </row>
    <row r="3" spans="1:4" x14ac:dyDescent="0.15">
      <c r="A3" s="6">
        <v>46027</v>
      </c>
      <c r="B3">
        <f>SUMIF('extrato-literarius'!C:C,'literarius-santander'!A3,'extrato-literarius'!F:F)</f>
        <v>4745.2200000000084</v>
      </c>
      <c r="C3">
        <f>SUMIF('extrato-santander'!A:A,'literarius-santander'!A3,'extrato-santander'!D:D)</f>
        <v>4745.2199999999966</v>
      </c>
      <c r="D3" s="17">
        <f t="shared" ref="D3:D22" si="0">B3-C3</f>
        <v>1.1823431123048067E-11</v>
      </c>
    </row>
    <row r="4" spans="1:4" x14ac:dyDescent="0.15">
      <c r="A4" s="6">
        <v>46028</v>
      </c>
      <c r="B4">
        <f>SUMIF('extrato-literarius'!C:C,'literarius-santander'!A4,'extrato-literarius'!F:F)</f>
        <v>-31412.800000000003</v>
      </c>
      <c r="C4">
        <f>SUMIF('extrato-santander'!A:A,'literarius-santander'!A4,'extrato-santander'!D:D)</f>
        <v>-31412.800000000003</v>
      </c>
      <c r="D4" s="17">
        <f t="shared" si="0"/>
        <v>0</v>
      </c>
    </row>
    <row r="5" spans="1:4" x14ac:dyDescent="0.15">
      <c r="A5" s="6">
        <v>46029</v>
      </c>
      <c r="B5">
        <f>SUMIF('extrato-literarius'!C:C,'literarius-santander'!A5,'extrato-literarius'!F:F)</f>
        <v>56658.850000000006</v>
      </c>
      <c r="C5">
        <f>SUMIF('extrato-santander'!A:A,'literarius-santander'!A5,'extrato-santander'!D:D)</f>
        <v>56658.850000000006</v>
      </c>
      <c r="D5" s="17">
        <f t="shared" si="0"/>
        <v>0</v>
      </c>
    </row>
    <row r="6" spans="1:4" x14ac:dyDescent="0.15">
      <c r="A6" s="6">
        <v>46030</v>
      </c>
      <c r="B6">
        <f>SUMIF('extrato-literarius'!C:C,'literarius-santander'!A6,'extrato-literarius'!F:F)</f>
        <v>-8261.0300000000025</v>
      </c>
      <c r="C6">
        <f>SUMIF('extrato-santander'!A:A,'literarius-santander'!A6,'extrato-santander'!D:D)</f>
        <v>-8261.0300000000007</v>
      </c>
      <c r="D6" s="17">
        <f t="shared" si="0"/>
        <v>0</v>
      </c>
    </row>
    <row r="7" spans="1:4" x14ac:dyDescent="0.15">
      <c r="A7" s="6">
        <v>46031</v>
      </c>
      <c r="B7">
        <f>SUMIF('extrato-literarius'!C:C,'literarius-santander'!A7,'extrato-literarius'!F:F)</f>
        <v>-52394.57</v>
      </c>
      <c r="C7">
        <f>SUMIF('extrato-santander'!A:A,'literarius-santander'!A7,'extrato-santander'!D:D)</f>
        <v>-52394.57</v>
      </c>
      <c r="D7" s="17">
        <f t="shared" si="0"/>
        <v>0</v>
      </c>
    </row>
    <row r="8" spans="1:4" x14ac:dyDescent="0.15">
      <c r="A8" s="6">
        <v>46034</v>
      </c>
      <c r="B8">
        <f>SUMIF('extrato-literarius'!C:C,'literarius-santander'!A8,'extrato-literarius'!F:F)</f>
        <v>-88840.38</v>
      </c>
      <c r="C8">
        <f>SUMIF('extrato-santander'!A:A,'literarius-santander'!A8,'extrato-santander'!D:D)</f>
        <v>-88840.38</v>
      </c>
      <c r="D8" s="17">
        <f t="shared" si="0"/>
        <v>0</v>
      </c>
    </row>
    <row r="9" spans="1:4" x14ac:dyDescent="0.15">
      <c r="A9" s="6">
        <v>46035</v>
      </c>
      <c r="B9">
        <f>SUMIF('extrato-literarius'!C:C,'literarius-santander'!A9,'extrato-literarius'!F:F)</f>
        <v>-8868.1299999999974</v>
      </c>
      <c r="C9">
        <f>SUMIF('extrato-santander'!A:A,'literarius-santander'!A9,'extrato-santander'!D:D)</f>
        <v>-8868.1299999999992</v>
      </c>
      <c r="D9" s="17">
        <f t="shared" si="0"/>
        <v>0</v>
      </c>
    </row>
    <row r="10" spans="1:4" x14ac:dyDescent="0.15">
      <c r="A10" s="6">
        <v>46036</v>
      </c>
      <c r="B10">
        <f>SUMIF('extrato-literarius'!C:C,'literarius-santander'!A10,'extrato-literarius'!F:F)</f>
        <v>17633.359999999993</v>
      </c>
      <c r="C10">
        <f>SUMIF('extrato-santander'!A:A,'literarius-santander'!A10,'extrato-santander'!D:D)</f>
        <v>17633.359999999997</v>
      </c>
      <c r="D10" s="17">
        <f t="shared" si="0"/>
        <v>0</v>
      </c>
    </row>
    <row r="11" spans="1:4" x14ac:dyDescent="0.15">
      <c r="A11" s="6">
        <v>46037</v>
      </c>
      <c r="B11">
        <f>SUMIF('extrato-literarius'!C:C,'literarius-santander'!A11,'extrato-literarius'!F:F)</f>
        <v>-29225.329999999998</v>
      </c>
      <c r="C11">
        <f>SUMIF('extrato-santander'!A:A,'literarius-santander'!A11,'extrato-santander'!D:D)</f>
        <v>-29225.329999999998</v>
      </c>
      <c r="D11" s="17">
        <f t="shared" si="0"/>
        <v>0</v>
      </c>
    </row>
    <row r="12" spans="1:4" x14ac:dyDescent="0.15">
      <c r="A12" s="6">
        <v>46038</v>
      </c>
      <c r="B12">
        <f>SUMIF('extrato-literarius'!C:C,'literarius-santander'!A12,'extrato-literarius'!F:F)</f>
        <v>-25042.79</v>
      </c>
      <c r="C12">
        <f>SUMIF('extrato-santander'!A:A,'literarius-santander'!A12,'extrato-santander'!D:D)</f>
        <v>-25042.79</v>
      </c>
      <c r="D12" s="17">
        <f t="shared" si="0"/>
        <v>0</v>
      </c>
    </row>
    <row r="13" spans="1:4" x14ac:dyDescent="0.15">
      <c r="A13" s="6">
        <v>46041</v>
      </c>
      <c r="B13">
        <f>SUMIF('extrato-literarius'!C:C,'literarius-santander'!A13,'extrato-literarius'!F:F)</f>
        <v>68431.13</v>
      </c>
      <c r="C13">
        <f>SUMIF('extrato-santander'!A:A,'literarius-santander'!A13,'extrato-santander'!D:D)</f>
        <v>68431.13</v>
      </c>
      <c r="D13" s="17">
        <f t="shared" si="0"/>
        <v>0</v>
      </c>
    </row>
    <row r="14" spans="1:4" x14ac:dyDescent="0.15">
      <c r="A14" s="6">
        <v>46042</v>
      </c>
      <c r="B14">
        <f>SUMIF('extrato-literarius'!C:C,'literarius-santander'!A14,'extrato-literarius'!F:F)</f>
        <v>45755.580000000016</v>
      </c>
      <c r="C14">
        <f>SUMIF('extrato-santander'!A:A,'literarius-santander'!A14,'extrato-santander'!D:D)</f>
        <v>45755.580000000009</v>
      </c>
      <c r="D14" s="17">
        <f t="shared" si="0"/>
        <v>0</v>
      </c>
    </row>
    <row r="15" spans="1:4" x14ac:dyDescent="0.15">
      <c r="A15" s="6">
        <v>46043</v>
      </c>
      <c r="B15">
        <f>SUMIF('extrato-literarius'!C:C,'literarius-santander'!A15,'extrato-literarius'!F:F)</f>
        <v>-110432.28</v>
      </c>
      <c r="C15">
        <f>SUMIF('extrato-santander'!A:A,'literarius-santander'!A15,'extrato-santander'!D:D)</f>
        <v>-110432.28</v>
      </c>
      <c r="D15" s="17">
        <f t="shared" si="0"/>
        <v>0</v>
      </c>
    </row>
    <row r="16" spans="1:4" x14ac:dyDescent="0.15">
      <c r="A16" s="6">
        <v>46044</v>
      </c>
      <c r="B16">
        <f>SUMIF('extrato-literarius'!C:C,'literarius-santander'!A16,'extrato-literarius'!F:F)</f>
        <v>18631.98</v>
      </c>
      <c r="C16">
        <f>SUMIF('extrato-santander'!A:A,'literarius-santander'!A16,'extrato-santander'!D:D)</f>
        <v>18631.98</v>
      </c>
      <c r="D16" s="17">
        <f t="shared" si="0"/>
        <v>0</v>
      </c>
    </row>
    <row r="17" spans="1:4" x14ac:dyDescent="0.15">
      <c r="A17" s="6">
        <v>46045</v>
      </c>
      <c r="B17">
        <f>SUMIF('extrato-literarius'!C:C,'literarius-santander'!A17,'extrato-literarius'!F:F)</f>
        <v>-16868.839999999997</v>
      </c>
      <c r="C17">
        <f>SUMIF('extrato-santander'!A:A,'literarius-santander'!A17,'extrato-santander'!D:D)</f>
        <v>-16868.84</v>
      </c>
      <c r="D17" s="17">
        <f t="shared" si="0"/>
        <v>0</v>
      </c>
    </row>
    <row r="18" spans="1:4" x14ac:dyDescent="0.15">
      <c r="A18" s="6">
        <v>46048</v>
      </c>
      <c r="B18">
        <f>SUMIF('extrato-literarius'!C:C,'literarius-santander'!A18,'extrato-literarius'!F:F)</f>
        <v>-18459.050000000003</v>
      </c>
      <c r="C18">
        <f>SUMIF('extrato-santander'!A:A,'literarius-santander'!A18,'extrato-santander'!D:D)</f>
        <v>-18459.05</v>
      </c>
      <c r="D18" s="17">
        <f t="shared" si="0"/>
        <v>0</v>
      </c>
    </row>
    <row r="19" spans="1:4" x14ac:dyDescent="0.15">
      <c r="A19" s="6">
        <v>46049</v>
      </c>
      <c r="B19">
        <f>SUMIF('extrato-literarius'!C:C,'literarius-santander'!A19,'extrato-literarius'!F:F)</f>
        <v>-6801.9400000000005</v>
      </c>
      <c r="C19">
        <f>SUMIF('extrato-santander'!A:A,'literarius-santander'!A19,'extrato-santander'!D:D)</f>
        <v>-6801.94</v>
      </c>
      <c r="D19" s="17">
        <f t="shared" si="0"/>
        <v>0</v>
      </c>
    </row>
    <row r="20" spans="1:4" x14ac:dyDescent="0.15">
      <c r="A20" s="6">
        <v>46050</v>
      </c>
      <c r="B20">
        <f>SUMIF('extrato-literarius'!C:C,'literarius-santander'!A20,'extrato-literarius'!F:F)</f>
        <v>67663.33</v>
      </c>
      <c r="C20">
        <f>SUMIF('extrato-santander'!A:A,'literarius-santander'!A20,'extrato-santander'!D:D)</f>
        <v>67663.33</v>
      </c>
      <c r="D20" s="17">
        <f t="shared" si="0"/>
        <v>0</v>
      </c>
    </row>
    <row r="21" spans="1:4" x14ac:dyDescent="0.15">
      <c r="A21" s="6">
        <v>46051</v>
      </c>
      <c r="B21">
        <f>SUMIF('extrato-literarius'!C:C,'literarius-santander'!A21,'extrato-literarius'!F:F)</f>
        <v>65813.16</v>
      </c>
      <c r="C21">
        <f>SUMIF('extrato-santander'!A:A,'literarius-santander'!A21,'extrato-santander'!D:D)</f>
        <v>65813.16</v>
      </c>
      <c r="D21" s="17">
        <f t="shared" si="0"/>
        <v>0</v>
      </c>
    </row>
    <row r="22" spans="1:4" x14ac:dyDescent="0.15">
      <c r="A22" s="6">
        <v>46052</v>
      </c>
      <c r="B22">
        <f>SUMIF('extrato-literarius'!C:C,'literarius-santander'!A22,'extrato-literarius'!F:F)</f>
        <v>-118921.51</v>
      </c>
      <c r="C22">
        <f>SUMIF('extrato-santander'!A:A,'literarius-santander'!A22,'extrato-santander'!D:D)</f>
        <v>-118921.51000000001</v>
      </c>
      <c r="D22" s="17">
        <f t="shared" si="0"/>
        <v>0</v>
      </c>
    </row>
  </sheetData>
  <autoFilter ref="A1:D22" xr:uid="{70967D41-005A-4758-97BF-4AB418D3EA7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extrato-literarius</vt:lpstr>
      <vt:lpstr>Planilha1</vt:lpstr>
      <vt:lpstr>extrato-santander</vt:lpstr>
      <vt:lpstr>literarius-santander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Rafael Financeiro - Heziom</cp:lastModifiedBy>
  <dcterms:created xsi:type="dcterms:W3CDTF">2026-02-04T20:48:02Z</dcterms:created>
  <dcterms:modified xsi:type="dcterms:W3CDTF">2026-03-04T18:37:09Z</dcterms:modified>
</cp:coreProperties>
</file>