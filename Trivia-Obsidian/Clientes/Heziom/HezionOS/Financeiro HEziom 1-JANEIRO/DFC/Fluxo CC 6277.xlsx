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financeiro_editoraheziom_com_br/Documents/Financeiro Editora Heziom/2026/Contabilidade/Fechamento Compartilhado/1-JANEIRO/DFC/"/>
    </mc:Choice>
  </mc:AlternateContent>
  <xr:revisionPtr revIDLastSave="3" documentId="8_{6CC97795-566F-4C12-A4C8-05166BAA90F4}" xr6:coauthVersionLast="47" xr6:coauthVersionMax="47" xr10:uidLastSave="{E8FABD57-7B74-4058-980A-A77FF3F03169}"/>
  <bookViews>
    <workbookView xWindow="-120" yWindow="-120" windowWidth="29040" windowHeight="15720" xr2:uid="{9EA7F3EC-6E8A-49B5-B6A6-833FD9B832C4}"/>
  </bookViews>
  <sheets>
    <sheet name="Fluxo CC 6277" sheetId="1" r:id="rId1"/>
    <sheet name="Planilha1" sheetId="2" r:id="rId2"/>
  </sheets>
  <definedNames>
    <definedName name="_xlnm._FilterDatabase" localSheetId="0" hidden="1">'Fluxo CC 6277'!$A$1:$J$9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2" i="1"/>
</calcChain>
</file>

<file path=xl/sharedStrings.xml><?xml version="1.0" encoding="utf-8"?>
<sst xmlns="http://schemas.openxmlformats.org/spreadsheetml/2006/main" count="197" uniqueCount="146">
  <si>
    <t>Origem</t>
  </si>
  <si>
    <t>33580</t>
  </si>
  <si>
    <t>33584</t>
  </si>
  <si>
    <t>Administrativo</t>
  </si>
  <si>
    <t>33582</t>
  </si>
  <si>
    <t>Sistemas e Softwares -Adm Marketing</t>
  </si>
  <si>
    <t>33581</t>
  </si>
  <si>
    <t>Despesas Bancárias</t>
  </si>
  <si>
    <t>D</t>
  </si>
  <si>
    <t>-55,73</t>
  </si>
  <si>
    <t>ASSOCIACAO EDITORA PRESBITERIANA DE PINHEIROS</t>
  </si>
  <si>
    <t>Plano de Contas</t>
  </si>
  <si>
    <t>Valor</t>
  </si>
  <si>
    <t>CPC Online</t>
  </si>
  <si>
    <t>Tipo</t>
  </si>
  <si>
    <t>Documento</t>
  </si>
  <si>
    <t>Data</t>
  </si>
  <si>
    <t>Descrição</t>
  </si>
  <si>
    <t>33577</t>
  </si>
  <si>
    <t>Centro Resultados</t>
  </si>
  <si>
    <t>Número</t>
  </si>
  <si>
    <t>Marketing E Publicidade</t>
  </si>
  <si>
    <t>BAIXA</t>
  </si>
  <si>
    <t>33579</t>
  </si>
  <si>
    <t>10/01/2026 11:02:51</t>
  </si>
  <si>
    <t>33583</t>
  </si>
  <si>
    <t>-1.592,41</t>
  </si>
  <si>
    <t>33578</t>
  </si>
  <si>
    <t>Financeiro</t>
  </si>
  <si>
    <t>-49,00</t>
  </si>
  <si>
    <t>Conta Contabil</t>
  </si>
  <si>
    <t>Codigo</t>
  </si>
  <si>
    <t>Contas contábeis</t>
  </si>
  <si>
    <t>Cod 0561 | Cod 1082 | Cod 1138 | Cod 1170 | Cod 1176 | Cod 1191 | Cod 1196 | Cod 1200 | Cod 1646 | Cod 8301</t>
  </si>
  <si>
    <t>VENDA DE LIVROS</t>
  </si>
  <si>
    <t>132 a 134</t>
  </si>
  <si>
    <t>AQUISIÇÃO DE LIVROS</t>
  </si>
  <si>
    <t>VENDA DE EBOOK</t>
  </si>
  <si>
    <t>13º Salário</t>
  </si>
  <si>
    <t>180 a 192</t>
  </si>
  <si>
    <t>Despesas Editorial - Capa</t>
  </si>
  <si>
    <t>Despesas Editorial - Conferência de Emendas | Despesas Editorial - Revisão de Prova</t>
  </si>
  <si>
    <t>Despesas Editorial - Diagramação</t>
  </si>
  <si>
    <t>Despesas Editorial - Edição</t>
  </si>
  <si>
    <t>Despesas Editorial - Ilustração</t>
  </si>
  <si>
    <t>Despesas Editorial - Preparação</t>
  </si>
  <si>
    <t>Despesas Editorial - Produção Editorial</t>
  </si>
  <si>
    <t>Despesas Editorial - Revisão de Prova</t>
  </si>
  <si>
    <t>Despesas Editorial - Tradução</t>
  </si>
  <si>
    <t>Materiais Para Revenda</t>
  </si>
  <si>
    <t>Producao Material Proprio</t>
  </si>
  <si>
    <t>Produção Material Próprio</t>
  </si>
  <si>
    <t>Remuneração Autônomos - Comercial</t>
  </si>
  <si>
    <t>Salarios A Pagar</t>
  </si>
  <si>
    <t>Vale Cesta Básica</t>
  </si>
  <si>
    <t>Vale Refeicao</t>
  </si>
  <si>
    <t>Vale Transporte</t>
  </si>
  <si>
    <t>Materiais Aplicados Venda Prod</t>
  </si>
  <si>
    <t>Remuneração Autônomos - Marketing</t>
  </si>
  <si>
    <t>Frete Sobre Mercadorias</t>
  </si>
  <si>
    <t>Despesas Postais e fretes</t>
  </si>
  <si>
    <t>Direitos Autorais</t>
  </si>
  <si>
    <t>Remuneração Autônomos - Editorial</t>
  </si>
  <si>
    <t>Combustivel</t>
  </si>
  <si>
    <t>Comissao Vendedores</t>
  </si>
  <si>
    <t>Agua</t>
  </si>
  <si>
    <t>Aluguel</t>
  </si>
  <si>
    <t>Antecipação - Direito Autoral</t>
  </si>
  <si>
    <t>Assistencia Medica</t>
  </si>
  <si>
    <t>Benfeitoria em Imoveis de 3º</t>
  </si>
  <si>
    <t>Bens de pequeno valor</t>
  </si>
  <si>
    <t>Bens Imobilizados Empresa</t>
  </si>
  <si>
    <t>Bolsa de Estudos</t>
  </si>
  <si>
    <t>Bonus</t>
  </si>
  <si>
    <t>Brinde Para Colaboradores</t>
  </si>
  <si>
    <t>Brindes Clientes</t>
  </si>
  <si>
    <t>Capacitação Profissional</t>
  </si>
  <si>
    <t>Cod 1082</t>
  </si>
  <si>
    <t>Cod 1138</t>
  </si>
  <si>
    <t>Cod 1170</t>
  </si>
  <si>
    <t>Cod 1176</t>
  </si>
  <si>
    <t>Cod 1191</t>
  </si>
  <si>
    <t>Cod 1196</t>
  </si>
  <si>
    <t>Cod 1200</t>
  </si>
  <si>
    <t>Cod 1646</t>
  </si>
  <si>
    <t>Cod 1708</t>
  </si>
  <si>
    <t>Cod 3208</t>
  </si>
  <si>
    <t>Cod 8031</t>
  </si>
  <si>
    <t>Cod 8301</t>
  </si>
  <si>
    <t>Cofins/Csll a Recolher</t>
  </si>
  <si>
    <t>Contabilidade</t>
  </si>
  <si>
    <t>Contribuicao Sindical</t>
  </si>
  <si>
    <t>Cursos E Treinamentos</t>
  </si>
  <si>
    <t>Darf Pis/Cofins - Codigo 5952</t>
  </si>
  <si>
    <t>Darf S/ Irf - Codigo 1708</t>
  </si>
  <si>
    <t>Desp Prest Serv Pf</t>
  </si>
  <si>
    <t>Desp Prest Serv Pj</t>
  </si>
  <si>
    <t>Despesas Cartorarias</t>
  </si>
  <si>
    <t>Despesas Com Diretoria</t>
  </si>
  <si>
    <t>Despesas Autor</t>
  </si>
  <si>
    <t>Despesas Eventos Externos</t>
  </si>
  <si>
    <t>Embalagens e Mareriais Graficos</t>
  </si>
  <si>
    <t>Energia Eletrica</t>
  </si>
  <si>
    <t>Estacionamento</t>
  </si>
  <si>
    <t>Fgts</t>
  </si>
  <si>
    <t>Fgts Ferias</t>
  </si>
  <si>
    <t>Impostos E Taxas</t>
  </si>
  <si>
    <t>Estorno e Reembolso</t>
  </si>
  <si>
    <t>231 LANÇAR NA NATUREZA DA DESPESA</t>
  </si>
  <si>
    <t>Internet</t>
  </si>
  <si>
    <t>Monitoramento Sede</t>
  </si>
  <si>
    <t>Royalties</t>
  </si>
  <si>
    <t>PIS 8301</t>
  </si>
  <si>
    <t>Terreno e Dependências - Sede</t>
  </si>
  <si>
    <t>Sistemas e Softwares Comerciais</t>
  </si>
  <si>
    <t>Devolução de Venda</t>
  </si>
  <si>
    <t>Exames médicos</t>
  </si>
  <si>
    <t>Juros pagos/passivos</t>
  </si>
  <si>
    <t>Lanches e Refeições Equipe</t>
  </si>
  <si>
    <t>Lanches e Refeições Comercial</t>
  </si>
  <si>
    <t>Materiais de Escritório</t>
  </si>
  <si>
    <t>Pedágio</t>
  </si>
  <si>
    <t>Remuneração Autônomos - Expedição</t>
  </si>
  <si>
    <t>Despesas Custos Eventos</t>
  </si>
  <si>
    <t>Remuneração Autônomos - Financeiro</t>
  </si>
  <si>
    <t>Remuneração Autonomos - Administração</t>
  </si>
  <si>
    <t>Transporte - Taxi/Uber</t>
  </si>
  <si>
    <t>Remuneração Autônomos - Livraria</t>
  </si>
  <si>
    <t>DIRETORIA - PJ</t>
  </si>
  <si>
    <t>Seguros</t>
  </si>
  <si>
    <t>Condomínio</t>
  </si>
  <si>
    <t>DESPESAS OPERACIONAIS</t>
  </si>
  <si>
    <t>4.3.1</t>
  </si>
  <si>
    <t>DESPESAS ADMINISTRATIVAS</t>
  </si>
  <si>
    <t>4.3.1.01</t>
  </si>
  <si>
    <t>Materiais Impressos</t>
  </si>
  <si>
    <t>Cod 0561</t>
  </si>
  <si>
    <t>TRANSFERENCIA ENTRE CONTAS</t>
  </si>
  <si>
    <t>Rescisões</t>
  </si>
  <si>
    <t>188 A 192</t>
  </si>
  <si>
    <t>Cod 5952</t>
  </si>
  <si>
    <t>Móveis, Máquinas e Utensílios</t>
  </si>
  <si>
    <t>Outras despesas</t>
  </si>
  <si>
    <t>Receitas financeiras</t>
  </si>
  <si>
    <t>Condominio</t>
  </si>
  <si>
    <t>Cod 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</si>
</sst>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rgb="FF6D6D6D"/>
      <name val="Tahoma"/>
    </font>
    <font>
      <b/>
      <sz val="10"/>
      <color rgb="FF6D6D6D"/>
      <name val="Tahoma"/>
    </font>
    <font>
      <b/>
      <sz val="10"/>
      <color rgb="FF000000"/>
      <name val="Tahoma"/>
    </font>
    <font>
      <b/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11"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right" vertical="top"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0" fontId="3" fillId="4" borderId="0" xfId="0" applyFont="1" applyFill="1" applyAlignment="1"/>
    <xf numFmtId="0" fontId="4" fillId="5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4" fontId="2" fillId="2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4640-7354-4355-B1BF-50653F5183A6}">
  <sheetPr filterMode="1">
    <pageSetUpPr autoPageBreaks="0" fitToPage="1"/>
  </sheetPr>
  <dimension ref="A1:J9"/>
  <sheetViews>
    <sheetView tabSelected="1" showOutlineSymbols="0" workbookViewId="0">
      <selection activeCell="F2" sqref="F2:F6"/>
    </sheetView>
  </sheetViews>
  <sheetFormatPr defaultColWidth="14.1640625" defaultRowHeight="15" customHeight="1" x14ac:dyDescent="0.15"/>
  <cols>
    <col min="1" max="1" width="6.6640625" customWidth="1"/>
    <col min="2" max="2" width="12.33203125" customWidth="1"/>
    <col min="3" max="4" width="16.6640625" customWidth="1"/>
    <col min="5" max="5" width="48.1640625" customWidth="1"/>
    <col min="6" max="6" width="15.83203125" customWidth="1"/>
    <col min="7" max="7" width="13.1640625" customWidth="1"/>
    <col min="8" max="8" width="37.83203125" customWidth="1"/>
    <col min="9" max="9" width="26.5" customWidth="1"/>
    <col min="10" max="10" width="18.6640625" customWidth="1"/>
  </cols>
  <sheetData>
    <row r="1" spans="1:10" ht="16.5" customHeight="1" x14ac:dyDescent="0.15">
      <c r="A1" s="3" t="s">
        <v>14</v>
      </c>
      <c r="B1" s="4" t="s">
        <v>20</v>
      </c>
      <c r="C1" s="4" t="s">
        <v>16</v>
      </c>
      <c r="D1" s="4" t="s">
        <v>15</v>
      </c>
      <c r="E1" s="4" t="s">
        <v>17</v>
      </c>
      <c r="F1" s="1" t="s">
        <v>12</v>
      </c>
      <c r="G1" s="4" t="s">
        <v>0</v>
      </c>
      <c r="H1" s="4" t="s">
        <v>11</v>
      </c>
      <c r="I1" s="4" t="s">
        <v>19</v>
      </c>
      <c r="J1" s="4" t="s">
        <v>30</v>
      </c>
    </row>
    <row r="2" spans="1:10" ht="15.75" customHeight="1" x14ac:dyDescent="0.15">
      <c r="A2" s="2" t="s">
        <v>8</v>
      </c>
      <c r="B2" s="6" t="s">
        <v>18</v>
      </c>
      <c r="C2" s="5" t="s">
        <v>24</v>
      </c>
      <c r="D2" s="5" t="s">
        <v>18</v>
      </c>
      <c r="E2" s="5" t="s">
        <v>10</v>
      </c>
      <c r="F2" s="10">
        <v>-10951.43</v>
      </c>
      <c r="G2" s="5" t="s">
        <v>22</v>
      </c>
      <c r="H2" s="5" t="s">
        <v>21</v>
      </c>
      <c r="I2" s="5" t="s">
        <v>13</v>
      </c>
      <c r="J2" s="5">
        <f>VLOOKUP(H2,Planilha1!B:C,2,0)</f>
        <v>245</v>
      </c>
    </row>
    <row r="3" spans="1:10" ht="15.75" hidden="1" customHeight="1" x14ac:dyDescent="0.15">
      <c r="A3" s="2" t="s">
        <v>8</v>
      </c>
      <c r="B3" s="6" t="s">
        <v>27</v>
      </c>
      <c r="C3" s="5" t="s">
        <v>24</v>
      </c>
      <c r="D3" s="5" t="s">
        <v>27</v>
      </c>
      <c r="E3" s="5" t="s">
        <v>10</v>
      </c>
      <c r="F3" s="6">
        <v>-597</v>
      </c>
      <c r="G3" s="5" t="s">
        <v>22</v>
      </c>
      <c r="H3" s="5" t="s">
        <v>5</v>
      </c>
      <c r="I3" s="5" t="s">
        <v>13</v>
      </c>
      <c r="J3" s="5">
        <f>VLOOKUP(H3,Planilha1!B:C,2,0)</f>
        <v>244</v>
      </c>
    </row>
    <row r="4" spans="1:10" ht="15.75" hidden="1" customHeight="1" x14ac:dyDescent="0.15">
      <c r="A4" s="2" t="s">
        <v>8</v>
      </c>
      <c r="B4" s="6" t="s">
        <v>23</v>
      </c>
      <c r="C4" s="5" t="s">
        <v>24</v>
      </c>
      <c r="D4" s="5" t="s">
        <v>23</v>
      </c>
      <c r="E4" s="5" t="s">
        <v>10</v>
      </c>
      <c r="F4" s="6">
        <v>-169.8</v>
      </c>
      <c r="G4" s="5" t="s">
        <v>22</v>
      </c>
      <c r="H4" s="5" t="s">
        <v>5</v>
      </c>
      <c r="I4" s="5" t="s">
        <v>13</v>
      </c>
      <c r="J4" s="5">
        <f>VLOOKUP(H4,Planilha1!B:C,2,0)</f>
        <v>244</v>
      </c>
    </row>
    <row r="5" spans="1:10" ht="15.75" hidden="1" customHeight="1" x14ac:dyDescent="0.15">
      <c r="A5" s="2" t="s">
        <v>8</v>
      </c>
      <c r="B5" s="6" t="s">
        <v>1</v>
      </c>
      <c r="C5" s="5" t="s">
        <v>24</v>
      </c>
      <c r="D5" s="5" t="s">
        <v>1</v>
      </c>
      <c r="E5" s="5" t="s">
        <v>10</v>
      </c>
      <c r="F5" s="6">
        <v>-220</v>
      </c>
      <c r="G5" s="5" t="s">
        <v>22</v>
      </c>
      <c r="H5" s="5" t="s">
        <v>5</v>
      </c>
      <c r="I5" s="5" t="s">
        <v>13</v>
      </c>
      <c r="J5" s="5">
        <f>VLOOKUP(H5,Planilha1!B:C,2,0)</f>
        <v>244</v>
      </c>
    </row>
    <row r="6" spans="1:10" ht="15.75" customHeight="1" x14ac:dyDescent="0.15">
      <c r="A6" s="2" t="s">
        <v>8</v>
      </c>
      <c r="B6" s="6" t="s">
        <v>6</v>
      </c>
      <c r="C6" s="5" t="s">
        <v>24</v>
      </c>
      <c r="D6" s="5" t="s">
        <v>6</v>
      </c>
      <c r="E6" s="5" t="s">
        <v>10</v>
      </c>
      <c r="F6" s="10">
        <v>-11004.53</v>
      </c>
      <c r="G6" s="5" t="s">
        <v>22</v>
      </c>
      <c r="H6" s="5" t="s">
        <v>21</v>
      </c>
      <c r="I6" s="5" t="s">
        <v>13</v>
      </c>
      <c r="J6" s="5">
        <f>VLOOKUP(H6,Planilha1!B:C,2,0)</f>
        <v>245</v>
      </c>
    </row>
    <row r="7" spans="1:10" ht="15.75" hidden="1" customHeight="1" x14ac:dyDescent="0.15">
      <c r="A7" s="2" t="s">
        <v>8</v>
      </c>
      <c r="B7" s="6" t="s">
        <v>4</v>
      </c>
      <c r="C7" s="5" t="s">
        <v>24</v>
      </c>
      <c r="D7" s="5" t="s">
        <v>4</v>
      </c>
      <c r="E7" s="5" t="s">
        <v>10</v>
      </c>
      <c r="F7" s="6" t="s">
        <v>29</v>
      </c>
      <c r="G7" s="5" t="s">
        <v>22</v>
      </c>
      <c r="H7" s="5" t="s">
        <v>5</v>
      </c>
      <c r="I7" s="5" t="s">
        <v>13</v>
      </c>
      <c r="J7" s="5">
        <f>VLOOKUP(H7,Planilha1!B:C,2,0)</f>
        <v>244</v>
      </c>
    </row>
    <row r="8" spans="1:10" ht="15.75" hidden="1" customHeight="1" x14ac:dyDescent="0.15">
      <c r="A8" s="2" t="s">
        <v>8</v>
      </c>
      <c r="B8" s="6" t="s">
        <v>25</v>
      </c>
      <c r="C8" s="5" t="s">
        <v>24</v>
      </c>
      <c r="D8" s="5" t="s">
        <v>25</v>
      </c>
      <c r="E8" s="5" t="s">
        <v>10</v>
      </c>
      <c r="F8" s="6" t="s">
        <v>26</v>
      </c>
      <c r="G8" s="5" t="s">
        <v>22</v>
      </c>
      <c r="H8" s="5" t="s">
        <v>5</v>
      </c>
      <c r="I8" s="5" t="s">
        <v>3</v>
      </c>
      <c r="J8" s="5">
        <f>VLOOKUP(H8,Planilha1!B:C,2,0)</f>
        <v>244</v>
      </c>
    </row>
    <row r="9" spans="1:10" ht="15.75" hidden="1" customHeight="1" x14ac:dyDescent="0.15">
      <c r="A9" s="2" t="s">
        <v>8</v>
      </c>
      <c r="B9" s="6" t="s">
        <v>2</v>
      </c>
      <c r="C9" s="5" t="s">
        <v>24</v>
      </c>
      <c r="D9" s="5" t="s">
        <v>2</v>
      </c>
      <c r="E9" s="5" t="s">
        <v>10</v>
      </c>
      <c r="F9" s="6" t="s">
        <v>9</v>
      </c>
      <c r="G9" s="5" t="s">
        <v>22</v>
      </c>
      <c r="H9" s="5" t="s">
        <v>7</v>
      </c>
      <c r="I9" s="5" t="s">
        <v>28</v>
      </c>
      <c r="J9" s="5">
        <f>VLOOKUP(H9,Planilha1!B:C,2,0)</f>
        <v>252</v>
      </c>
    </row>
  </sheetData>
  <autoFilter ref="A1:J9" xr:uid="{1C664640-7354-4355-B1BF-50653F5183A6}">
    <filterColumn colId="7">
      <filters>
        <filter val="Marketing E Publicidade"/>
      </filters>
    </filterColumn>
  </autoFilter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1A95-32E3-49C6-8B23-36DE320C7CEA}">
  <dimension ref="A1:C112"/>
  <sheetViews>
    <sheetView workbookViewId="0">
      <selection activeCell="B1" sqref="B1:B65536"/>
    </sheetView>
  </sheetViews>
  <sheetFormatPr defaultRowHeight="12.75" x14ac:dyDescent="0.15"/>
  <cols>
    <col min="2" max="2" width="20.6640625" customWidth="1"/>
  </cols>
  <sheetData>
    <row r="1" spans="1:3" ht="15" x14ac:dyDescent="0.25">
      <c r="A1" s="7" t="s">
        <v>31</v>
      </c>
      <c r="B1" s="7" t="s">
        <v>17</v>
      </c>
      <c r="C1" s="7" t="s">
        <v>32</v>
      </c>
    </row>
    <row r="2" spans="1:3" ht="89.25" x14ac:dyDescent="0.15">
      <c r="A2" s="8">
        <v>0</v>
      </c>
      <c r="B2" s="8" t="s">
        <v>33</v>
      </c>
      <c r="C2" s="8">
        <v>62</v>
      </c>
    </row>
    <row r="3" spans="1:3" ht="25.5" x14ac:dyDescent="0.15">
      <c r="A3" s="8">
        <v>2</v>
      </c>
      <c r="B3" s="8" t="s">
        <v>34</v>
      </c>
      <c r="C3" s="8" t="s">
        <v>35</v>
      </c>
    </row>
    <row r="4" spans="1:3" ht="25.5" x14ac:dyDescent="0.15">
      <c r="A4" s="8">
        <v>3</v>
      </c>
      <c r="B4" s="8" t="s">
        <v>36</v>
      </c>
      <c r="C4" s="8">
        <v>28</v>
      </c>
    </row>
    <row r="5" spans="1:3" x14ac:dyDescent="0.15">
      <c r="A5" s="8">
        <v>4</v>
      </c>
      <c r="B5" s="8" t="s">
        <v>37</v>
      </c>
      <c r="C5" s="8">
        <v>134</v>
      </c>
    </row>
    <row r="6" spans="1:3" ht="25.5" x14ac:dyDescent="0.15">
      <c r="A6" s="8">
        <v>10</v>
      </c>
      <c r="B6" s="8" t="s">
        <v>38</v>
      </c>
      <c r="C6" s="8" t="s">
        <v>39</v>
      </c>
    </row>
    <row r="7" spans="1:3" ht="25.5" x14ac:dyDescent="0.15">
      <c r="A7" s="8">
        <v>11</v>
      </c>
      <c r="B7" s="8" t="s">
        <v>40</v>
      </c>
      <c r="C7" s="8">
        <v>752</v>
      </c>
    </row>
    <row r="8" spans="1:3" ht="89.25" x14ac:dyDescent="0.15">
      <c r="A8" s="8">
        <v>12</v>
      </c>
      <c r="B8" s="8" t="s">
        <v>41</v>
      </c>
      <c r="C8" s="8">
        <v>752</v>
      </c>
    </row>
    <row r="9" spans="1:3" ht="38.25" x14ac:dyDescent="0.15">
      <c r="A9" s="8">
        <v>13</v>
      </c>
      <c r="B9" s="8" t="s">
        <v>42</v>
      </c>
      <c r="C9" s="8">
        <v>185</v>
      </c>
    </row>
    <row r="10" spans="1:3" ht="25.5" x14ac:dyDescent="0.15">
      <c r="A10" s="8">
        <v>14</v>
      </c>
      <c r="B10" s="8" t="s">
        <v>43</v>
      </c>
      <c r="C10" s="8">
        <v>185</v>
      </c>
    </row>
    <row r="11" spans="1:3" ht="38.25" x14ac:dyDescent="0.15">
      <c r="A11" s="8">
        <v>15</v>
      </c>
      <c r="B11" s="8" t="s">
        <v>44</v>
      </c>
      <c r="C11" s="8">
        <v>752</v>
      </c>
    </row>
    <row r="12" spans="1:3" ht="38.25" x14ac:dyDescent="0.15">
      <c r="A12" s="8">
        <v>16</v>
      </c>
      <c r="B12" s="8" t="s">
        <v>45</v>
      </c>
      <c r="C12" s="8">
        <v>752</v>
      </c>
    </row>
    <row r="13" spans="1:3" ht="51" x14ac:dyDescent="0.15">
      <c r="A13" s="8">
        <v>17</v>
      </c>
      <c r="B13" s="8" t="s">
        <v>46</v>
      </c>
      <c r="C13" s="8">
        <v>752</v>
      </c>
    </row>
    <row r="14" spans="1:3" ht="38.25" x14ac:dyDescent="0.15">
      <c r="A14" s="8">
        <v>18</v>
      </c>
      <c r="B14" s="8" t="s">
        <v>47</v>
      </c>
      <c r="C14" s="8">
        <v>752</v>
      </c>
    </row>
    <row r="15" spans="1:3" ht="38.25" x14ac:dyDescent="0.15">
      <c r="A15" s="8">
        <v>19</v>
      </c>
      <c r="B15" s="8" t="s">
        <v>48</v>
      </c>
      <c r="C15" s="8">
        <v>752</v>
      </c>
    </row>
    <row r="16" spans="1:3" ht="25.5" x14ac:dyDescent="0.15">
      <c r="A16" s="8">
        <v>20</v>
      </c>
      <c r="B16" s="8" t="s">
        <v>49</v>
      </c>
      <c r="C16" s="8">
        <v>80</v>
      </c>
    </row>
    <row r="17" spans="1:3" ht="25.5" x14ac:dyDescent="0.15">
      <c r="A17" s="8">
        <v>21</v>
      </c>
      <c r="B17" s="8" t="s">
        <v>50</v>
      </c>
      <c r="C17" s="8">
        <v>80</v>
      </c>
    </row>
    <row r="18" spans="1:3" ht="25.5" x14ac:dyDescent="0.15">
      <c r="A18" s="8">
        <v>21</v>
      </c>
      <c r="B18" s="8" t="s">
        <v>51</v>
      </c>
      <c r="C18" s="8">
        <v>80</v>
      </c>
    </row>
    <row r="19" spans="1:3" ht="38.25" x14ac:dyDescent="0.15">
      <c r="A19" s="8">
        <v>22</v>
      </c>
      <c r="B19" s="8" t="s">
        <v>52</v>
      </c>
      <c r="C19" s="8">
        <v>805</v>
      </c>
    </row>
    <row r="20" spans="1:3" ht="38.25" x14ac:dyDescent="0.15">
      <c r="A20" s="8">
        <v>22</v>
      </c>
      <c r="B20" s="8" t="s">
        <v>52</v>
      </c>
      <c r="C20" s="8">
        <v>805</v>
      </c>
    </row>
    <row r="21" spans="1:3" x14ac:dyDescent="0.15">
      <c r="A21" s="8">
        <v>23</v>
      </c>
      <c r="B21" s="8" t="s">
        <v>53</v>
      </c>
      <c r="C21" s="8">
        <v>68</v>
      </c>
    </row>
    <row r="22" spans="1:3" x14ac:dyDescent="0.15">
      <c r="A22" s="8">
        <v>24</v>
      </c>
      <c r="B22" s="8" t="s">
        <v>54</v>
      </c>
      <c r="C22" s="8">
        <v>203</v>
      </c>
    </row>
    <row r="23" spans="1:3" x14ac:dyDescent="0.15">
      <c r="A23" s="8">
        <v>25</v>
      </c>
      <c r="B23" s="8" t="s">
        <v>55</v>
      </c>
      <c r="C23" s="8">
        <v>202</v>
      </c>
    </row>
    <row r="24" spans="1:3" x14ac:dyDescent="0.15">
      <c r="A24" s="8">
        <v>26</v>
      </c>
      <c r="B24" s="8" t="s">
        <v>56</v>
      </c>
      <c r="C24" s="8">
        <v>201</v>
      </c>
    </row>
    <row r="25" spans="1:3" ht="38.25" x14ac:dyDescent="0.15">
      <c r="A25" s="8">
        <v>27</v>
      </c>
      <c r="B25" s="8" t="s">
        <v>57</v>
      </c>
      <c r="C25" s="8">
        <v>224</v>
      </c>
    </row>
    <row r="26" spans="1:3" ht="38.25" x14ac:dyDescent="0.15">
      <c r="A26" s="8">
        <v>28</v>
      </c>
      <c r="B26" s="8" t="s">
        <v>58</v>
      </c>
      <c r="C26" s="8">
        <v>181</v>
      </c>
    </row>
    <row r="27" spans="1:3" ht="25.5" x14ac:dyDescent="0.15">
      <c r="A27" s="8">
        <v>29</v>
      </c>
      <c r="B27" s="8" t="s">
        <v>21</v>
      </c>
      <c r="C27" s="8">
        <v>245</v>
      </c>
    </row>
    <row r="28" spans="1:3" ht="25.5" x14ac:dyDescent="0.15">
      <c r="A28" s="8">
        <v>30</v>
      </c>
      <c r="B28" s="8" t="s">
        <v>59</v>
      </c>
      <c r="C28" s="8">
        <v>164</v>
      </c>
    </row>
    <row r="29" spans="1:3" ht="25.5" x14ac:dyDescent="0.15">
      <c r="A29" s="8">
        <v>31</v>
      </c>
      <c r="B29" s="8" t="s">
        <v>60</v>
      </c>
      <c r="C29" s="8">
        <v>222</v>
      </c>
    </row>
    <row r="30" spans="1:3" x14ac:dyDescent="0.15">
      <c r="A30" s="8">
        <v>32</v>
      </c>
      <c r="B30" s="8" t="s">
        <v>61</v>
      </c>
      <c r="C30" s="8">
        <v>165</v>
      </c>
    </row>
    <row r="31" spans="1:3" ht="38.25" x14ac:dyDescent="0.15">
      <c r="A31" s="8">
        <v>33</v>
      </c>
      <c r="B31" s="8" t="s">
        <v>62</v>
      </c>
      <c r="C31" s="8">
        <v>752</v>
      </c>
    </row>
    <row r="32" spans="1:3" x14ac:dyDescent="0.15">
      <c r="A32" s="8">
        <v>34</v>
      </c>
      <c r="B32" s="8" t="s">
        <v>63</v>
      </c>
      <c r="C32" s="8">
        <v>238</v>
      </c>
    </row>
    <row r="33" spans="1:3" ht="25.5" x14ac:dyDescent="0.15">
      <c r="A33" s="8">
        <v>35</v>
      </c>
      <c r="B33" s="8" t="s">
        <v>64</v>
      </c>
      <c r="C33" s="8">
        <v>206</v>
      </c>
    </row>
    <row r="34" spans="1:3" x14ac:dyDescent="0.15">
      <c r="A34" s="8">
        <v>36</v>
      </c>
      <c r="B34" s="8" t="s">
        <v>65</v>
      </c>
      <c r="C34" s="8">
        <v>220</v>
      </c>
    </row>
    <row r="35" spans="1:3" x14ac:dyDescent="0.15">
      <c r="A35" s="8">
        <v>37</v>
      </c>
      <c r="B35" s="8" t="s">
        <v>66</v>
      </c>
      <c r="C35" s="8">
        <v>229</v>
      </c>
    </row>
    <row r="36" spans="1:3" ht="25.5" x14ac:dyDescent="0.15">
      <c r="A36" s="8">
        <v>38</v>
      </c>
      <c r="B36" s="8" t="s">
        <v>67</v>
      </c>
      <c r="C36" s="8">
        <v>165</v>
      </c>
    </row>
    <row r="37" spans="1:3" ht="25.5" x14ac:dyDescent="0.15">
      <c r="A37" s="8">
        <v>39</v>
      </c>
      <c r="B37" s="8" t="s">
        <v>68</v>
      </c>
      <c r="C37" s="8">
        <v>200</v>
      </c>
    </row>
    <row r="38" spans="1:3" ht="25.5" x14ac:dyDescent="0.15">
      <c r="A38" s="8">
        <v>40</v>
      </c>
      <c r="B38" s="8" t="s">
        <v>69</v>
      </c>
      <c r="C38" s="8">
        <v>40</v>
      </c>
    </row>
    <row r="39" spans="1:3" ht="25.5" x14ac:dyDescent="0.15">
      <c r="A39" s="8">
        <v>41</v>
      </c>
      <c r="B39" s="8" t="s">
        <v>70</v>
      </c>
      <c r="C39" s="8">
        <v>41</v>
      </c>
    </row>
    <row r="40" spans="1:3" ht="25.5" x14ac:dyDescent="0.15">
      <c r="A40" s="8">
        <v>42</v>
      </c>
      <c r="B40" s="8" t="s">
        <v>71</v>
      </c>
      <c r="C40" s="8">
        <v>263</v>
      </c>
    </row>
    <row r="41" spans="1:3" x14ac:dyDescent="0.15">
      <c r="A41" s="8">
        <v>43</v>
      </c>
      <c r="B41" s="8" t="s">
        <v>72</v>
      </c>
      <c r="C41" s="8">
        <v>211</v>
      </c>
    </row>
    <row r="42" spans="1:3" x14ac:dyDescent="0.15">
      <c r="A42" s="8">
        <v>44</v>
      </c>
      <c r="B42" s="8" t="s">
        <v>73</v>
      </c>
      <c r="C42" s="8">
        <v>207</v>
      </c>
    </row>
    <row r="43" spans="1:3" ht="25.5" x14ac:dyDescent="0.15">
      <c r="A43" s="8">
        <v>45</v>
      </c>
      <c r="B43" s="8" t="s">
        <v>74</v>
      </c>
      <c r="C43" s="8">
        <v>236</v>
      </c>
    </row>
    <row r="44" spans="1:3" x14ac:dyDescent="0.15">
      <c r="A44" s="8">
        <v>46</v>
      </c>
      <c r="B44" s="8" t="s">
        <v>75</v>
      </c>
      <c r="C44" s="8">
        <v>239</v>
      </c>
    </row>
    <row r="45" spans="1:3" ht="25.5" x14ac:dyDescent="0.15">
      <c r="A45" s="8">
        <v>47</v>
      </c>
      <c r="B45" s="8" t="s">
        <v>76</v>
      </c>
      <c r="C45" s="8">
        <v>210</v>
      </c>
    </row>
    <row r="46" spans="1:3" x14ac:dyDescent="0.15">
      <c r="A46" s="8">
        <v>48</v>
      </c>
      <c r="B46" s="8" t="s">
        <v>77</v>
      </c>
      <c r="C46" s="8">
        <v>64</v>
      </c>
    </row>
    <row r="47" spans="1:3" x14ac:dyDescent="0.15">
      <c r="A47" s="8">
        <v>49</v>
      </c>
      <c r="B47" s="8" t="s">
        <v>78</v>
      </c>
      <c r="C47" s="8">
        <v>64</v>
      </c>
    </row>
    <row r="48" spans="1:3" x14ac:dyDescent="0.15">
      <c r="A48" s="8">
        <v>50</v>
      </c>
      <c r="B48" s="8" t="s">
        <v>79</v>
      </c>
      <c r="C48" s="8">
        <v>64</v>
      </c>
    </row>
    <row r="49" spans="1:3" x14ac:dyDescent="0.15">
      <c r="A49" s="8">
        <v>51</v>
      </c>
      <c r="B49" s="8" t="s">
        <v>80</v>
      </c>
      <c r="C49" s="8">
        <v>64</v>
      </c>
    </row>
    <row r="50" spans="1:3" x14ac:dyDescent="0.15">
      <c r="A50" s="8">
        <v>52</v>
      </c>
      <c r="B50" s="8" t="s">
        <v>81</v>
      </c>
      <c r="C50" s="8">
        <v>64</v>
      </c>
    </row>
    <row r="51" spans="1:3" x14ac:dyDescent="0.15">
      <c r="A51" s="8">
        <v>53</v>
      </c>
      <c r="B51" s="8" t="s">
        <v>82</v>
      </c>
      <c r="C51" s="8">
        <v>64</v>
      </c>
    </row>
    <row r="52" spans="1:3" x14ac:dyDescent="0.15">
      <c r="A52" s="8">
        <v>54</v>
      </c>
      <c r="B52" s="8" t="s">
        <v>83</v>
      </c>
      <c r="C52" s="8">
        <v>64</v>
      </c>
    </row>
    <row r="53" spans="1:3" x14ac:dyDescent="0.15">
      <c r="A53" s="8">
        <v>55</v>
      </c>
      <c r="B53" s="8" t="s">
        <v>84</v>
      </c>
      <c r="C53" s="8">
        <v>64</v>
      </c>
    </row>
    <row r="54" spans="1:3" x14ac:dyDescent="0.15">
      <c r="A54" s="8">
        <v>56</v>
      </c>
      <c r="B54" s="8" t="s">
        <v>85</v>
      </c>
      <c r="C54" s="8">
        <v>67</v>
      </c>
    </row>
    <row r="55" spans="1:3" x14ac:dyDescent="0.15">
      <c r="A55" s="8">
        <v>57</v>
      </c>
      <c r="B55" s="8" t="s">
        <v>86</v>
      </c>
      <c r="C55" s="8">
        <v>67</v>
      </c>
    </row>
    <row r="56" spans="1:3" x14ac:dyDescent="0.15">
      <c r="A56" s="8">
        <v>58</v>
      </c>
      <c r="B56" s="8" t="s">
        <v>87</v>
      </c>
      <c r="C56" s="8">
        <v>66</v>
      </c>
    </row>
    <row r="57" spans="1:3" x14ac:dyDescent="0.15">
      <c r="A57" s="8">
        <v>59</v>
      </c>
      <c r="B57" s="8" t="s">
        <v>88</v>
      </c>
      <c r="C57" s="8">
        <v>66</v>
      </c>
    </row>
    <row r="58" spans="1:3" ht="25.5" x14ac:dyDescent="0.15">
      <c r="A58" s="8">
        <v>60</v>
      </c>
      <c r="B58" s="8" t="s">
        <v>89</v>
      </c>
      <c r="C58" s="8">
        <v>73</v>
      </c>
    </row>
    <row r="59" spans="1:3" x14ac:dyDescent="0.15">
      <c r="A59" s="8">
        <v>61</v>
      </c>
      <c r="B59" s="8" t="s">
        <v>90</v>
      </c>
      <c r="C59" s="8">
        <v>214</v>
      </c>
    </row>
    <row r="60" spans="1:3" ht="25.5" x14ac:dyDescent="0.15">
      <c r="A60" s="8">
        <v>62</v>
      </c>
      <c r="B60" s="8" t="s">
        <v>91</v>
      </c>
      <c r="C60" s="8">
        <v>198</v>
      </c>
    </row>
    <row r="61" spans="1:3" ht="25.5" x14ac:dyDescent="0.15">
      <c r="A61" s="8">
        <v>63</v>
      </c>
      <c r="B61" s="8" t="s">
        <v>92</v>
      </c>
      <c r="C61" s="8">
        <v>211</v>
      </c>
    </row>
    <row r="62" spans="1:3" ht="25.5" x14ac:dyDescent="0.15">
      <c r="A62" s="8">
        <v>64</v>
      </c>
      <c r="B62" s="8" t="s">
        <v>93</v>
      </c>
      <c r="C62" s="8">
        <v>73</v>
      </c>
    </row>
    <row r="63" spans="1:3" ht="25.5" x14ac:dyDescent="0.15">
      <c r="A63" s="8">
        <v>65</v>
      </c>
      <c r="B63" s="8" t="s">
        <v>94</v>
      </c>
      <c r="C63" s="8">
        <v>67</v>
      </c>
    </row>
    <row r="64" spans="1:3" ht="25.5" x14ac:dyDescent="0.15">
      <c r="A64" s="8">
        <v>66</v>
      </c>
      <c r="B64" s="8" t="s">
        <v>95</v>
      </c>
      <c r="C64" s="8">
        <v>218</v>
      </c>
    </row>
    <row r="65" spans="1:3" ht="25.5" x14ac:dyDescent="0.15">
      <c r="A65" s="8">
        <v>67</v>
      </c>
      <c r="B65" s="8" t="s">
        <v>96</v>
      </c>
      <c r="C65" s="8">
        <v>217</v>
      </c>
    </row>
    <row r="66" spans="1:3" ht="25.5" x14ac:dyDescent="0.15">
      <c r="A66" s="8">
        <v>68</v>
      </c>
      <c r="B66" s="8" t="s">
        <v>97</v>
      </c>
      <c r="C66" s="8">
        <v>234</v>
      </c>
    </row>
    <row r="67" spans="1:3" ht="25.5" x14ac:dyDescent="0.15">
      <c r="A67" s="8">
        <v>69</v>
      </c>
      <c r="B67" s="8" t="s">
        <v>98</v>
      </c>
      <c r="C67" s="8">
        <v>200</v>
      </c>
    </row>
    <row r="68" spans="1:3" x14ac:dyDescent="0.15">
      <c r="A68" s="8">
        <v>70</v>
      </c>
      <c r="B68" s="8" t="s">
        <v>99</v>
      </c>
      <c r="C68" s="8">
        <v>165</v>
      </c>
    </row>
    <row r="69" spans="1:3" ht="25.5" x14ac:dyDescent="0.15">
      <c r="A69" s="8">
        <v>71</v>
      </c>
      <c r="B69" s="8" t="s">
        <v>100</v>
      </c>
      <c r="C69" s="8">
        <v>247</v>
      </c>
    </row>
    <row r="70" spans="1:3" ht="38.25" x14ac:dyDescent="0.15">
      <c r="A70" s="8">
        <v>72</v>
      </c>
      <c r="B70" s="8" t="s">
        <v>101</v>
      </c>
      <c r="C70" s="8">
        <v>224</v>
      </c>
    </row>
    <row r="71" spans="1:3" x14ac:dyDescent="0.15">
      <c r="A71" s="8">
        <v>73</v>
      </c>
      <c r="B71" s="8" t="s">
        <v>102</v>
      </c>
      <c r="C71" s="8">
        <v>219</v>
      </c>
    </row>
    <row r="72" spans="1:3" x14ac:dyDescent="0.15">
      <c r="A72" s="8">
        <v>74</v>
      </c>
      <c r="B72" s="8" t="s">
        <v>103</v>
      </c>
      <c r="C72" s="8">
        <v>216</v>
      </c>
    </row>
    <row r="73" spans="1:3" x14ac:dyDescent="0.15">
      <c r="A73" s="8">
        <v>75</v>
      </c>
      <c r="B73" s="8" t="s">
        <v>104</v>
      </c>
      <c r="C73" s="8">
        <v>196</v>
      </c>
    </row>
    <row r="74" spans="1:3" x14ac:dyDescent="0.15">
      <c r="A74" s="8">
        <v>76</v>
      </c>
      <c r="B74" s="8" t="s">
        <v>105</v>
      </c>
      <c r="C74" s="8">
        <v>501</v>
      </c>
    </row>
    <row r="75" spans="1:3" x14ac:dyDescent="0.15">
      <c r="A75" s="8">
        <v>77</v>
      </c>
      <c r="B75" s="8" t="s">
        <v>106</v>
      </c>
      <c r="C75" s="8">
        <v>225</v>
      </c>
    </row>
    <row r="76" spans="1:3" ht="89.25" x14ac:dyDescent="0.15">
      <c r="A76" s="8">
        <v>78</v>
      </c>
      <c r="B76" s="8" t="s">
        <v>107</v>
      </c>
      <c r="C76" s="8" t="s">
        <v>108</v>
      </c>
    </row>
    <row r="77" spans="1:3" x14ac:dyDescent="0.15">
      <c r="A77" s="8">
        <v>79</v>
      </c>
      <c r="B77" s="8" t="s">
        <v>109</v>
      </c>
      <c r="C77" s="8">
        <v>233</v>
      </c>
    </row>
    <row r="78" spans="1:3" ht="25.5" x14ac:dyDescent="0.15">
      <c r="A78" s="8">
        <v>80</v>
      </c>
      <c r="B78" s="8" t="s">
        <v>110</v>
      </c>
      <c r="C78" s="8">
        <v>67</v>
      </c>
    </row>
    <row r="79" spans="1:3" x14ac:dyDescent="0.15">
      <c r="A79" s="8">
        <v>81</v>
      </c>
      <c r="B79" s="8" t="s">
        <v>111</v>
      </c>
      <c r="C79" s="8">
        <v>165</v>
      </c>
    </row>
    <row r="80" spans="1:3" x14ac:dyDescent="0.15">
      <c r="A80" s="8">
        <v>82</v>
      </c>
      <c r="B80" s="8" t="s">
        <v>112</v>
      </c>
      <c r="C80" s="8">
        <v>197</v>
      </c>
    </row>
    <row r="81" spans="1:3" ht="38.25" x14ac:dyDescent="0.15">
      <c r="A81" s="8">
        <v>83</v>
      </c>
      <c r="B81" s="8" t="s">
        <v>113</v>
      </c>
      <c r="C81" s="8">
        <v>255</v>
      </c>
    </row>
    <row r="82" spans="1:3" ht="38.25" x14ac:dyDescent="0.15">
      <c r="A82" s="8">
        <v>84</v>
      </c>
      <c r="B82" s="9" t="s">
        <v>5</v>
      </c>
      <c r="C82" s="8">
        <v>244</v>
      </c>
    </row>
    <row r="83" spans="1:3" ht="38.25" x14ac:dyDescent="0.15">
      <c r="A83" s="8">
        <v>85</v>
      </c>
      <c r="B83" s="8" t="s">
        <v>114</v>
      </c>
      <c r="C83" s="8">
        <v>710</v>
      </c>
    </row>
    <row r="84" spans="1:3" ht="25.5" x14ac:dyDescent="0.15">
      <c r="A84" s="8">
        <v>86</v>
      </c>
      <c r="B84" s="8" t="s">
        <v>115</v>
      </c>
      <c r="C84" s="8">
        <v>166</v>
      </c>
    </row>
    <row r="85" spans="1:3" x14ac:dyDescent="0.15">
      <c r="A85" s="8">
        <v>87</v>
      </c>
      <c r="B85" s="8" t="s">
        <v>116</v>
      </c>
      <c r="C85" s="8">
        <v>193</v>
      </c>
    </row>
    <row r="86" spans="1:3" ht="25.5" x14ac:dyDescent="0.15">
      <c r="A86" s="8">
        <v>88</v>
      </c>
      <c r="B86" s="8" t="s">
        <v>117</v>
      </c>
      <c r="C86" s="8">
        <v>251</v>
      </c>
    </row>
    <row r="87" spans="1:3" ht="25.5" x14ac:dyDescent="0.15">
      <c r="A87" s="8">
        <v>89</v>
      </c>
      <c r="B87" s="8" t="s">
        <v>118</v>
      </c>
      <c r="C87" s="8">
        <v>215</v>
      </c>
    </row>
    <row r="88" spans="1:3" ht="38.25" x14ac:dyDescent="0.15">
      <c r="A88" s="8">
        <v>90</v>
      </c>
      <c r="B88" s="8" t="s">
        <v>119</v>
      </c>
      <c r="C88" s="8">
        <v>212</v>
      </c>
    </row>
    <row r="89" spans="1:3" ht="25.5" x14ac:dyDescent="0.15">
      <c r="A89" s="8">
        <v>91</v>
      </c>
      <c r="B89" s="8" t="s">
        <v>120</v>
      </c>
      <c r="C89" s="8">
        <v>227</v>
      </c>
    </row>
    <row r="90" spans="1:3" x14ac:dyDescent="0.15">
      <c r="A90" s="8">
        <v>92</v>
      </c>
      <c r="B90" s="8" t="s">
        <v>121</v>
      </c>
      <c r="C90" s="8">
        <v>711</v>
      </c>
    </row>
    <row r="91" spans="1:3" ht="38.25" x14ac:dyDescent="0.15">
      <c r="A91" s="8">
        <v>93</v>
      </c>
      <c r="B91" s="8" t="s">
        <v>122</v>
      </c>
      <c r="C91" s="8">
        <v>186</v>
      </c>
    </row>
    <row r="92" spans="1:3" ht="25.5" x14ac:dyDescent="0.15">
      <c r="A92" s="8">
        <v>94</v>
      </c>
      <c r="B92" s="8" t="s">
        <v>123</v>
      </c>
      <c r="C92" s="8">
        <v>247</v>
      </c>
    </row>
    <row r="93" spans="1:3" ht="38.25" x14ac:dyDescent="0.15">
      <c r="A93" s="8">
        <v>95</v>
      </c>
      <c r="B93" s="8" t="s">
        <v>124</v>
      </c>
      <c r="C93" s="8">
        <v>179</v>
      </c>
    </row>
    <row r="94" spans="1:3" ht="38.25" x14ac:dyDescent="0.15">
      <c r="A94" s="8">
        <v>96</v>
      </c>
      <c r="B94" s="8" t="s">
        <v>125</v>
      </c>
      <c r="C94" s="8">
        <v>180</v>
      </c>
    </row>
    <row r="95" spans="1:3" ht="25.5" x14ac:dyDescent="0.15">
      <c r="A95" s="8">
        <v>97</v>
      </c>
      <c r="B95" s="8" t="s">
        <v>126</v>
      </c>
      <c r="C95" s="8">
        <v>238</v>
      </c>
    </row>
    <row r="96" spans="1:3" ht="38.25" x14ac:dyDescent="0.15">
      <c r="A96" s="8">
        <v>98</v>
      </c>
      <c r="B96" s="8" t="s">
        <v>127</v>
      </c>
      <c r="C96" s="8">
        <v>184</v>
      </c>
    </row>
    <row r="97" spans="1:3" x14ac:dyDescent="0.15">
      <c r="A97" s="8">
        <v>99</v>
      </c>
      <c r="B97" s="8" t="s">
        <v>128</v>
      </c>
      <c r="C97" s="8">
        <v>187</v>
      </c>
    </row>
    <row r="98" spans="1:3" x14ac:dyDescent="0.15">
      <c r="A98" s="8">
        <v>100</v>
      </c>
      <c r="B98" s="8" t="s">
        <v>129</v>
      </c>
      <c r="C98" s="8">
        <v>226</v>
      </c>
    </row>
    <row r="99" spans="1:3" x14ac:dyDescent="0.15">
      <c r="A99" s="8">
        <v>101</v>
      </c>
      <c r="B99" s="8" t="s">
        <v>130</v>
      </c>
      <c r="C99" s="8">
        <v>237</v>
      </c>
    </row>
    <row r="100" spans="1:3" ht="25.5" x14ac:dyDescent="0.15">
      <c r="A100" s="8">
        <v>102</v>
      </c>
      <c r="B100" s="8" t="s">
        <v>131</v>
      </c>
      <c r="C100" s="8" t="s">
        <v>132</v>
      </c>
    </row>
    <row r="101" spans="1:3" ht="38.25" x14ac:dyDescent="0.15">
      <c r="A101" s="8">
        <v>103</v>
      </c>
      <c r="B101" s="8" t="s">
        <v>133</v>
      </c>
      <c r="C101" s="8" t="s">
        <v>134</v>
      </c>
    </row>
    <row r="102" spans="1:3" ht="25.5" x14ac:dyDescent="0.15">
      <c r="A102" s="8">
        <v>104</v>
      </c>
      <c r="B102" s="8" t="s">
        <v>135</v>
      </c>
      <c r="C102" s="8">
        <v>224</v>
      </c>
    </row>
    <row r="103" spans="1:3" x14ac:dyDescent="0.15">
      <c r="A103" s="8">
        <v>105</v>
      </c>
      <c r="B103" s="8" t="s">
        <v>136</v>
      </c>
      <c r="C103" s="8">
        <v>67</v>
      </c>
    </row>
    <row r="104" spans="1:3" ht="25.5" x14ac:dyDescent="0.15">
      <c r="A104" s="8">
        <v>106</v>
      </c>
      <c r="B104" s="8" t="s">
        <v>137</v>
      </c>
      <c r="C104" s="8">
        <v>0</v>
      </c>
    </row>
    <row r="105" spans="1:3" ht="25.5" x14ac:dyDescent="0.15">
      <c r="A105" s="8">
        <v>107</v>
      </c>
      <c r="B105" s="8" t="s">
        <v>7</v>
      </c>
      <c r="C105" s="8">
        <v>252</v>
      </c>
    </row>
    <row r="106" spans="1:3" ht="25.5" x14ac:dyDescent="0.15">
      <c r="A106" s="8">
        <v>108</v>
      </c>
      <c r="B106" s="8" t="s">
        <v>138</v>
      </c>
      <c r="C106" s="8" t="s">
        <v>139</v>
      </c>
    </row>
    <row r="107" spans="1:3" x14ac:dyDescent="0.15">
      <c r="A107" s="8">
        <v>109</v>
      </c>
      <c r="B107" s="8" t="s">
        <v>140</v>
      </c>
      <c r="C107" s="8">
        <v>73</v>
      </c>
    </row>
    <row r="108" spans="1:3" ht="25.5" x14ac:dyDescent="0.15">
      <c r="A108" s="8">
        <v>110</v>
      </c>
      <c r="B108" s="8" t="s">
        <v>141</v>
      </c>
      <c r="C108" s="8">
        <v>41</v>
      </c>
    </row>
    <row r="109" spans="1:3" x14ac:dyDescent="0.15">
      <c r="A109" s="8">
        <v>111</v>
      </c>
      <c r="B109" s="8" t="s">
        <v>142</v>
      </c>
      <c r="C109" s="8">
        <v>76</v>
      </c>
    </row>
    <row r="110" spans="1:3" ht="25.5" x14ac:dyDescent="0.15">
      <c r="A110" s="8">
        <v>112</v>
      </c>
      <c r="B110" s="8" t="s">
        <v>143</v>
      </c>
      <c r="C110" s="8">
        <v>135</v>
      </c>
    </row>
    <row r="111" spans="1:3" x14ac:dyDescent="0.15">
      <c r="A111" s="8">
        <v>113</v>
      </c>
      <c r="B111" s="8" t="s">
        <v>144</v>
      </c>
      <c r="C111" s="8">
        <v>237</v>
      </c>
    </row>
    <row r="112" spans="1:3" x14ac:dyDescent="0.15">
      <c r="A112" s="8">
        <v>114</v>
      </c>
      <c r="B112" s="8" t="s">
        <v>145</v>
      </c>
      <c r="C112" s="8">
        <v>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 CC 6277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Karolayne Vendas</dc:creator>
  <cp:lastModifiedBy>Rafael Financeiro - Heziom</cp:lastModifiedBy>
  <dcterms:created xsi:type="dcterms:W3CDTF">2026-02-03T14:39:21Z</dcterms:created>
  <dcterms:modified xsi:type="dcterms:W3CDTF">2026-02-24T13:28:39Z</dcterms:modified>
</cp:coreProperties>
</file>