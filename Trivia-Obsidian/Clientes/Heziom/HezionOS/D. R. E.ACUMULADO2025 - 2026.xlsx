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joaogabrielnovais/Downloads/"/>
    </mc:Choice>
  </mc:AlternateContent>
  <xr:revisionPtr revIDLastSave="0" documentId="13_ncr:1_{9BBCA96B-9BE4-D248-BE6E-ECDB21A01845}" xr6:coauthVersionLast="47" xr6:coauthVersionMax="47" xr10:uidLastSave="{00000000-0000-0000-0000-000000000000}"/>
  <bookViews>
    <workbookView xWindow="0" yWindow="660" windowWidth="28320" windowHeight="15160" tabRatio="658" firstSheet="8" activeTab="16" xr2:uid="{00000000-000D-0000-FFFF-FFFF00000000}"/>
  </bookViews>
  <sheets>
    <sheet name="Planilha1" sheetId="1" r:id="rId1"/>
    <sheet name="Planilha2" sheetId="2" r:id="rId2"/>
    <sheet name="Planilha3" sheetId="3" r:id="rId3"/>
    <sheet name="Planilha4" sheetId="5" r:id="rId4"/>
    <sheet name="Planilha5" sheetId="7" r:id="rId5"/>
    <sheet name="Planilha6" sheetId="8" r:id="rId6"/>
    <sheet name="Planilha7" sheetId="9" r:id="rId7"/>
    <sheet name="Planilha8" sheetId="10" r:id="rId8"/>
    <sheet name="Planilha9" sheetId="11" r:id="rId9"/>
    <sheet name="Planilha10" sheetId="12" r:id="rId10"/>
    <sheet name="Planilha11" sheetId="13" r:id="rId11"/>
    <sheet name="Planilha12" sheetId="14" r:id="rId12"/>
    <sheet name="2025" sheetId="6" r:id="rId13"/>
    <sheet name="Planilha13" sheetId="15" r:id="rId14"/>
    <sheet name="Planilha14" sheetId="17" r:id="rId15"/>
    <sheet name="2026" sheetId="16" r:id="rId16"/>
    <sheet name="Relatorio" sheetId="4" r:id="rId17"/>
  </sheets>
  <definedNames>
    <definedName name="_xlnm._FilterDatabase" localSheetId="16" hidden="1">Relatorio!$A$6:$A$184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7" i="4" l="1"/>
  <c r="Y176" i="4" l="1"/>
  <c r="V30" i="4"/>
  <c r="Z99" i="4"/>
  <c r="Z68" i="4"/>
  <c r="Z66" i="4"/>
  <c r="Z64" i="4"/>
  <c r="Z56" i="4"/>
  <c r="Z42" i="4"/>
  <c r="Z36" i="4"/>
  <c r="Z29" i="4"/>
  <c r="Z25" i="4"/>
  <c r="Z20" i="4"/>
  <c r="Y7" i="4"/>
  <c r="W179" i="4" l="1"/>
  <c r="W178" i="4"/>
  <c r="W176" i="4"/>
  <c r="W175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2" i="4"/>
  <c r="W150" i="4"/>
  <c r="W148" i="4"/>
  <c r="W147" i="4"/>
  <c r="W146" i="4"/>
  <c r="W144" i="4"/>
  <c r="W143" i="4"/>
  <c r="W141" i="4"/>
  <c r="W139" i="4"/>
  <c r="W138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1" i="4"/>
  <c r="W110" i="4"/>
  <c r="W109" i="4"/>
  <c r="W108" i="4"/>
  <c r="W107" i="4"/>
  <c r="W106" i="4"/>
  <c r="W105" i="4"/>
  <c r="W104" i="4"/>
  <c r="W103" i="4"/>
  <c r="W102" i="4"/>
  <c r="W101" i="4"/>
  <c r="W97" i="4"/>
  <c r="W96" i="4"/>
  <c r="W95" i="4"/>
  <c r="W93" i="4"/>
  <c r="W92" i="4"/>
  <c r="W90" i="4"/>
  <c r="W88" i="4"/>
  <c r="W87" i="4"/>
  <c r="W86" i="4"/>
  <c r="W85" i="4"/>
  <c r="W84" i="4"/>
  <c r="W83" i="4"/>
  <c r="W82" i="4"/>
  <c r="W81" i="4"/>
  <c r="W80" i="4"/>
  <c r="W79" i="4"/>
  <c r="W77" i="4"/>
  <c r="W75" i="4"/>
  <c r="W74" i="4"/>
  <c r="W73" i="4"/>
  <c r="W72" i="4"/>
  <c r="W70" i="4"/>
  <c r="W54" i="4"/>
  <c r="W53" i="4"/>
  <c r="W52" i="4"/>
  <c r="W51" i="4"/>
  <c r="W50" i="4"/>
  <c r="W48" i="4"/>
  <c r="W47" i="4"/>
  <c r="W46" i="4"/>
  <c r="W45" i="4"/>
  <c r="W44" i="4"/>
  <c r="W40" i="4"/>
  <c r="W38" i="4"/>
  <c r="W34" i="4"/>
  <c r="W33" i="4"/>
  <c r="W32" i="4"/>
  <c r="W31" i="4"/>
  <c r="W27" i="4"/>
  <c r="W23" i="4"/>
  <c r="W22" i="4"/>
  <c r="W18" i="4"/>
  <c r="W17" i="4"/>
  <c r="W16" i="4"/>
  <c r="W15" i="4"/>
  <c r="W14" i="4"/>
  <c r="W12" i="4"/>
  <c r="W11" i="4"/>
  <c r="W10" i="4"/>
  <c r="W9" i="4"/>
  <c r="W8" i="4"/>
  <c r="W181" i="4"/>
  <c r="W180" i="4"/>
  <c r="W153" i="4"/>
  <c r="W151" i="4"/>
  <c r="W149" i="4"/>
  <c r="W145" i="4"/>
  <c r="W142" i="4"/>
  <c r="W140" i="4"/>
  <c r="W137" i="4"/>
  <c r="W100" i="4"/>
  <c r="W98" i="4"/>
  <c r="W94" i="4"/>
  <c r="W91" i="4"/>
  <c r="W89" i="4"/>
  <c r="W78" i="4"/>
  <c r="W76" i="4"/>
  <c r="W71" i="4"/>
  <c r="W69" i="4"/>
  <c r="W67" i="4"/>
  <c r="W65" i="4"/>
  <c r="W63" i="4"/>
  <c r="W55" i="4"/>
  <c r="W49" i="4"/>
  <c r="W43" i="4"/>
  <c r="W41" i="4"/>
  <c r="W39" i="4"/>
  <c r="W37" i="4"/>
  <c r="W35" i="4"/>
  <c r="W30" i="4"/>
  <c r="W28" i="4"/>
  <c r="W26" i="4"/>
  <c r="W24" i="4"/>
  <c r="W21" i="4"/>
  <c r="W19" i="4"/>
  <c r="W13" i="4"/>
  <c r="W7" i="4"/>
  <c r="V7" i="4"/>
  <c r="T7" i="4"/>
  <c r="Z7" i="4" l="1"/>
  <c r="Y181" i="4"/>
  <c r="Y180" i="4"/>
  <c r="Y179" i="4"/>
  <c r="Y178" i="4"/>
  <c r="Y177" i="4"/>
  <c r="Y175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7" i="4"/>
  <c r="Y65" i="4"/>
  <c r="Y63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1" i="4"/>
  <c r="Y40" i="4"/>
  <c r="Y39" i="4"/>
  <c r="Y38" i="4"/>
  <c r="Y37" i="4"/>
  <c r="Y35" i="4"/>
  <c r="Y34" i="4"/>
  <c r="Y33" i="4"/>
  <c r="Y32" i="4"/>
  <c r="Y31" i="4"/>
  <c r="Y30" i="4"/>
  <c r="Z30" i="4" s="1"/>
  <c r="Y28" i="4"/>
  <c r="Y27" i="4"/>
  <c r="Y26" i="4"/>
  <c r="Y24" i="4"/>
  <c r="Y23" i="4"/>
  <c r="Y22" i="4"/>
  <c r="Y21" i="4"/>
  <c r="Y19" i="4"/>
  <c r="Y18" i="4"/>
  <c r="Y17" i="4"/>
  <c r="Y16" i="4"/>
  <c r="Y15" i="4"/>
  <c r="Y14" i="4"/>
  <c r="Y13" i="4"/>
  <c r="Y12" i="4"/>
  <c r="Y11" i="4"/>
  <c r="Y10" i="4"/>
  <c r="Y9" i="4"/>
  <c r="Y8" i="4"/>
  <c r="V179" i="4"/>
  <c r="Z179" i="4" s="1"/>
  <c r="V178" i="4"/>
  <c r="Z178" i="4" s="1"/>
  <c r="V177" i="4"/>
  <c r="Z177" i="4" s="1"/>
  <c r="V176" i="4"/>
  <c r="Z176" i="4" s="1"/>
  <c r="V175" i="4"/>
  <c r="V166" i="4"/>
  <c r="V165" i="4"/>
  <c r="Z165" i="4" s="1"/>
  <c r="V164" i="4"/>
  <c r="Z164" i="4" s="1"/>
  <c r="V163" i="4"/>
  <c r="V162" i="4"/>
  <c r="Z162" i="4" s="1"/>
  <c r="V161" i="4"/>
  <c r="V160" i="4"/>
  <c r="V159" i="4"/>
  <c r="V158" i="4"/>
  <c r="V157" i="4"/>
  <c r="V156" i="4"/>
  <c r="V155" i="4"/>
  <c r="V154" i="4"/>
  <c r="V152" i="4"/>
  <c r="V150" i="4"/>
  <c r="V148" i="4"/>
  <c r="V147" i="4"/>
  <c r="V146" i="4"/>
  <c r="V144" i="4"/>
  <c r="V143" i="4"/>
  <c r="V141" i="4"/>
  <c r="V139" i="4"/>
  <c r="V138" i="4"/>
  <c r="V136" i="4"/>
  <c r="V135" i="4"/>
  <c r="V134" i="4"/>
  <c r="V133" i="4"/>
  <c r="Z133" i="4" s="1"/>
  <c r="V132" i="4"/>
  <c r="Z132" i="4" s="1"/>
  <c r="V131" i="4"/>
  <c r="Z131" i="4" s="1"/>
  <c r="V130" i="4"/>
  <c r="Z130" i="4" s="1"/>
  <c r="V129" i="4"/>
  <c r="Z129" i="4" s="1"/>
  <c r="V128" i="4"/>
  <c r="Z128" i="4" s="1"/>
  <c r="V127" i="4"/>
  <c r="V126" i="4"/>
  <c r="V125" i="4"/>
  <c r="Z125" i="4" s="1"/>
  <c r="V124" i="4"/>
  <c r="Z124" i="4" s="1"/>
  <c r="V123" i="4"/>
  <c r="Z123" i="4" s="1"/>
  <c r="V122" i="4"/>
  <c r="Z122" i="4" s="1"/>
  <c r="V121" i="4"/>
  <c r="Z121" i="4" s="1"/>
  <c r="V120" i="4"/>
  <c r="Z120" i="4" s="1"/>
  <c r="V111" i="4"/>
  <c r="V110" i="4"/>
  <c r="V109" i="4"/>
  <c r="Z109" i="4" s="1"/>
  <c r="V108" i="4"/>
  <c r="Z108" i="4" s="1"/>
  <c r="V107" i="4"/>
  <c r="V106" i="4"/>
  <c r="V105" i="4"/>
  <c r="V104" i="4"/>
  <c r="V103" i="4"/>
  <c r="V102" i="4"/>
  <c r="V101" i="4"/>
  <c r="V97" i="4"/>
  <c r="V96" i="4"/>
  <c r="V95" i="4"/>
  <c r="V93" i="4"/>
  <c r="V92" i="4"/>
  <c r="V90" i="4"/>
  <c r="V88" i="4"/>
  <c r="V87" i="4"/>
  <c r="V86" i="4"/>
  <c r="V85" i="4"/>
  <c r="V84" i="4"/>
  <c r="Z84" i="4" s="1"/>
  <c r="V83" i="4"/>
  <c r="Z83" i="4" s="1"/>
  <c r="V82" i="4"/>
  <c r="Z82" i="4" s="1"/>
  <c r="V81" i="4"/>
  <c r="Z81" i="4" s="1"/>
  <c r="V80" i="4"/>
  <c r="Z80" i="4" s="1"/>
  <c r="V79" i="4"/>
  <c r="Z79" i="4" s="1"/>
  <c r="V77" i="4"/>
  <c r="V75" i="4"/>
  <c r="V74" i="4"/>
  <c r="Z74" i="4" s="1"/>
  <c r="V73" i="4"/>
  <c r="Z73" i="4" s="1"/>
  <c r="V72" i="4"/>
  <c r="V70" i="4"/>
  <c r="V54" i="4"/>
  <c r="V53" i="4"/>
  <c r="V52" i="4"/>
  <c r="V51" i="4"/>
  <c r="V50" i="4"/>
  <c r="V48" i="4"/>
  <c r="V47" i="4"/>
  <c r="V46" i="4"/>
  <c r="V45" i="4"/>
  <c r="V44" i="4"/>
  <c r="V40" i="4"/>
  <c r="V38" i="4"/>
  <c r="V34" i="4"/>
  <c r="V33" i="4"/>
  <c r="V32" i="4"/>
  <c r="V31" i="4"/>
  <c r="V27" i="4"/>
  <c r="V23" i="4"/>
  <c r="V22" i="4"/>
  <c r="V18" i="4"/>
  <c r="V17" i="4"/>
  <c r="V16" i="4"/>
  <c r="V15" i="4"/>
  <c r="V14" i="4"/>
  <c r="V12" i="4"/>
  <c r="V11" i="4"/>
  <c r="V10" i="4"/>
  <c r="V9" i="4"/>
  <c r="V8" i="4"/>
  <c r="V181" i="4"/>
  <c r="Z181" i="4" s="1"/>
  <c r="V180" i="4"/>
  <c r="Z180" i="4" s="1"/>
  <c r="V153" i="4"/>
  <c r="V151" i="4"/>
  <c r="V149" i="4"/>
  <c r="V145" i="4"/>
  <c r="V142" i="4"/>
  <c r="V140" i="4"/>
  <c r="V137" i="4"/>
  <c r="V100" i="4"/>
  <c r="V98" i="4"/>
  <c r="V94" i="4"/>
  <c r="V91" i="4"/>
  <c r="V89" i="4"/>
  <c r="V78" i="4"/>
  <c r="Z78" i="4" s="1"/>
  <c r="V76" i="4"/>
  <c r="Z76" i="4" s="1"/>
  <c r="V71" i="4"/>
  <c r="Z71" i="4" s="1"/>
  <c r="V69" i="4"/>
  <c r="V67" i="4"/>
  <c r="Z67" i="4" s="1"/>
  <c r="V65" i="4"/>
  <c r="Z65" i="4" s="1"/>
  <c r="V63" i="4"/>
  <c r="Z63" i="4" s="1"/>
  <c r="V55" i="4"/>
  <c r="Z55" i="4" s="1"/>
  <c r="V49" i="4"/>
  <c r="V43" i="4"/>
  <c r="V41" i="4"/>
  <c r="V39" i="4"/>
  <c r="V37" i="4"/>
  <c r="V35" i="4"/>
  <c r="V28" i="4"/>
  <c r="V26" i="4"/>
  <c r="V24" i="4"/>
  <c r="V21" i="4"/>
  <c r="V19" i="4"/>
  <c r="V13" i="4"/>
  <c r="Z110" i="4" l="1"/>
  <c r="Z126" i="4"/>
  <c r="Z127" i="4"/>
  <c r="Z166" i="4"/>
  <c r="Z69" i="4"/>
  <c r="Z175" i="4"/>
  <c r="Z77" i="4"/>
  <c r="Z106" i="4"/>
  <c r="Z161" i="4"/>
  <c r="Z107" i="4"/>
  <c r="Z163" i="4"/>
  <c r="Z49" i="4"/>
  <c r="Z91" i="4"/>
  <c r="Z149" i="4"/>
  <c r="Z140" i="4"/>
  <c r="Z38" i="4"/>
  <c r="Z37" i="4"/>
  <c r="Z98" i="4"/>
  <c r="Z100" i="4"/>
  <c r="Z40" i="4"/>
  <c r="Z89" i="4"/>
  <c r="Z134" i="4"/>
  <c r="Z136" i="4"/>
  <c r="Z39" i="4"/>
  <c r="Z34" i="4"/>
  <c r="Z151" i="4"/>
  <c r="Z135" i="4"/>
  <c r="Z85" i="4"/>
  <c r="Z86" i="4"/>
  <c r="Z137" i="4"/>
  <c r="Z72" i="4"/>
  <c r="Z153" i="4"/>
  <c r="Z138" i="4"/>
  <c r="Z139" i="4"/>
  <c r="Z90" i="4"/>
  <c r="Z70" i="4"/>
  <c r="Z87" i="4"/>
  <c r="Z88" i="4"/>
  <c r="Z52" i="4"/>
  <c r="Z45" i="4"/>
  <c r="Z48" i="4"/>
  <c r="Z50" i="4"/>
  <c r="Z43" i="4"/>
  <c r="Z111" i="4"/>
  <c r="Z94" i="4"/>
  <c r="Z47" i="4"/>
  <c r="Z46" i="4"/>
  <c r="Z145" i="4"/>
  <c r="Z14" i="4"/>
  <c r="Z148" i="4"/>
  <c r="Z75" i="4"/>
  <c r="Z9" i="4"/>
  <c r="Z141" i="4"/>
  <c r="Z10" i="4"/>
  <c r="Z143" i="4"/>
  <c r="Z11" i="4"/>
  <c r="Z144" i="4"/>
  <c r="Z146" i="4"/>
  <c r="Z13" i="4"/>
  <c r="Z142" i="4"/>
  <c r="Z12" i="4"/>
  <c r="Z44" i="4"/>
  <c r="Z54" i="4"/>
  <c r="Z147" i="4"/>
  <c r="Z15" i="4"/>
  <c r="Z92" i="4"/>
  <c r="Z19" i="4"/>
  <c r="Z93" i="4"/>
  <c r="Z21" i="4"/>
  <c r="Z8" i="4"/>
  <c r="Z17" i="4"/>
  <c r="Z95" i="4"/>
  <c r="Z24" i="4"/>
  <c r="Z96" i="4"/>
  <c r="Z97" i="4"/>
  <c r="Z23" i="4"/>
  <c r="Z27" i="4"/>
  <c r="Z102" i="4"/>
  <c r="Z157" i="4"/>
  <c r="Z18" i="4"/>
  <c r="Z155" i="4"/>
  <c r="Z31" i="4"/>
  <c r="Z103" i="4"/>
  <c r="Z158" i="4"/>
  <c r="Z16" i="4"/>
  <c r="Z150" i="4"/>
  <c r="Z152" i="4"/>
  <c r="Z154" i="4"/>
  <c r="Z22" i="4"/>
  <c r="Z28" i="4"/>
  <c r="Z101" i="4"/>
  <c r="Z32" i="4"/>
  <c r="Z104" i="4"/>
  <c r="Z159" i="4"/>
  <c r="Z51" i="4"/>
  <c r="Z53" i="4"/>
  <c r="Z26" i="4"/>
  <c r="Z156" i="4"/>
  <c r="Z35" i="4"/>
  <c r="Z41" i="4"/>
  <c r="Z33" i="4"/>
  <c r="Z105" i="4"/>
  <c r="Z160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T142" i="4"/>
  <c r="T134" i="4" l="1"/>
  <c r="S134" i="4"/>
  <c r="R134" i="4"/>
  <c r="Q134" i="4"/>
  <c r="P134" i="4"/>
  <c r="O134" i="4"/>
  <c r="N134" i="4"/>
  <c r="M134" i="4"/>
  <c r="L134" i="4"/>
  <c r="K134" i="4"/>
  <c r="J134" i="4"/>
  <c r="I134" i="4"/>
  <c r="O140" i="4" l="1"/>
  <c r="O143" i="4"/>
  <c r="N142" i="4"/>
  <c r="T179" i="4" l="1"/>
  <c r="T178" i="4"/>
  <c r="T177" i="4"/>
  <c r="T176" i="4"/>
  <c r="T175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2" i="4"/>
  <c r="T150" i="4"/>
  <c r="T148" i="4"/>
  <c r="T147" i="4"/>
  <c r="T146" i="4"/>
  <c r="T144" i="4"/>
  <c r="T143" i="4"/>
  <c r="T141" i="4"/>
  <c r="T139" i="4"/>
  <c r="T138" i="4"/>
  <c r="T136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1" i="4"/>
  <c r="T110" i="4"/>
  <c r="T109" i="4"/>
  <c r="T108" i="4"/>
  <c r="T107" i="4"/>
  <c r="T106" i="4"/>
  <c r="T105" i="4"/>
  <c r="T104" i="4"/>
  <c r="T103" i="4"/>
  <c r="T102" i="4"/>
  <c r="T101" i="4"/>
  <c r="T97" i="4"/>
  <c r="T96" i="4"/>
  <c r="T95" i="4"/>
  <c r="T93" i="4"/>
  <c r="T92" i="4"/>
  <c r="T90" i="4"/>
  <c r="T88" i="4"/>
  <c r="T87" i="4"/>
  <c r="T86" i="4"/>
  <c r="T85" i="4"/>
  <c r="T84" i="4"/>
  <c r="T83" i="4"/>
  <c r="T82" i="4"/>
  <c r="T81" i="4"/>
  <c r="T80" i="4"/>
  <c r="T79" i="4"/>
  <c r="T77" i="4"/>
  <c r="T75" i="4"/>
  <c r="T74" i="4"/>
  <c r="T73" i="4"/>
  <c r="T72" i="4"/>
  <c r="T70" i="4"/>
  <c r="T54" i="4"/>
  <c r="T53" i="4"/>
  <c r="T52" i="4"/>
  <c r="T51" i="4"/>
  <c r="T50" i="4"/>
  <c r="T48" i="4"/>
  <c r="T47" i="4"/>
  <c r="T46" i="4"/>
  <c r="T45" i="4"/>
  <c r="T44" i="4"/>
  <c r="T40" i="4"/>
  <c r="T38" i="4"/>
  <c r="T34" i="4"/>
  <c r="T33" i="4"/>
  <c r="T32" i="4"/>
  <c r="T31" i="4"/>
  <c r="T27" i="4"/>
  <c r="T23" i="4"/>
  <c r="T22" i="4"/>
  <c r="T18" i="4"/>
  <c r="T17" i="4"/>
  <c r="T16" i="4"/>
  <c r="T15" i="4"/>
  <c r="T14" i="4"/>
  <c r="T12" i="4"/>
  <c r="T11" i="4"/>
  <c r="T10" i="4"/>
  <c r="T9" i="4"/>
  <c r="T8" i="4"/>
  <c r="T181" i="4"/>
  <c r="T180" i="4"/>
  <c r="T153" i="4"/>
  <c r="T151" i="4"/>
  <c r="T149" i="4"/>
  <c r="T145" i="4"/>
  <c r="T140" i="4"/>
  <c r="T137" i="4"/>
  <c r="T100" i="4"/>
  <c r="T98" i="4"/>
  <c r="T94" i="4"/>
  <c r="T91" i="4"/>
  <c r="T89" i="4"/>
  <c r="T78" i="4"/>
  <c r="T76" i="4"/>
  <c r="T71" i="4"/>
  <c r="T69" i="4"/>
  <c r="T67" i="4"/>
  <c r="T65" i="4"/>
  <c r="T63" i="4"/>
  <c r="T55" i="4"/>
  <c r="T49" i="4"/>
  <c r="T43" i="4"/>
  <c r="T41" i="4"/>
  <c r="T39" i="4"/>
  <c r="T37" i="4"/>
  <c r="T35" i="4"/>
  <c r="T30" i="4"/>
  <c r="T28" i="4"/>
  <c r="T26" i="4"/>
  <c r="T24" i="4"/>
  <c r="T21" i="4"/>
  <c r="T19" i="4"/>
  <c r="T13" i="4"/>
  <c r="S179" i="4" l="1"/>
  <c r="S178" i="4"/>
  <c r="S177" i="4"/>
  <c r="S176" i="4"/>
  <c r="S175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2" i="4"/>
  <c r="S150" i="4"/>
  <c r="S148" i="4"/>
  <c r="S147" i="4"/>
  <c r="S146" i="4"/>
  <c r="S144" i="4"/>
  <c r="S143" i="4"/>
  <c r="S141" i="4"/>
  <c r="S139" i="4"/>
  <c r="S138" i="4"/>
  <c r="S136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1" i="4"/>
  <c r="S110" i="4"/>
  <c r="S109" i="4"/>
  <c r="S108" i="4"/>
  <c r="S107" i="4"/>
  <c r="S106" i="4"/>
  <c r="S105" i="4"/>
  <c r="S104" i="4"/>
  <c r="S103" i="4"/>
  <c r="S102" i="4"/>
  <c r="S101" i="4"/>
  <c r="S97" i="4"/>
  <c r="S96" i="4"/>
  <c r="S95" i="4"/>
  <c r="S93" i="4"/>
  <c r="S92" i="4"/>
  <c r="S90" i="4"/>
  <c r="S88" i="4"/>
  <c r="S87" i="4"/>
  <c r="S86" i="4"/>
  <c r="S85" i="4"/>
  <c r="S84" i="4"/>
  <c r="S83" i="4"/>
  <c r="S82" i="4"/>
  <c r="S81" i="4"/>
  <c r="S80" i="4"/>
  <c r="S79" i="4"/>
  <c r="S77" i="4"/>
  <c r="S75" i="4"/>
  <c r="S74" i="4"/>
  <c r="S73" i="4"/>
  <c r="S72" i="4"/>
  <c r="S70" i="4"/>
  <c r="S54" i="4"/>
  <c r="S53" i="4"/>
  <c r="S52" i="4"/>
  <c r="S51" i="4"/>
  <c r="S50" i="4"/>
  <c r="S48" i="4"/>
  <c r="S47" i="4"/>
  <c r="S46" i="4"/>
  <c r="S45" i="4"/>
  <c r="S44" i="4"/>
  <c r="S40" i="4"/>
  <c r="S38" i="4"/>
  <c r="S34" i="4"/>
  <c r="S33" i="4"/>
  <c r="S32" i="4"/>
  <c r="S31" i="4"/>
  <c r="S27" i="4"/>
  <c r="S23" i="4"/>
  <c r="S22" i="4"/>
  <c r="S18" i="4"/>
  <c r="S17" i="4"/>
  <c r="S16" i="4"/>
  <c r="S15" i="4"/>
  <c r="S14" i="4"/>
  <c r="S12" i="4"/>
  <c r="S11" i="4"/>
  <c r="S10" i="4"/>
  <c r="S9" i="4"/>
  <c r="S8" i="4"/>
  <c r="S181" i="4"/>
  <c r="S180" i="4"/>
  <c r="S153" i="4"/>
  <c r="S151" i="4"/>
  <c r="S149" i="4"/>
  <c r="S145" i="4"/>
  <c r="S142" i="4"/>
  <c r="S140" i="4"/>
  <c r="S137" i="4"/>
  <c r="S100" i="4"/>
  <c r="S98" i="4"/>
  <c r="S94" i="4"/>
  <c r="S91" i="4"/>
  <c r="S89" i="4"/>
  <c r="S78" i="4"/>
  <c r="S76" i="4"/>
  <c r="S71" i="4"/>
  <c r="S69" i="4"/>
  <c r="S67" i="4"/>
  <c r="S65" i="4"/>
  <c r="S63" i="4"/>
  <c r="S55" i="4"/>
  <c r="S49" i="4"/>
  <c r="S43" i="4"/>
  <c r="S41" i="4"/>
  <c r="S39" i="4"/>
  <c r="S37" i="4"/>
  <c r="S35" i="4"/>
  <c r="S30" i="4"/>
  <c r="S28" i="4"/>
  <c r="S26" i="4"/>
  <c r="S24" i="4"/>
  <c r="S21" i="4"/>
  <c r="S19" i="4"/>
  <c r="S13" i="4"/>
  <c r="S7" i="4"/>
  <c r="R93" i="4" l="1"/>
  <c r="Q93" i="4"/>
  <c r="P93" i="4"/>
  <c r="O93" i="4"/>
  <c r="N93" i="4"/>
  <c r="M93" i="4"/>
  <c r="L93" i="4"/>
  <c r="K93" i="4"/>
  <c r="J93" i="4"/>
  <c r="I93" i="4"/>
  <c r="R92" i="4"/>
  <c r="Q92" i="4"/>
  <c r="P92" i="4"/>
  <c r="O92" i="4"/>
  <c r="N92" i="4"/>
  <c r="M92" i="4"/>
  <c r="L92" i="4"/>
  <c r="K92" i="4"/>
  <c r="J92" i="4"/>
  <c r="I92" i="4"/>
  <c r="R91" i="4"/>
  <c r="Q91" i="4"/>
  <c r="P91" i="4"/>
  <c r="O91" i="4"/>
  <c r="N91" i="4"/>
  <c r="M91" i="4"/>
  <c r="L91" i="4"/>
  <c r="K91" i="4"/>
  <c r="J91" i="4"/>
  <c r="I91" i="4"/>
  <c r="R90" i="4"/>
  <c r="Q90" i="4"/>
  <c r="P90" i="4"/>
  <c r="O90" i="4"/>
  <c r="N90" i="4"/>
  <c r="M90" i="4"/>
  <c r="L90" i="4"/>
  <c r="K90" i="4"/>
  <c r="J90" i="4"/>
  <c r="I90" i="4"/>
  <c r="R179" i="4"/>
  <c r="R178" i="4"/>
  <c r="R177" i="4"/>
  <c r="R176" i="4"/>
  <c r="R175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2" i="4"/>
  <c r="R150" i="4"/>
  <c r="R148" i="4"/>
  <c r="R147" i="4"/>
  <c r="R146" i="4"/>
  <c r="R144" i="4"/>
  <c r="R143" i="4"/>
  <c r="R141" i="4"/>
  <c r="R139" i="4"/>
  <c r="R138" i="4"/>
  <c r="R136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1" i="4"/>
  <c r="R110" i="4"/>
  <c r="R109" i="4"/>
  <c r="R108" i="4"/>
  <c r="R107" i="4"/>
  <c r="R106" i="4"/>
  <c r="R105" i="4"/>
  <c r="R104" i="4"/>
  <c r="R103" i="4"/>
  <c r="R102" i="4"/>
  <c r="R101" i="4"/>
  <c r="R97" i="4"/>
  <c r="R96" i="4"/>
  <c r="R95" i="4"/>
  <c r="R88" i="4"/>
  <c r="R87" i="4"/>
  <c r="R86" i="4"/>
  <c r="R85" i="4"/>
  <c r="R84" i="4"/>
  <c r="R83" i="4"/>
  <c r="R82" i="4"/>
  <c r="R81" i="4"/>
  <c r="R80" i="4"/>
  <c r="R79" i="4"/>
  <c r="R77" i="4"/>
  <c r="R75" i="4"/>
  <c r="R74" i="4"/>
  <c r="R73" i="4"/>
  <c r="R72" i="4"/>
  <c r="R70" i="4"/>
  <c r="R54" i="4"/>
  <c r="R53" i="4"/>
  <c r="R52" i="4"/>
  <c r="R51" i="4"/>
  <c r="R50" i="4"/>
  <c r="R48" i="4"/>
  <c r="R47" i="4"/>
  <c r="R46" i="4"/>
  <c r="R45" i="4"/>
  <c r="R44" i="4"/>
  <c r="R40" i="4"/>
  <c r="R38" i="4"/>
  <c r="R34" i="4"/>
  <c r="R33" i="4"/>
  <c r="R32" i="4"/>
  <c r="R31" i="4"/>
  <c r="R27" i="4"/>
  <c r="R23" i="4"/>
  <c r="R22" i="4"/>
  <c r="R18" i="4"/>
  <c r="R17" i="4"/>
  <c r="R16" i="4"/>
  <c r="R15" i="4"/>
  <c r="R14" i="4"/>
  <c r="R12" i="4"/>
  <c r="R11" i="4"/>
  <c r="R10" i="4"/>
  <c r="R9" i="4"/>
  <c r="R8" i="4"/>
  <c r="R181" i="4"/>
  <c r="R180" i="4"/>
  <c r="R153" i="4"/>
  <c r="R151" i="4"/>
  <c r="R149" i="4"/>
  <c r="R145" i="4"/>
  <c r="R142" i="4"/>
  <c r="R140" i="4"/>
  <c r="R137" i="4"/>
  <c r="R100" i="4"/>
  <c r="R98" i="4"/>
  <c r="R94" i="4"/>
  <c r="R89" i="4"/>
  <c r="R78" i="4"/>
  <c r="R76" i="4"/>
  <c r="R71" i="4"/>
  <c r="R69" i="4"/>
  <c r="R67" i="4"/>
  <c r="R65" i="4"/>
  <c r="R63" i="4"/>
  <c r="R55" i="4"/>
  <c r="R49" i="4"/>
  <c r="R43" i="4"/>
  <c r="R41" i="4"/>
  <c r="R39" i="4"/>
  <c r="R37" i="4"/>
  <c r="R35" i="4"/>
  <c r="R30" i="4"/>
  <c r="R28" i="4"/>
  <c r="R26" i="4"/>
  <c r="R24" i="4"/>
  <c r="R21" i="4"/>
  <c r="R19" i="4"/>
  <c r="R13" i="4"/>
  <c r="R7" i="4"/>
  <c r="Q145" i="4" l="1"/>
  <c r="P145" i="4"/>
  <c r="Q40" i="4" l="1"/>
  <c r="P40" i="4"/>
  <c r="O40" i="4"/>
  <c r="N40" i="4"/>
  <c r="M40" i="4"/>
  <c r="L40" i="4"/>
  <c r="K40" i="4"/>
  <c r="J40" i="4"/>
  <c r="I40" i="4"/>
  <c r="Q39" i="4"/>
  <c r="P39" i="4"/>
  <c r="O39" i="4"/>
  <c r="N39" i="4"/>
  <c r="M39" i="4"/>
  <c r="L39" i="4"/>
  <c r="K39" i="4"/>
  <c r="J39" i="4"/>
  <c r="I39" i="4"/>
  <c r="N136" i="4" l="1"/>
  <c r="N180" i="4"/>
  <c r="N181" i="4"/>
  <c r="N153" i="4"/>
  <c r="N151" i="4"/>
  <c r="N149" i="4"/>
  <c r="N13" i="4" l="1"/>
  <c r="N7" i="4"/>
  <c r="N179" i="4"/>
  <c r="N178" i="4"/>
  <c r="N177" i="4"/>
  <c r="N176" i="4"/>
  <c r="N175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2" i="4"/>
  <c r="N150" i="4"/>
  <c r="N148" i="4"/>
  <c r="N147" i="4"/>
  <c r="N146" i="4"/>
  <c r="N145" i="4"/>
  <c r="N144" i="4"/>
  <c r="N143" i="4"/>
  <c r="N141" i="4"/>
  <c r="N140" i="4"/>
  <c r="N139" i="4"/>
  <c r="N138" i="4"/>
  <c r="N137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8" i="4"/>
  <c r="N97" i="4"/>
  <c r="N96" i="4"/>
  <c r="N95" i="4"/>
  <c r="N94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7" i="4"/>
  <c r="N65" i="4"/>
  <c r="N63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1" i="4"/>
  <c r="N38" i="4"/>
  <c r="N37" i="4"/>
  <c r="N35" i="4"/>
  <c r="N34" i="4"/>
  <c r="N33" i="4"/>
  <c r="N32" i="4"/>
  <c r="N31" i="4"/>
  <c r="N30" i="4"/>
  <c r="N28" i="4"/>
  <c r="N27" i="4"/>
  <c r="N26" i="4"/>
  <c r="N24" i="4"/>
  <c r="N23" i="4"/>
  <c r="N22" i="4"/>
  <c r="N21" i="4"/>
  <c r="N19" i="4"/>
  <c r="N18" i="4"/>
  <c r="N17" i="4"/>
  <c r="N16" i="4"/>
  <c r="N15" i="4"/>
  <c r="N14" i="4"/>
  <c r="N12" i="4"/>
  <c r="N11" i="4"/>
  <c r="N10" i="4"/>
  <c r="N9" i="4"/>
  <c r="N8" i="4"/>
  <c r="I8" i="4"/>
  <c r="O146" i="4" l="1"/>
  <c r="Q181" i="4"/>
  <c r="Q180" i="4"/>
  <c r="Q179" i="4"/>
  <c r="Q178" i="4"/>
  <c r="Q177" i="4"/>
  <c r="Q176" i="4"/>
  <c r="Q175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4" i="4"/>
  <c r="Q143" i="4"/>
  <c r="Q142" i="4"/>
  <c r="Q141" i="4"/>
  <c r="Q140" i="4"/>
  <c r="Q139" i="4"/>
  <c r="Q138" i="4"/>
  <c r="Q137" i="4"/>
  <c r="Q136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8" i="4"/>
  <c r="Q97" i="4"/>
  <c r="Q96" i="4"/>
  <c r="Q95" i="4"/>
  <c r="Q94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7" i="4"/>
  <c r="Q65" i="4"/>
  <c r="Q63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1" i="4"/>
  <c r="Q38" i="4"/>
  <c r="Q37" i="4"/>
  <c r="Q35" i="4"/>
  <c r="Q34" i="4"/>
  <c r="Q33" i="4"/>
  <c r="Q32" i="4"/>
  <c r="Q31" i="4"/>
  <c r="Q30" i="4"/>
  <c r="Q28" i="4"/>
  <c r="Q27" i="4"/>
  <c r="Q26" i="4"/>
  <c r="Q24" i="4"/>
  <c r="Q23" i="4"/>
  <c r="Q22" i="4"/>
  <c r="Q21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P175" i="4" l="1"/>
  <c r="O175" i="4"/>
  <c r="M175" i="4"/>
  <c r="L175" i="4"/>
  <c r="K175" i="4"/>
  <c r="J175" i="4"/>
  <c r="I175" i="4"/>
  <c r="P14" i="4"/>
  <c r="O14" i="4"/>
  <c r="M14" i="4"/>
  <c r="L14" i="4"/>
  <c r="K14" i="4"/>
  <c r="J14" i="4"/>
  <c r="I14" i="4"/>
  <c r="P179" i="4"/>
  <c r="P178" i="4"/>
  <c r="P177" i="4"/>
  <c r="P176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2" i="4"/>
  <c r="P150" i="4"/>
  <c r="P148" i="4"/>
  <c r="P147" i="4"/>
  <c r="P146" i="4"/>
  <c r="P144" i="4"/>
  <c r="P143" i="4"/>
  <c r="P141" i="4"/>
  <c r="P139" i="4"/>
  <c r="P138" i="4"/>
  <c r="P136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1" i="4"/>
  <c r="P110" i="4"/>
  <c r="P109" i="4"/>
  <c r="P108" i="4"/>
  <c r="P107" i="4"/>
  <c r="P106" i="4"/>
  <c r="P105" i="4"/>
  <c r="P104" i="4"/>
  <c r="P103" i="4"/>
  <c r="P102" i="4"/>
  <c r="P101" i="4"/>
  <c r="P97" i="4"/>
  <c r="P96" i="4"/>
  <c r="P95" i="4"/>
  <c r="P88" i="4"/>
  <c r="P87" i="4"/>
  <c r="P86" i="4"/>
  <c r="P85" i="4"/>
  <c r="P84" i="4"/>
  <c r="P83" i="4"/>
  <c r="P82" i="4"/>
  <c r="P81" i="4"/>
  <c r="P80" i="4"/>
  <c r="P79" i="4"/>
  <c r="P77" i="4"/>
  <c r="P75" i="4"/>
  <c r="P74" i="4"/>
  <c r="P73" i="4"/>
  <c r="P72" i="4"/>
  <c r="P70" i="4"/>
  <c r="P54" i="4"/>
  <c r="P53" i="4"/>
  <c r="P52" i="4"/>
  <c r="P51" i="4"/>
  <c r="P50" i="4"/>
  <c r="P48" i="4"/>
  <c r="P47" i="4"/>
  <c r="P46" i="4"/>
  <c r="P45" i="4"/>
  <c r="P44" i="4"/>
  <c r="P38" i="4"/>
  <c r="P34" i="4"/>
  <c r="P33" i="4"/>
  <c r="P32" i="4"/>
  <c r="P31" i="4"/>
  <c r="P27" i="4"/>
  <c r="P23" i="4"/>
  <c r="P22" i="4"/>
  <c r="P18" i="4"/>
  <c r="P17" i="4"/>
  <c r="P16" i="4"/>
  <c r="P15" i="4"/>
  <c r="P12" i="4"/>
  <c r="P11" i="4"/>
  <c r="P10" i="4"/>
  <c r="P9" i="4"/>
  <c r="P8" i="4"/>
  <c r="P181" i="4"/>
  <c r="P180" i="4"/>
  <c r="P153" i="4"/>
  <c r="P151" i="4"/>
  <c r="P149" i="4"/>
  <c r="P142" i="4"/>
  <c r="P140" i="4"/>
  <c r="P137" i="4"/>
  <c r="P100" i="4"/>
  <c r="P98" i="4"/>
  <c r="P94" i="4"/>
  <c r="P89" i="4"/>
  <c r="P78" i="4"/>
  <c r="P76" i="4"/>
  <c r="P71" i="4"/>
  <c r="P69" i="4"/>
  <c r="P67" i="4"/>
  <c r="P65" i="4"/>
  <c r="P63" i="4"/>
  <c r="P55" i="4"/>
  <c r="P49" i="4"/>
  <c r="P43" i="4"/>
  <c r="P41" i="4"/>
  <c r="P37" i="4"/>
  <c r="P35" i="4"/>
  <c r="P30" i="4"/>
  <c r="P28" i="4"/>
  <c r="P26" i="4"/>
  <c r="P24" i="4"/>
  <c r="P21" i="4"/>
  <c r="P19" i="4"/>
  <c r="P13" i="4"/>
  <c r="P7" i="4"/>
  <c r="O160" i="4" l="1"/>
  <c r="M160" i="4"/>
  <c r="L160" i="4"/>
  <c r="K160" i="4"/>
  <c r="J160" i="4"/>
  <c r="I160" i="4"/>
  <c r="O181" i="4"/>
  <c r="O180" i="4"/>
  <c r="O179" i="4"/>
  <c r="O178" i="4"/>
  <c r="O177" i="4"/>
  <c r="O176" i="4"/>
  <c r="O166" i="4"/>
  <c r="O165" i="4"/>
  <c r="O164" i="4"/>
  <c r="O163" i="4"/>
  <c r="O162" i="4"/>
  <c r="O161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4" i="4"/>
  <c r="O142" i="4" s="1"/>
  <c r="O141" i="4"/>
  <c r="O139" i="4"/>
  <c r="O138" i="4"/>
  <c r="O137" i="4"/>
  <c r="O136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8" i="4"/>
  <c r="O97" i="4"/>
  <c r="O96" i="4"/>
  <c r="O95" i="4"/>
  <c r="O94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7" i="4"/>
  <c r="O65" i="4"/>
  <c r="O63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1" i="4"/>
  <c r="O38" i="4"/>
  <c r="O37" i="4"/>
  <c r="O35" i="4"/>
  <c r="O34" i="4"/>
  <c r="O33" i="4"/>
  <c r="O32" i="4"/>
  <c r="O31" i="4"/>
  <c r="O30" i="4"/>
  <c r="O28" i="4"/>
  <c r="O27" i="4"/>
  <c r="O26" i="4"/>
  <c r="O24" i="4"/>
  <c r="O23" i="4"/>
  <c r="O22" i="4"/>
  <c r="O21" i="4"/>
  <c r="O19" i="4"/>
  <c r="O16" i="4"/>
  <c r="O15" i="4"/>
  <c r="O13" i="4"/>
  <c r="O12" i="4"/>
  <c r="O18" i="4"/>
  <c r="O17" i="4"/>
  <c r="O11" i="4"/>
  <c r="O10" i="4"/>
  <c r="O9" i="4"/>
  <c r="O8" i="4"/>
  <c r="O7" i="4"/>
  <c r="M18" i="4"/>
  <c r="L18" i="4"/>
  <c r="K18" i="4"/>
  <c r="J18" i="4"/>
  <c r="I18" i="4"/>
  <c r="O145" i="4" l="1"/>
  <c r="M11" i="4"/>
  <c r="L11" i="4"/>
  <c r="K11" i="4"/>
  <c r="J11" i="4"/>
  <c r="I11" i="4"/>
  <c r="M10" i="4"/>
  <c r="L10" i="4"/>
  <c r="K10" i="4"/>
  <c r="J10" i="4"/>
  <c r="I10" i="4"/>
  <c r="T109" i="2" l="1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M123" i="4" l="1"/>
  <c r="L123" i="4"/>
  <c r="K123" i="4"/>
  <c r="J123" i="4"/>
  <c r="I123" i="4"/>
  <c r="M103" i="4"/>
  <c r="L103" i="4"/>
  <c r="K103" i="4"/>
  <c r="J103" i="4"/>
  <c r="I103" i="4"/>
  <c r="M101" i="4"/>
  <c r="L101" i="4"/>
  <c r="K101" i="4"/>
  <c r="J101" i="4"/>
  <c r="I101" i="4"/>
  <c r="M156" i="4"/>
  <c r="M155" i="4"/>
  <c r="M154" i="4"/>
  <c r="M179" i="4"/>
  <c r="M178" i="4"/>
  <c r="M177" i="4"/>
  <c r="M176" i="4"/>
  <c r="M166" i="4"/>
  <c r="M165" i="4"/>
  <c r="M164" i="4"/>
  <c r="M163" i="4"/>
  <c r="M162" i="4"/>
  <c r="M161" i="4"/>
  <c r="M159" i="4"/>
  <c r="M158" i="4"/>
  <c r="M157" i="4"/>
  <c r="M152" i="4"/>
  <c r="M150" i="4"/>
  <c r="M148" i="4"/>
  <c r="M147" i="4"/>
  <c r="M146" i="4"/>
  <c r="M144" i="4"/>
  <c r="M143" i="4"/>
  <c r="M141" i="4"/>
  <c r="M139" i="4"/>
  <c r="M138" i="4"/>
  <c r="M136" i="4"/>
  <c r="M133" i="4"/>
  <c r="M132" i="4"/>
  <c r="M131" i="4"/>
  <c r="M130" i="4"/>
  <c r="M129" i="4"/>
  <c r="M128" i="4"/>
  <c r="M127" i="4"/>
  <c r="M126" i="4"/>
  <c r="M125" i="4"/>
  <c r="M124" i="4"/>
  <c r="M122" i="4"/>
  <c r="M121" i="4"/>
  <c r="M120" i="4"/>
  <c r="M111" i="4"/>
  <c r="M110" i="4"/>
  <c r="M109" i="4"/>
  <c r="M108" i="4"/>
  <c r="M107" i="4"/>
  <c r="M106" i="4"/>
  <c r="M105" i="4"/>
  <c r="M104" i="4"/>
  <c r="M102" i="4"/>
  <c r="M97" i="4"/>
  <c r="M96" i="4"/>
  <c r="M95" i="4"/>
  <c r="M88" i="4"/>
  <c r="M87" i="4"/>
  <c r="M86" i="4"/>
  <c r="M85" i="4"/>
  <c r="M84" i="4"/>
  <c r="M83" i="4"/>
  <c r="M82" i="4"/>
  <c r="M81" i="4"/>
  <c r="M80" i="4"/>
  <c r="M79" i="4"/>
  <c r="M77" i="4"/>
  <c r="M75" i="4"/>
  <c r="M74" i="4"/>
  <c r="M73" i="4"/>
  <c r="M72" i="4"/>
  <c r="M70" i="4"/>
  <c r="M54" i="4"/>
  <c r="M53" i="4"/>
  <c r="M52" i="4"/>
  <c r="M51" i="4"/>
  <c r="M50" i="4"/>
  <c r="M48" i="4"/>
  <c r="M47" i="4"/>
  <c r="M46" i="4"/>
  <c r="M45" i="4"/>
  <c r="M44" i="4"/>
  <c r="M38" i="4"/>
  <c r="M34" i="4"/>
  <c r="M33" i="4"/>
  <c r="M32" i="4"/>
  <c r="M31" i="4"/>
  <c r="M27" i="4"/>
  <c r="M23" i="4"/>
  <c r="M22" i="4"/>
  <c r="M16" i="4"/>
  <c r="M15" i="4"/>
  <c r="M12" i="4"/>
  <c r="M17" i="4"/>
  <c r="M9" i="4"/>
  <c r="M8" i="4"/>
  <c r="M181" i="4"/>
  <c r="M180" i="4"/>
  <c r="M153" i="4"/>
  <c r="M151" i="4"/>
  <c r="M149" i="4"/>
  <c r="M145" i="4"/>
  <c r="M142" i="4"/>
  <c r="M140" i="4"/>
  <c r="M137" i="4"/>
  <c r="M100" i="4"/>
  <c r="M98" i="4"/>
  <c r="M94" i="4"/>
  <c r="M89" i="4"/>
  <c r="M78" i="4"/>
  <c r="M76" i="4"/>
  <c r="M71" i="4"/>
  <c r="M69" i="4"/>
  <c r="M67" i="4"/>
  <c r="M65" i="4"/>
  <c r="M63" i="4"/>
  <c r="M55" i="4"/>
  <c r="M49" i="4"/>
  <c r="M43" i="4"/>
  <c r="M41" i="4"/>
  <c r="M37" i="4"/>
  <c r="M35" i="4"/>
  <c r="M30" i="4"/>
  <c r="M28" i="4"/>
  <c r="M26" i="4"/>
  <c r="M24" i="4"/>
  <c r="M21" i="4"/>
  <c r="M19" i="4"/>
  <c r="M13" i="4"/>
  <c r="M7" i="4"/>
  <c r="I38" i="4" l="1"/>
  <c r="L181" i="4" l="1"/>
  <c r="L180" i="4"/>
  <c r="L153" i="4"/>
  <c r="L151" i="4"/>
  <c r="L149" i="4"/>
  <c r="K181" i="4"/>
  <c r="K180" i="4"/>
  <c r="J181" i="4"/>
  <c r="I43" i="4"/>
  <c r="I181" i="4"/>
  <c r="I180" i="4"/>
  <c r="Y57" i="4" l="1"/>
  <c r="Y114" i="4" s="1"/>
  <c r="Y169" i="4" s="1"/>
  <c r="L163" i="4"/>
  <c r="K163" i="4"/>
  <c r="J163" i="4"/>
  <c r="I163" i="4"/>
  <c r="K156" i="4"/>
  <c r="J156" i="4"/>
  <c r="I156" i="4"/>
  <c r="K155" i="4"/>
  <c r="J155" i="4"/>
  <c r="I155" i="4"/>
  <c r="L129" i="4"/>
  <c r="K129" i="4"/>
  <c r="J129" i="4"/>
  <c r="I129" i="4"/>
  <c r="L128" i="4"/>
  <c r="K128" i="4"/>
  <c r="J128" i="4"/>
  <c r="I128" i="4"/>
  <c r="L127" i="4"/>
  <c r="K127" i="4"/>
  <c r="J127" i="4"/>
  <c r="I127" i="4"/>
  <c r="L126" i="4"/>
  <c r="K126" i="4"/>
  <c r="J126" i="4"/>
  <c r="I126" i="4"/>
  <c r="L125" i="4"/>
  <c r="K125" i="4"/>
  <c r="J125" i="4"/>
  <c r="I125" i="4"/>
  <c r="L124" i="4"/>
  <c r="K124" i="4"/>
  <c r="J124" i="4"/>
  <c r="I124" i="4"/>
  <c r="L110" i="4"/>
  <c r="K110" i="4"/>
  <c r="J110" i="4"/>
  <c r="I110" i="4"/>
  <c r="L109" i="4"/>
  <c r="K109" i="4"/>
  <c r="J109" i="4"/>
  <c r="I109" i="4"/>
  <c r="L87" i="4"/>
  <c r="K87" i="4"/>
  <c r="J87" i="4"/>
  <c r="I87" i="4"/>
  <c r="L86" i="4"/>
  <c r="K86" i="4"/>
  <c r="J86" i="4"/>
  <c r="I86" i="4"/>
  <c r="L85" i="4"/>
  <c r="K85" i="4"/>
  <c r="J85" i="4"/>
  <c r="I85" i="4"/>
  <c r="L84" i="4"/>
  <c r="K84" i="4"/>
  <c r="J84" i="4"/>
  <c r="I84" i="4"/>
  <c r="L83" i="4"/>
  <c r="K83" i="4"/>
  <c r="J83" i="4"/>
  <c r="I83" i="4"/>
  <c r="L82" i="4"/>
  <c r="K82" i="4"/>
  <c r="J82" i="4"/>
  <c r="I82" i="4"/>
  <c r="L74" i="4"/>
  <c r="K74" i="4"/>
  <c r="J74" i="4"/>
  <c r="I74" i="4"/>
  <c r="L73" i="4"/>
  <c r="K73" i="4"/>
  <c r="J73" i="4"/>
  <c r="I73" i="4"/>
  <c r="L41" i="4"/>
  <c r="K41" i="4"/>
  <c r="J41" i="4"/>
  <c r="I41" i="4"/>
  <c r="L63" i="4"/>
  <c r="K63" i="4"/>
  <c r="J63" i="4"/>
  <c r="I63" i="4"/>
  <c r="L179" i="4"/>
  <c r="L178" i="4"/>
  <c r="L177" i="4"/>
  <c r="L176" i="4"/>
  <c r="L166" i="4"/>
  <c r="L165" i="4"/>
  <c r="L164" i="4"/>
  <c r="L162" i="4"/>
  <c r="L161" i="4"/>
  <c r="L159" i="4"/>
  <c r="L158" i="4"/>
  <c r="L157" i="4"/>
  <c r="L152" i="4"/>
  <c r="L150" i="4"/>
  <c r="L148" i="4"/>
  <c r="L147" i="4"/>
  <c r="L146" i="4"/>
  <c r="L144" i="4"/>
  <c r="L143" i="4"/>
  <c r="L141" i="4"/>
  <c r="L139" i="4"/>
  <c r="L138" i="4"/>
  <c r="L136" i="4"/>
  <c r="L133" i="4"/>
  <c r="L132" i="4"/>
  <c r="L131" i="4"/>
  <c r="L130" i="4"/>
  <c r="L122" i="4"/>
  <c r="L121" i="4"/>
  <c r="L120" i="4"/>
  <c r="L111" i="4"/>
  <c r="L108" i="4"/>
  <c r="L107" i="4"/>
  <c r="L106" i="4"/>
  <c r="L105" i="4"/>
  <c r="L104" i="4"/>
  <c r="L102" i="4"/>
  <c r="L97" i="4"/>
  <c r="L96" i="4"/>
  <c r="L95" i="4"/>
  <c r="L88" i="4"/>
  <c r="L81" i="4"/>
  <c r="L80" i="4"/>
  <c r="L79" i="4"/>
  <c r="L77" i="4"/>
  <c r="L75" i="4"/>
  <c r="L72" i="4"/>
  <c r="L70" i="4"/>
  <c r="L54" i="4"/>
  <c r="L53" i="4"/>
  <c r="L52" i="4"/>
  <c r="L51" i="4"/>
  <c r="L50" i="4"/>
  <c r="L48" i="4"/>
  <c r="L47" i="4"/>
  <c r="L46" i="4"/>
  <c r="L45" i="4"/>
  <c r="L44" i="4"/>
  <c r="L38" i="4"/>
  <c r="L34" i="4"/>
  <c r="L33" i="4"/>
  <c r="L32" i="4"/>
  <c r="L31" i="4"/>
  <c r="L27" i="4"/>
  <c r="L23" i="4"/>
  <c r="L22" i="4"/>
  <c r="L16" i="4"/>
  <c r="L15" i="4"/>
  <c r="L12" i="4"/>
  <c r="L17" i="4"/>
  <c r="L9" i="4"/>
  <c r="L8" i="4"/>
  <c r="L145" i="4"/>
  <c r="L142" i="4"/>
  <c r="L140" i="4"/>
  <c r="L137" i="4"/>
  <c r="L100" i="4"/>
  <c r="L98" i="4"/>
  <c r="L94" i="4"/>
  <c r="L89" i="4"/>
  <c r="L78" i="4"/>
  <c r="L76" i="4"/>
  <c r="L71" i="4"/>
  <c r="L69" i="4"/>
  <c r="L67" i="4"/>
  <c r="L65" i="4"/>
  <c r="L55" i="4"/>
  <c r="L49" i="4"/>
  <c r="L43" i="4"/>
  <c r="L37" i="4"/>
  <c r="L35" i="4"/>
  <c r="L30" i="4"/>
  <c r="L28" i="4"/>
  <c r="L26" i="4"/>
  <c r="L24" i="4"/>
  <c r="L21" i="4"/>
  <c r="L19" i="4"/>
  <c r="L13" i="4"/>
  <c r="L7" i="4"/>
  <c r="K166" i="4"/>
  <c r="J166" i="4"/>
  <c r="I166" i="4"/>
  <c r="K147" i="4"/>
  <c r="J147" i="4"/>
  <c r="I147" i="4"/>
  <c r="K146" i="4"/>
  <c r="J146" i="4"/>
  <c r="I146" i="4"/>
  <c r="K47" i="4"/>
  <c r="J47" i="4"/>
  <c r="I47" i="4"/>
  <c r="K179" i="4"/>
  <c r="K178" i="4"/>
  <c r="K177" i="4"/>
  <c r="K176" i="4"/>
  <c r="K165" i="4"/>
  <c r="K164" i="4"/>
  <c r="K162" i="4"/>
  <c r="K161" i="4"/>
  <c r="K159" i="4"/>
  <c r="K158" i="4"/>
  <c r="K157" i="4"/>
  <c r="K154" i="4"/>
  <c r="K152" i="4"/>
  <c r="K150" i="4"/>
  <c r="K148" i="4"/>
  <c r="K144" i="4"/>
  <c r="K143" i="4"/>
  <c r="K141" i="4"/>
  <c r="K139" i="4"/>
  <c r="K138" i="4"/>
  <c r="K136" i="4"/>
  <c r="K133" i="4"/>
  <c r="K132" i="4"/>
  <c r="K131" i="4"/>
  <c r="K130" i="4"/>
  <c r="K122" i="4"/>
  <c r="K121" i="4"/>
  <c r="K120" i="4"/>
  <c r="K111" i="4"/>
  <c r="K108" i="4"/>
  <c r="K107" i="4"/>
  <c r="K106" i="4"/>
  <c r="K105" i="4"/>
  <c r="K104" i="4"/>
  <c r="K102" i="4"/>
  <c r="K97" i="4"/>
  <c r="K96" i="4"/>
  <c r="K95" i="4"/>
  <c r="K88" i="4"/>
  <c r="K81" i="4"/>
  <c r="K80" i="4"/>
  <c r="K79" i="4"/>
  <c r="K77" i="4"/>
  <c r="K75" i="4"/>
  <c r="K72" i="4"/>
  <c r="K70" i="4"/>
  <c r="K54" i="4"/>
  <c r="K53" i="4"/>
  <c r="K52" i="4"/>
  <c r="K51" i="4"/>
  <c r="K50" i="4"/>
  <c r="K48" i="4"/>
  <c r="K46" i="4"/>
  <c r="K45" i="4"/>
  <c r="K44" i="4"/>
  <c r="K38" i="4"/>
  <c r="K34" i="4"/>
  <c r="K33" i="4"/>
  <c r="K32" i="4"/>
  <c r="K31" i="4"/>
  <c r="K27" i="4"/>
  <c r="K23" i="4"/>
  <c r="K22" i="4"/>
  <c r="K16" i="4"/>
  <c r="K15" i="4"/>
  <c r="K12" i="4"/>
  <c r="K17" i="4"/>
  <c r="K9" i="4"/>
  <c r="K8" i="4"/>
  <c r="K153" i="4"/>
  <c r="K151" i="4"/>
  <c r="K149" i="4"/>
  <c r="K145" i="4"/>
  <c r="K142" i="4"/>
  <c r="K140" i="4"/>
  <c r="K137" i="4"/>
  <c r="K100" i="4"/>
  <c r="K98" i="4"/>
  <c r="K94" i="4"/>
  <c r="K89" i="4"/>
  <c r="K78" i="4"/>
  <c r="K76" i="4"/>
  <c r="K71" i="4"/>
  <c r="K69" i="4"/>
  <c r="K67" i="4"/>
  <c r="K65" i="4"/>
  <c r="K55" i="4"/>
  <c r="K49" i="4"/>
  <c r="K43" i="4"/>
  <c r="K37" i="4"/>
  <c r="K35" i="4"/>
  <c r="K30" i="4"/>
  <c r="K28" i="4"/>
  <c r="K26" i="4"/>
  <c r="K24" i="4"/>
  <c r="K21" i="4"/>
  <c r="K19" i="4"/>
  <c r="K13" i="4"/>
  <c r="K7" i="4"/>
  <c r="J165" i="4"/>
  <c r="I165" i="4"/>
  <c r="J158" i="4"/>
  <c r="I158" i="4"/>
  <c r="J143" i="4"/>
  <c r="I143" i="4"/>
  <c r="J104" i="4"/>
  <c r="I104" i="4"/>
  <c r="J96" i="4"/>
  <c r="I96" i="4"/>
  <c r="J17" i="4"/>
  <c r="I17" i="4"/>
  <c r="J179" i="4"/>
  <c r="J178" i="4"/>
  <c r="J177" i="4"/>
  <c r="J176" i="4"/>
  <c r="J164" i="4"/>
  <c r="J162" i="4"/>
  <c r="J161" i="4"/>
  <c r="J159" i="4"/>
  <c r="J157" i="4"/>
  <c r="J154" i="4"/>
  <c r="J152" i="4"/>
  <c r="J150" i="4"/>
  <c r="J148" i="4"/>
  <c r="J144" i="4"/>
  <c r="J141" i="4"/>
  <c r="J139" i="4"/>
  <c r="J138" i="4"/>
  <c r="J136" i="4"/>
  <c r="J133" i="4"/>
  <c r="J132" i="4"/>
  <c r="J131" i="4"/>
  <c r="J130" i="4"/>
  <c r="J122" i="4"/>
  <c r="J121" i="4"/>
  <c r="J120" i="4"/>
  <c r="J111" i="4"/>
  <c r="J108" i="4"/>
  <c r="J107" i="4"/>
  <c r="J106" i="4"/>
  <c r="J105" i="4"/>
  <c r="J102" i="4"/>
  <c r="J97" i="4"/>
  <c r="J95" i="4"/>
  <c r="J88" i="4"/>
  <c r="J81" i="4"/>
  <c r="J80" i="4"/>
  <c r="J79" i="4"/>
  <c r="J77" i="4"/>
  <c r="J75" i="4"/>
  <c r="J72" i="4"/>
  <c r="J70" i="4"/>
  <c r="J54" i="4"/>
  <c r="J53" i="4"/>
  <c r="J52" i="4"/>
  <c r="J51" i="4"/>
  <c r="J50" i="4"/>
  <c r="J48" i="4"/>
  <c r="J46" i="4"/>
  <c r="J45" i="4"/>
  <c r="J44" i="4"/>
  <c r="J38" i="4"/>
  <c r="J34" i="4"/>
  <c r="J33" i="4"/>
  <c r="J32" i="4"/>
  <c r="J31" i="4"/>
  <c r="J27" i="4"/>
  <c r="J23" i="4"/>
  <c r="J22" i="4"/>
  <c r="J16" i="4"/>
  <c r="J15" i="4"/>
  <c r="J12" i="4"/>
  <c r="J9" i="4"/>
  <c r="J8" i="4"/>
  <c r="J180" i="4"/>
  <c r="J153" i="4"/>
  <c r="J151" i="4"/>
  <c r="J149" i="4"/>
  <c r="J145" i="4"/>
  <c r="J142" i="4"/>
  <c r="J140" i="4"/>
  <c r="J137" i="4"/>
  <c r="J100" i="4"/>
  <c r="J98" i="4"/>
  <c r="J94" i="4"/>
  <c r="J89" i="4"/>
  <c r="J78" i="4"/>
  <c r="J76" i="4"/>
  <c r="J71" i="4"/>
  <c r="J69" i="4"/>
  <c r="J67" i="4"/>
  <c r="J65" i="4"/>
  <c r="J55" i="4"/>
  <c r="J49" i="4"/>
  <c r="J43" i="4"/>
  <c r="J37" i="4"/>
  <c r="J35" i="4"/>
  <c r="J30" i="4"/>
  <c r="J28" i="4"/>
  <c r="J26" i="4"/>
  <c r="J24" i="4"/>
  <c r="J21" i="4"/>
  <c r="J19" i="4"/>
  <c r="J13" i="4"/>
  <c r="J7" i="4"/>
  <c r="I179" i="4"/>
  <c r="I178" i="4"/>
  <c r="I177" i="4"/>
  <c r="I176" i="4"/>
  <c r="I164" i="4"/>
  <c r="I162" i="4"/>
  <c r="I161" i="4"/>
  <c r="I159" i="4"/>
  <c r="I157" i="4"/>
  <c r="I154" i="4"/>
  <c r="I152" i="4"/>
  <c r="I150" i="4"/>
  <c r="I148" i="4"/>
  <c r="I144" i="4"/>
  <c r="I141" i="4"/>
  <c r="I139" i="4"/>
  <c r="I138" i="4"/>
  <c r="I136" i="4"/>
  <c r="I133" i="4"/>
  <c r="I132" i="4"/>
  <c r="I131" i="4"/>
  <c r="I130" i="4"/>
  <c r="I122" i="4"/>
  <c r="I121" i="4"/>
  <c r="I120" i="4"/>
  <c r="I111" i="4"/>
  <c r="I108" i="4"/>
  <c r="I107" i="4"/>
  <c r="I106" i="4"/>
  <c r="I105" i="4"/>
  <c r="I102" i="4"/>
  <c r="I97" i="4"/>
  <c r="I95" i="4"/>
  <c r="I88" i="4"/>
  <c r="I81" i="4"/>
  <c r="I80" i="4"/>
  <c r="I79" i="4"/>
  <c r="I77" i="4"/>
  <c r="I75" i="4"/>
  <c r="I72" i="4"/>
  <c r="I70" i="4"/>
  <c r="I54" i="4"/>
  <c r="I53" i="4"/>
  <c r="I52" i="4"/>
  <c r="I51" i="4"/>
  <c r="I50" i="4"/>
  <c r="I48" i="4"/>
  <c r="I46" i="4"/>
  <c r="I45" i="4"/>
  <c r="I44" i="4"/>
  <c r="I34" i="4"/>
  <c r="I33" i="4"/>
  <c r="I32" i="4"/>
  <c r="I31" i="4"/>
  <c r="I27" i="4"/>
  <c r="I23" i="4"/>
  <c r="I22" i="4"/>
  <c r="I16" i="4"/>
  <c r="I15" i="4"/>
  <c r="I12" i="4"/>
  <c r="I9" i="4"/>
  <c r="I153" i="4"/>
  <c r="I151" i="4"/>
  <c r="I149" i="4"/>
  <c r="I145" i="4"/>
  <c r="I142" i="4"/>
  <c r="I140" i="4"/>
  <c r="I137" i="4"/>
  <c r="I100" i="4"/>
  <c r="I98" i="4"/>
  <c r="I94" i="4"/>
  <c r="I89" i="4"/>
  <c r="I78" i="4"/>
  <c r="I76" i="4"/>
  <c r="I71" i="4"/>
  <c r="I69" i="4"/>
  <c r="I67" i="4"/>
  <c r="I65" i="4"/>
  <c r="I55" i="4"/>
  <c r="I49" i="4"/>
  <c r="I37" i="4"/>
  <c r="I35" i="4"/>
  <c r="I30" i="4"/>
  <c r="I28" i="4"/>
  <c r="I26" i="4"/>
  <c r="I24" i="4"/>
  <c r="I21" i="4"/>
  <c r="I19" i="4"/>
  <c r="I13" i="4"/>
  <c r="I7" i="4"/>
</calcChain>
</file>

<file path=xl/sharedStrings.xml><?xml version="1.0" encoding="utf-8"?>
<sst xmlns="http://schemas.openxmlformats.org/spreadsheetml/2006/main" count="3561" uniqueCount="259">
  <si>
    <t>Empresa:</t>
  </si>
  <si>
    <t>ASSOCIAÇÃO EDITORA PRESBITERIANA DE PINHEIROS</t>
  </si>
  <si>
    <t>Página:</t>
  </si>
  <si>
    <t>C.N.P.J.:</t>
  </si>
  <si>
    <t>40.804.477/0001-44</t>
  </si>
  <si>
    <t>Descrição</t>
  </si>
  <si>
    <t>Saldo Atual</t>
  </si>
  <si>
    <t xml:space="preserve">                                        </t>
  </si>
  <si>
    <t>CUSTO DAS MERCADORIAS VENDIDAS</t>
  </si>
  <si>
    <t>DIREITOS AUTORAIS</t>
  </si>
  <si>
    <t>DEVOLUCAO DE VENDAS</t>
  </si>
  <si>
    <t>MATERIAIS APLICADOS NA VENDA DE PRODUTOS</t>
  </si>
  <si>
    <t>DESCONTO SOBRE VENDAS</t>
  </si>
  <si>
    <t>COMISSOES POR VENDA</t>
  </si>
  <si>
    <t>BONUS POR RESULTADO</t>
  </si>
  <si>
    <t>ASSISTENCIA MEDICA</t>
  </si>
  <si>
    <t>VALE REFEICAO</t>
  </si>
  <si>
    <t>VALE CESTA BASICA</t>
  </si>
  <si>
    <t>CAPACITACAO PROFISSIONAL</t>
  </si>
  <si>
    <t>DESPESAS REPRESENTACAO COMERCIAL</t>
  </si>
  <si>
    <t>DESPESAS COM LANCHES E REFEICOES</t>
  </si>
  <si>
    <t>SERVICOS CONTABEIS E AFINS</t>
  </si>
  <si>
    <t>DESPESAS COM ESTACIONAMENTO DE VEICULOS</t>
  </si>
  <si>
    <t>DESPESAS C/PRESTACAO DE SERVICOS - PJ</t>
  </si>
  <si>
    <t>AGUA E ESGOTO</t>
  </si>
  <si>
    <t>EMBALAGENS E MATERIAS GRAFICOS</t>
  </si>
  <si>
    <t>IMPOSTOS E TAXAS</t>
  </si>
  <si>
    <t>MATERIAL DE EXPEDIENTE</t>
  </si>
  <si>
    <t>ALUGUEIS</t>
  </si>
  <si>
    <t>DIVERSAS</t>
  </si>
  <si>
    <t>VIAGEM, ESTADIA E PEDAGIO</t>
  </si>
  <si>
    <t>DESPESAS COM BRINDES E PRESENTES</t>
  </si>
  <si>
    <t>DESPESAS COM CONDOMINIO</t>
  </si>
  <si>
    <t>DESPESAS COM CONDUCAO E COMBUSTIVEL</t>
  </si>
  <si>
    <t>DESPESAS COM INFORMATICA / SISTEMAS / SOFTWARES</t>
  </si>
  <si>
    <t>DESPESAS PAGAR ME</t>
  </si>
  <si>
    <t>DESPESAS FINANCEIRAS</t>
  </si>
  <si>
    <t>DESPESAS BANCARIAS</t>
  </si>
  <si>
    <t>DESPESAS MERCADO PAGO.COM</t>
  </si>
  <si>
    <t>DESPESAS AMAZON</t>
  </si>
  <si>
    <t>DESPESAS STONE</t>
  </si>
  <si>
    <t>DESPESAS VINDI</t>
  </si>
  <si>
    <t>TERRENO E DEPENDENCIAS - SEDE</t>
  </si>
  <si>
    <t>MOVEIS, MAQUINAS E UTENSILIOS</t>
  </si>
  <si>
    <t>Sistema licenciado para CONTABIL RIBEIRO LTDA</t>
  </si>
  <si>
    <t>DIVERSOS</t>
  </si>
  <si>
    <t>DESPESAS C/PRESTACAO DE SERVICOS - PF</t>
  </si>
  <si>
    <t>DESPESAS POSTAIS E FRETES</t>
  </si>
  <si>
    <t>MATERIAL DE LIMPEZA</t>
  </si>
  <si>
    <t>ENERGIA ELETRICA</t>
  </si>
  <si>
    <t>INTERNET</t>
  </si>
  <si>
    <t>DESPESAS DE CUSTOS COM EVENTOS</t>
  </si>
  <si>
    <t>ADMINISTRACAO - PJ</t>
  </si>
  <si>
    <t>MARKETING - PJ</t>
  </si>
  <si>
    <t>COMERCIAL - PJ</t>
  </si>
  <si>
    <t>LOGISTICA / EXPEDICAO - PJ</t>
  </si>
  <si>
    <t>DIRETORIA - PJ</t>
  </si>
  <si>
    <t>LIVRARIA - PJ</t>
  </si>
  <si>
    <t xml:space="preserve">FRETES COBRADOS DOS CLIENTES </t>
  </si>
  <si>
    <t>FUNDOS DIVERSOS</t>
  </si>
  <si>
    <t>PUBLICIDADE - TRAFEGO PAGO</t>
  </si>
  <si>
    <t>DESPESAS COM COPA E COZINHA</t>
  </si>
  <si>
    <t>TELEFONE</t>
  </si>
  <si>
    <t>DESPESAS COM CARTORIO</t>
  </si>
  <si>
    <t>DEMONSTRAÇÃO DO RESULTADO DO PERÍODO EM 2025</t>
  </si>
  <si>
    <t>Código</t>
  </si>
  <si>
    <t>Classificação</t>
  </si>
  <si>
    <t>RECEITA COM VENDAS</t>
  </si>
  <si>
    <t>3.1.1.03.0860</t>
  </si>
  <si>
    <t>ATACADO</t>
  </si>
  <si>
    <t>3.1.1.03.0861</t>
  </si>
  <si>
    <t>ECOMMERCE</t>
  </si>
  <si>
    <t>3.1.1.03.0865</t>
  </si>
  <si>
    <t>LIVRARIA</t>
  </si>
  <si>
    <t>MARKETPLACES</t>
  </si>
  <si>
    <t>3.1.1.03.0863</t>
  </si>
  <si>
    <t xml:space="preserve">AMAZON </t>
  </si>
  <si>
    <t>3.1.1.03.0864</t>
  </si>
  <si>
    <t xml:space="preserve">MERCADO LIVRE </t>
  </si>
  <si>
    <t>TOTAL RECEITA BRUTA COM VENDAS</t>
  </si>
  <si>
    <t>DEVOLUÇÃO E DESCONTO DE VENDAS</t>
  </si>
  <si>
    <t>3.6.1.01.0166</t>
  </si>
  <si>
    <t>3.6.1.01.0168</t>
  </si>
  <si>
    <t>RECEITA LÍQUIDA DE VENDAS</t>
  </si>
  <si>
    <t>FRETE COBRADO DOS CLIENTES</t>
  </si>
  <si>
    <t>3.1.1.04.0749</t>
  </si>
  <si>
    <t>RECEITA OPERACIONAL TOTAL</t>
  </si>
  <si>
    <t>CUSTO DOS PRODUTOS VENDIDOS (CPV/CMV)</t>
  </si>
  <si>
    <t>3.7.1.01.0162</t>
  </si>
  <si>
    <t>3.7.1.01.0165</t>
  </si>
  <si>
    <t>3.7.1.01.0167</t>
  </si>
  <si>
    <t>3.7.1.01.0170</t>
  </si>
  <si>
    <t>ROYALTIES EDITORIAIS E OUTROS</t>
  </si>
  <si>
    <t>TOTAL CUSTO DOS PRODUTOS VENDIDOS</t>
  </si>
  <si>
    <t>LUCRO BRUTO</t>
  </si>
  <si>
    <t>DESPESAS VARIÁVEIS COMERCIAIS</t>
  </si>
  <si>
    <t>3.7.1.01.0164</t>
  </si>
  <si>
    <t>FRETES SOBRE MERCADORIAS</t>
  </si>
  <si>
    <t>4.1.1.05.0206</t>
  </si>
  <si>
    <t>4.3.1.01.0212</t>
  </si>
  <si>
    <t>4.3.1.01.0224</t>
  </si>
  <si>
    <t>TAXA DE CARTAO / GATEWAY</t>
  </si>
  <si>
    <t>4.3.1.03.0250</t>
  </si>
  <si>
    <t>4.3.1.03.0253</t>
  </si>
  <si>
    <t>4.3.1.03.0651</t>
  </si>
  <si>
    <t>4.3.1.03.0653</t>
  </si>
  <si>
    <t>4.3.1.03.0654</t>
  </si>
  <si>
    <t>TOTAL DESPESAS VARIÁVEIS COMERCIAIS</t>
  </si>
  <si>
    <t>MARGEM DE CONTRIBUIÇÃO</t>
  </si>
  <si>
    <t>DESPESAS FIXAS OPERACIONAIS</t>
  </si>
  <si>
    <t>DESPESA FIXA COMERCIAL</t>
  </si>
  <si>
    <t>SALARIO FIXO DOS VENDEDORES</t>
  </si>
  <si>
    <t>4.1.1.01.0182</t>
  </si>
  <si>
    <t>EQUIPE DE MARKETING</t>
  </si>
  <si>
    <t>4.1.1.01.0181</t>
  </si>
  <si>
    <t>4.1.1.02.0188</t>
  </si>
  <si>
    <t>MARKETING - CLT</t>
  </si>
  <si>
    <t>4.1.1.01.0184</t>
  </si>
  <si>
    <t>ENCARGOS PREVIDENCIARIOS E SOCIAIS</t>
  </si>
  <si>
    <t>4.1.1.03.0502</t>
  </si>
  <si>
    <t>INSS - COMERCIAL</t>
  </si>
  <si>
    <t>4.1.1.03.0503</t>
  </si>
  <si>
    <t>FGTS - COMERCIAL</t>
  </si>
  <si>
    <t>4.1.1.03.0504</t>
  </si>
  <si>
    <t>PIS - COMERCIAL</t>
  </si>
  <si>
    <t>4.1.1.04.0511</t>
  </si>
  <si>
    <t>VALE TRANSPORTE - COMERCIAL</t>
  </si>
  <si>
    <t>SISTEMAS E FERRAMENTAS ADMINISTRATIVAS</t>
  </si>
  <si>
    <t>4.3.1.06.0710</t>
  </si>
  <si>
    <t>OUTROS</t>
  </si>
  <si>
    <t>PUBLICIDADE</t>
  </si>
  <si>
    <t>4.3.1.02.0171</t>
  </si>
  <si>
    <t>4.3.1.02.0245</t>
  </si>
  <si>
    <t>DESPESA FIXA ADMINITRATIVA</t>
  </si>
  <si>
    <t>SALÁRIOS E ENCARGOS</t>
  </si>
  <si>
    <t>4.1.1.01.0180</t>
  </si>
  <si>
    <t>4.1.1.01.0187</t>
  </si>
  <si>
    <t>4.1.1.02.0189</t>
  </si>
  <si>
    <t>ADMINISTRACAO - CLT</t>
  </si>
  <si>
    <t>4.1.1.02.0190</t>
  </si>
  <si>
    <t>EXPEDICAO - CLT</t>
  </si>
  <si>
    <t>4.1.1.02.0192</t>
  </si>
  <si>
    <t>FINANCEIRO - CLT</t>
  </si>
  <si>
    <t>4.1.1.02.0193</t>
  </si>
  <si>
    <t>4.1.1.03.0195</t>
  </si>
  <si>
    <t>INSS - ADMINISTRATIVO</t>
  </si>
  <si>
    <t>4.1.1.03.0196</t>
  </si>
  <si>
    <t>FGTS - ADMINISTRATIVO</t>
  </si>
  <si>
    <t>4.1.1.03.0197</t>
  </si>
  <si>
    <t>PIS - ADMINISTRATIVO</t>
  </si>
  <si>
    <t>4.1.1.04.0200</t>
  </si>
  <si>
    <t>4.1.1.04.0201</t>
  </si>
  <si>
    <t>VALE TRANSPORTE - ADMINISTRATIVO</t>
  </si>
  <si>
    <t>4.1.1.04.0202</t>
  </si>
  <si>
    <t>4.1.1.04.0203</t>
  </si>
  <si>
    <t>4.2.1.02.0210</t>
  </si>
  <si>
    <t>ALUGUEL E CONDOMÍNIO</t>
  </si>
  <si>
    <t>4.3.1.01.0229</t>
  </si>
  <si>
    <t>4.3.1.01.0237</t>
  </si>
  <si>
    <t>CONTABILIDADE</t>
  </si>
  <si>
    <t>4.3.1.01.0214</t>
  </si>
  <si>
    <t>OUTRAS PRESTACAO DE SERVIÇO</t>
  </si>
  <si>
    <t>4.3.1.01.0217</t>
  </si>
  <si>
    <t>ENERGIA ELÉTRICA, ÁGUA E ESGOTO E INTERNET</t>
  </si>
  <si>
    <t>4.3.1.01.0220</t>
  </si>
  <si>
    <t>4.3.1.01.0244</t>
  </si>
  <si>
    <t>TARIFAS BANCÁRIAS</t>
  </si>
  <si>
    <t>4.3.1.03.0252</t>
  </si>
  <si>
    <t>4.3.1.01.0213</t>
  </si>
  <si>
    <t>4.3.1.01.0216</t>
  </si>
  <si>
    <t>4.3.1.01.0225</t>
  </si>
  <si>
    <t>4.3.1.01.0227</t>
  </si>
  <si>
    <t>4.3.1.01.0231</t>
  </si>
  <si>
    <t>4.3.1.01.0236</t>
  </si>
  <si>
    <t>4.3.1.01.0238</t>
  </si>
  <si>
    <t>4.3.1.01.0243</t>
  </si>
  <si>
    <t>ENCARGOS DE DEPRECIACAO</t>
  </si>
  <si>
    <t>4.3.1.03.0251</t>
  </si>
  <si>
    <t>4.3.1.04.0255</t>
  </si>
  <si>
    <t>4.3.1.04.0263</t>
  </si>
  <si>
    <t>SUPERÁVIT APURADO NO EXERCÍCIO DE</t>
  </si>
  <si>
    <t>OUTROS - COMERCIAL</t>
  </si>
  <si>
    <t>SISTEMAS E FERRAMENTAS ADMINISTRATIVAS - COMERCIAL</t>
  </si>
  <si>
    <t>DESPESAS COM INFORMATICA / SISTEMAS / SOFTWARES - COMERCIAL</t>
  </si>
  <si>
    <t>3.1.1.03.0862</t>
  </si>
  <si>
    <t>EVENTO</t>
  </si>
  <si>
    <t>MARKETING E PUBLICIDADE - COMERCIAL</t>
  </si>
  <si>
    <t>4.1.1.01.0186</t>
  </si>
  <si>
    <t>4.3.1.01.0218</t>
  </si>
  <si>
    <t>4.3.1.01.0222</t>
  </si>
  <si>
    <t>4.3.1.01.0228</t>
  </si>
  <si>
    <t>DESPESAS COM MARKETING E PUBLICIDADE -</t>
  </si>
  <si>
    <t>4.1.1.05.0207</t>
  </si>
  <si>
    <t>4.3.1.02.0247</t>
  </si>
  <si>
    <t>4.3.1.01.0219</t>
  </si>
  <si>
    <t>4.3.1.01.0233</t>
  </si>
  <si>
    <t>DÉFICIT APURADO NO EXERCÍCIO DE</t>
  </si>
  <si>
    <t>RECEITAS FINANCEIRAS</t>
  </si>
  <si>
    <t>3.2.1.01.0135</t>
  </si>
  <si>
    <t>4.1.1.02.0535</t>
  </si>
  <si>
    <t>4.1.1.02.0536</t>
  </si>
  <si>
    <t>13 SALARIO - COMERCIAL</t>
  </si>
  <si>
    <t>4.1.1.03.0505</t>
  </si>
  <si>
    <t>INSS FERIAS - COMERCIAL</t>
  </si>
  <si>
    <t>4.1.1.03.0506</t>
  </si>
  <si>
    <t>FGTS FERIAS - COMERCIAL</t>
  </si>
  <si>
    <t>4.1.1.03.0508</t>
  </si>
  <si>
    <t>PIS FERIAS - COMERCIAL</t>
  </si>
  <si>
    <t>4.1.1.03.0527</t>
  </si>
  <si>
    <t>INSS SOBRE 13 SALARIO - COMERCIAL</t>
  </si>
  <si>
    <t>4.1.1.03.0528</t>
  </si>
  <si>
    <t>FGTS SOBRE 13 SALARIO - COMERCIAL</t>
  </si>
  <si>
    <t>4.1.1.03.0529</t>
  </si>
  <si>
    <t>PIS SOBRE 13 SALARIO - COMERCIAL</t>
  </si>
  <si>
    <t>4.1.1.02.0530</t>
  </si>
  <si>
    <t>SALARIO DE FERIAS - ADMINISTRACAO</t>
  </si>
  <si>
    <t>4.1.1.02.0531</t>
  </si>
  <si>
    <t>13 SALARIO - ADMINISTRACAO</t>
  </si>
  <si>
    <t>4.1.1.03.0499</t>
  </si>
  <si>
    <t>PIS FERIAS - ADMINISTRACAO</t>
  </si>
  <si>
    <t>4.1.1.03.0500</t>
  </si>
  <si>
    <t>INSS FERIAS - ADMINISTRACAO</t>
  </si>
  <si>
    <t>4.1.1.03.0501</t>
  </si>
  <si>
    <t>FGTS FERIAS - ADMINISTRACAO</t>
  </si>
  <si>
    <t>4.1.1.03.0522</t>
  </si>
  <si>
    <t>INSS SOBRE 13 SALARIO - ADMINISTRACAO</t>
  </si>
  <si>
    <t>4.1.1.03.0523</t>
  </si>
  <si>
    <t>FGTS SOBRE 13 SALARIO - ADMINISTRACAO</t>
  </si>
  <si>
    <t>4.1.1.03.0524</t>
  </si>
  <si>
    <t>PIS SOBRE 13 SALARIO - ADMINISTRACAO</t>
  </si>
  <si>
    <t>4.3.1.01.0215</t>
  </si>
  <si>
    <t>4.3.1.01.0234</t>
  </si>
  <si>
    <t>SALARIO DE FERIAS - MARKETING</t>
  </si>
  <si>
    <t>4.1.1.01.0179</t>
  </si>
  <si>
    <t>FINANCEIRO - PJ</t>
  </si>
  <si>
    <t>EDITORIAL - PJ</t>
  </si>
  <si>
    <t>4.1.1.03.0198</t>
  </si>
  <si>
    <t>CONTRIBUICAO SINDICAL</t>
  </si>
  <si>
    <t>3.1.1.03.0866</t>
  </si>
  <si>
    <t>FULL ML</t>
  </si>
  <si>
    <t>3.1.1.03.0867</t>
  </si>
  <si>
    <t>TIKTOK</t>
  </si>
  <si>
    <t>4.3.1.01.0226</t>
  </si>
  <si>
    <t>SEGUROS</t>
  </si>
  <si>
    <t>3.1.1.03.0868</t>
  </si>
  <si>
    <t>SHOWROOM</t>
  </si>
  <si>
    <t>4.3.1.01.0232</t>
  </si>
  <si>
    <t>3.1.1.03.0869</t>
  </si>
  <si>
    <t>AMAZON FULL</t>
  </si>
  <si>
    <t>4.3.1.06.0711</t>
  </si>
  <si>
    <t>4.3.1.06.0709</t>
  </si>
  <si>
    <t>VIAGEM, ESTADIA E PEDAGIO - ADM</t>
  </si>
  <si>
    <t>OUTRAS RECEITAS</t>
  </si>
  <si>
    <t>3.3.1.01.0159</t>
  </si>
  <si>
    <t>4.1.1.01.0185</t>
  </si>
  <si>
    <t>BONUS PARA O ADMINISTRADOR</t>
  </si>
  <si>
    <t>4.1.1.05.0540</t>
  </si>
  <si>
    <t>4.1.1.05.0541</t>
  </si>
  <si>
    <t>BONUS POR META - SETOR ATACADO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</si>
</sst>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4" borderId="0" xfId="0" applyFill="1"/>
    <xf numFmtId="4" fontId="1" fillId="4" borderId="1" xfId="0" applyNumberFormat="1" applyFont="1" applyFill="1" applyBorder="1"/>
    <xf numFmtId="0" fontId="2" fillId="4" borderId="0" xfId="0" applyFont="1" applyFill="1"/>
    <xf numFmtId="4" fontId="0" fillId="4" borderId="0" xfId="0" applyNumberFormat="1" applyFill="1"/>
    <xf numFmtId="4" fontId="0" fillId="3" borderId="0" xfId="0" applyNumberFormat="1" applyFill="1"/>
    <xf numFmtId="0" fontId="1" fillId="0" borderId="0" xfId="0" applyFont="1"/>
    <xf numFmtId="164" fontId="0" fillId="0" borderId="0" xfId="0" applyNumberFormat="1"/>
    <xf numFmtId="0" fontId="1" fillId="3" borderId="0" xfId="0" applyFont="1" applyFill="1"/>
    <xf numFmtId="17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7" fontId="1" fillId="0" borderId="0" xfId="0" applyNumberFormat="1" applyFont="1"/>
    <xf numFmtId="4" fontId="1" fillId="4" borderId="0" xfId="0" applyNumberFormat="1" applyFont="1" applyFill="1"/>
    <xf numFmtId="0" fontId="0" fillId="5" borderId="0" xfId="0" applyFill="1"/>
    <xf numFmtId="4" fontId="1" fillId="5" borderId="1" xfId="0" applyNumberFormat="1" applyFont="1" applyFill="1" applyBorder="1"/>
    <xf numFmtId="4" fontId="1" fillId="5" borderId="0" xfId="0" applyNumberFormat="1" applyFont="1" applyFill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1"/>
  <sheetViews>
    <sheetView workbookViewId="0">
      <selection sqref="A1:W110"/>
    </sheetView>
  </sheetViews>
  <sheetFormatPr baseColWidth="10" defaultColWidth="8.83203125" defaultRowHeight="15" x14ac:dyDescent="0.2"/>
  <cols>
    <col min="1" max="7" width="9.1640625" customWidth="1"/>
    <col min="12" max="12" width="11" bestFit="1" customWidth="1"/>
    <col min="18" max="18" width="11" bestFit="1" customWidth="1"/>
    <col min="19" max="19" width="10.83203125" bestFit="1" customWidth="1"/>
  </cols>
  <sheetData>
    <row r="1" spans="1:25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25" ht="15" customHeight="1" x14ac:dyDescent="0.2">
      <c r="H2" t="s">
        <v>67</v>
      </c>
      <c r="K2" s="1"/>
      <c r="R2" s="1">
        <v>495905.57</v>
      </c>
      <c r="S2" s="1"/>
      <c r="T2" s="1"/>
      <c r="Y2" s="1"/>
    </row>
    <row r="3" spans="1:25" x14ac:dyDescent="0.2">
      <c r="A3">
        <v>860</v>
      </c>
      <c r="D3" t="s">
        <v>68</v>
      </c>
      <c r="I3" t="s">
        <v>69</v>
      </c>
      <c r="K3" s="1"/>
      <c r="R3" s="1">
        <v>254042.11</v>
      </c>
      <c r="S3" s="1"/>
      <c r="T3" s="1"/>
      <c r="Y3" s="1"/>
    </row>
    <row r="4" spans="1:25" ht="15" customHeight="1" x14ac:dyDescent="0.2">
      <c r="A4">
        <v>861</v>
      </c>
      <c r="D4" t="s">
        <v>70</v>
      </c>
      <c r="I4" t="s">
        <v>71</v>
      </c>
      <c r="K4" s="1"/>
      <c r="R4" s="1">
        <v>163266.31</v>
      </c>
      <c r="S4" s="1"/>
      <c r="T4" s="1"/>
      <c r="Y4" s="1"/>
    </row>
    <row r="5" spans="1:25" x14ac:dyDescent="0.2">
      <c r="A5">
        <v>865</v>
      </c>
      <c r="D5" t="s">
        <v>72</v>
      </c>
      <c r="I5" t="s">
        <v>73</v>
      </c>
      <c r="K5" s="1"/>
      <c r="R5" s="1">
        <v>78597.149999999994</v>
      </c>
      <c r="S5" s="1"/>
      <c r="T5" s="1"/>
      <c r="Y5" s="1"/>
    </row>
    <row r="6" spans="1:25" ht="15" customHeight="1" x14ac:dyDescent="0.2">
      <c r="H6" t="s">
        <v>74</v>
      </c>
      <c r="K6" s="1"/>
      <c r="R6" s="1">
        <v>13298.19</v>
      </c>
      <c r="S6" s="1"/>
      <c r="T6" s="1"/>
      <c r="Y6" s="1"/>
    </row>
    <row r="7" spans="1:25" x14ac:dyDescent="0.2">
      <c r="A7">
        <v>863</v>
      </c>
      <c r="D7" t="s">
        <v>75</v>
      </c>
      <c r="I7" t="s">
        <v>76</v>
      </c>
      <c r="K7" s="1"/>
      <c r="R7" s="1">
        <v>11612.4</v>
      </c>
      <c r="S7" s="1"/>
      <c r="T7" s="1"/>
      <c r="Y7" s="1"/>
    </row>
    <row r="8" spans="1:25" ht="15" customHeight="1" x14ac:dyDescent="0.2">
      <c r="A8">
        <v>864</v>
      </c>
      <c r="D8" t="s">
        <v>77</v>
      </c>
      <c r="I8" t="s">
        <v>78</v>
      </c>
      <c r="K8" s="1"/>
      <c r="R8" s="1">
        <v>1685.79</v>
      </c>
      <c r="S8" s="1"/>
      <c r="T8" s="1"/>
      <c r="Y8" s="1"/>
    </row>
    <row r="9" spans="1:25" ht="15" customHeight="1" x14ac:dyDescent="0.2">
      <c r="H9" t="s">
        <v>79</v>
      </c>
      <c r="K9" s="1"/>
      <c r="R9" s="1">
        <v>509203.76</v>
      </c>
      <c r="S9" s="1"/>
      <c r="T9" s="1"/>
      <c r="Y9" s="1"/>
    </row>
    <row r="10" spans="1:25" x14ac:dyDescent="0.2">
      <c r="I10" t="s">
        <v>7</v>
      </c>
      <c r="S10" s="1"/>
      <c r="T10" s="1"/>
    </row>
    <row r="11" spans="1:25" ht="15" customHeight="1" x14ac:dyDescent="0.2">
      <c r="H11" t="s">
        <v>80</v>
      </c>
      <c r="R11">
        <v>-318.25</v>
      </c>
      <c r="S11" s="1"/>
      <c r="T11" s="1"/>
    </row>
    <row r="12" spans="1:25" ht="15" customHeight="1" x14ac:dyDescent="0.2">
      <c r="A12">
        <v>166</v>
      </c>
      <c r="D12" t="s">
        <v>81</v>
      </c>
      <c r="I12" t="s">
        <v>10</v>
      </c>
      <c r="R12">
        <v>-296.45</v>
      </c>
      <c r="S12" s="1"/>
      <c r="T12" s="1"/>
    </row>
    <row r="13" spans="1:25" ht="15" customHeight="1" x14ac:dyDescent="0.2">
      <c r="A13">
        <v>168</v>
      </c>
      <c r="D13" t="s">
        <v>82</v>
      </c>
      <c r="I13" t="s">
        <v>12</v>
      </c>
      <c r="R13">
        <v>-21.8</v>
      </c>
      <c r="T13" s="1"/>
    </row>
    <row r="14" spans="1:25" ht="15" customHeight="1" x14ac:dyDescent="0.2">
      <c r="H14" t="s">
        <v>83</v>
      </c>
      <c r="K14" s="1"/>
      <c r="R14" s="1">
        <v>508885.51</v>
      </c>
      <c r="S14" s="1"/>
      <c r="T14" s="1"/>
      <c r="Y14" s="1"/>
    </row>
    <row r="15" spans="1:25" x14ac:dyDescent="0.2">
      <c r="I15" t="s">
        <v>7</v>
      </c>
      <c r="S15" s="1"/>
      <c r="T15" s="1"/>
    </row>
    <row r="16" spans="1:25" ht="15" customHeight="1" x14ac:dyDescent="0.2">
      <c r="H16" t="s">
        <v>84</v>
      </c>
      <c r="K16" s="1"/>
      <c r="R16" s="1">
        <v>35417.32</v>
      </c>
      <c r="S16" s="1"/>
      <c r="T16" s="1"/>
      <c r="Y16" s="1"/>
    </row>
    <row r="17" spans="1:25" ht="15" customHeight="1" x14ac:dyDescent="0.2">
      <c r="A17">
        <v>749</v>
      </c>
      <c r="D17" t="s">
        <v>85</v>
      </c>
      <c r="I17" t="s">
        <v>58</v>
      </c>
      <c r="K17" s="1"/>
      <c r="R17" s="1">
        <v>35417.32</v>
      </c>
      <c r="S17" s="1"/>
      <c r="T17" s="1"/>
      <c r="Y17" s="1"/>
    </row>
    <row r="18" spans="1:25" ht="15" customHeight="1" x14ac:dyDescent="0.2">
      <c r="H18" t="s">
        <v>86</v>
      </c>
      <c r="K18" s="1"/>
      <c r="R18" s="1">
        <v>544302.82999999996</v>
      </c>
      <c r="S18" s="1"/>
      <c r="T18" s="1"/>
      <c r="Y18" s="1"/>
    </row>
    <row r="19" spans="1:25" x14ac:dyDescent="0.2">
      <c r="I19" t="s">
        <v>7</v>
      </c>
      <c r="S19" s="1"/>
      <c r="T19" s="1"/>
    </row>
    <row r="20" spans="1:25" ht="15" customHeight="1" x14ac:dyDescent="0.2">
      <c r="H20" t="s">
        <v>87</v>
      </c>
      <c r="K20" s="1"/>
      <c r="R20" s="1">
        <v>-229501.55</v>
      </c>
      <c r="S20" s="1"/>
      <c r="T20" s="1"/>
      <c r="Y20" s="1"/>
    </row>
    <row r="21" spans="1:25" ht="15" customHeight="1" x14ac:dyDescent="0.2">
      <c r="A21">
        <v>162</v>
      </c>
      <c r="D21" t="s">
        <v>88</v>
      </c>
      <c r="I21" t="s">
        <v>8</v>
      </c>
      <c r="K21" s="1"/>
      <c r="R21" s="1">
        <v>-118537</v>
      </c>
      <c r="S21" s="1"/>
      <c r="T21" s="1"/>
      <c r="Y21" s="1"/>
    </row>
    <row r="22" spans="1:25" ht="15" customHeight="1" x14ac:dyDescent="0.2">
      <c r="A22">
        <v>165</v>
      </c>
      <c r="D22" t="s">
        <v>89</v>
      </c>
      <c r="I22" t="s">
        <v>9</v>
      </c>
      <c r="K22" s="1"/>
      <c r="R22" s="1">
        <v>-39097.269999999997</v>
      </c>
      <c r="S22" s="1"/>
      <c r="T22" s="1"/>
      <c r="Y22" s="1"/>
    </row>
    <row r="23" spans="1:25" ht="15" customHeight="1" x14ac:dyDescent="0.2">
      <c r="A23">
        <v>167</v>
      </c>
      <c r="D23" t="s">
        <v>90</v>
      </c>
      <c r="I23" t="s">
        <v>11</v>
      </c>
      <c r="K23" s="1"/>
      <c r="R23" s="1">
        <v>-2271.61</v>
      </c>
      <c r="S23" s="1"/>
      <c r="T23" s="1"/>
      <c r="Y23" s="1"/>
    </row>
    <row r="24" spans="1:25" ht="15" customHeight="1" x14ac:dyDescent="0.2">
      <c r="A24">
        <v>170</v>
      </c>
      <c r="D24" t="s">
        <v>91</v>
      </c>
      <c r="I24" t="s">
        <v>92</v>
      </c>
      <c r="K24" s="1"/>
      <c r="R24" s="1">
        <v>-69595.67</v>
      </c>
      <c r="S24" s="1"/>
      <c r="T24" s="1"/>
      <c r="Y24" s="1"/>
    </row>
    <row r="25" spans="1:25" ht="15" customHeight="1" x14ac:dyDescent="0.2">
      <c r="H25" t="s">
        <v>93</v>
      </c>
      <c r="K25" s="1"/>
      <c r="R25" s="1">
        <v>-229501.55</v>
      </c>
      <c r="S25" s="1"/>
      <c r="T25" s="1"/>
      <c r="Y25" s="1"/>
    </row>
    <row r="26" spans="1:25" x14ac:dyDescent="0.2">
      <c r="I26" t="s">
        <v>7</v>
      </c>
      <c r="T26" s="1"/>
    </row>
    <row r="27" spans="1:25" ht="15" customHeight="1" x14ac:dyDescent="0.2">
      <c r="H27" t="s">
        <v>94</v>
      </c>
      <c r="K27" s="1"/>
      <c r="R27" s="1">
        <v>314801.28000000003</v>
      </c>
      <c r="S27" s="1"/>
      <c r="T27" s="1"/>
      <c r="Y27" s="1"/>
    </row>
    <row r="28" spans="1:25" x14ac:dyDescent="0.2">
      <c r="I28" t="s">
        <v>7</v>
      </c>
      <c r="T28" s="1"/>
    </row>
    <row r="29" spans="1:25" ht="15" customHeight="1" x14ac:dyDescent="0.2">
      <c r="H29" t="s">
        <v>95</v>
      </c>
      <c r="K29" s="1"/>
      <c r="R29" s="1">
        <v>-45438.63</v>
      </c>
      <c r="S29" s="1"/>
      <c r="T29" s="1"/>
      <c r="Y29" s="1"/>
    </row>
    <row r="30" spans="1:25" ht="15" customHeight="1" x14ac:dyDescent="0.2">
      <c r="A30">
        <v>164</v>
      </c>
      <c r="D30" t="s">
        <v>96</v>
      </c>
      <c r="I30" t="s">
        <v>97</v>
      </c>
      <c r="K30" s="1"/>
      <c r="R30" s="1">
        <v>-38368.67</v>
      </c>
      <c r="S30" s="1"/>
      <c r="T30" s="1"/>
      <c r="Y30" s="1"/>
    </row>
    <row r="31" spans="1:25" ht="15" customHeight="1" x14ac:dyDescent="0.2">
      <c r="A31">
        <v>206</v>
      </c>
      <c r="D31" t="s">
        <v>98</v>
      </c>
      <c r="I31" t="s">
        <v>13</v>
      </c>
      <c r="K31" s="1"/>
      <c r="R31" s="1">
        <v>-5380.07</v>
      </c>
      <c r="S31" s="1"/>
      <c r="T31" s="1"/>
      <c r="Y31" s="1"/>
    </row>
    <row r="32" spans="1:25" ht="15" customHeight="1" x14ac:dyDescent="0.2">
      <c r="A32">
        <v>212</v>
      </c>
      <c r="D32" t="s">
        <v>99</v>
      </c>
      <c r="I32" t="s">
        <v>19</v>
      </c>
      <c r="R32">
        <v>-690.89</v>
      </c>
      <c r="S32" s="1"/>
      <c r="T32" s="1"/>
    </row>
    <row r="33" spans="1:25" ht="15" customHeight="1" x14ac:dyDescent="0.2">
      <c r="A33">
        <v>224</v>
      </c>
      <c r="D33" t="s">
        <v>100</v>
      </c>
      <c r="I33" t="s">
        <v>25</v>
      </c>
      <c r="R33">
        <v>-999</v>
      </c>
      <c r="S33" s="1"/>
      <c r="T33" s="1"/>
    </row>
    <row r="34" spans="1:25" ht="15" customHeight="1" x14ac:dyDescent="0.2">
      <c r="H34" t="s">
        <v>101</v>
      </c>
      <c r="K34" s="1"/>
      <c r="R34" s="1">
        <v>-7467.97</v>
      </c>
      <c r="S34" s="1"/>
      <c r="T34" s="1"/>
      <c r="Y34" s="1"/>
    </row>
    <row r="35" spans="1:25" ht="15" customHeight="1" x14ac:dyDescent="0.2">
      <c r="A35">
        <v>250</v>
      </c>
      <c r="D35" t="s">
        <v>102</v>
      </c>
      <c r="I35" t="s">
        <v>35</v>
      </c>
      <c r="R35">
        <v>-14.41</v>
      </c>
      <c r="S35" s="1"/>
      <c r="T35" s="1"/>
    </row>
    <row r="36" spans="1:25" ht="15" customHeight="1" x14ac:dyDescent="0.2">
      <c r="A36">
        <v>253</v>
      </c>
      <c r="D36" t="s">
        <v>103</v>
      </c>
      <c r="I36" t="s">
        <v>38</v>
      </c>
      <c r="R36">
        <v>-127.84</v>
      </c>
      <c r="S36" s="1"/>
      <c r="T36" s="1"/>
    </row>
    <row r="37" spans="1:25" ht="15" customHeight="1" x14ac:dyDescent="0.2">
      <c r="A37">
        <v>651</v>
      </c>
      <c r="D37" t="s">
        <v>104</v>
      </c>
      <c r="I37" t="s">
        <v>39</v>
      </c>
      <c r="R37">
        <v>-192.64</v>
      </c>
      <c r="S37" s="1"/>
      <c r="T37" s="1"/>
    </row>
    <row r="38" spans="1:25" ht="15" customHeight="1" x14ac:dyDescent="0.2">
      <c r="A38">
        <v>653</v>
      </c>
      <c r="D38" t="s">
        <v>105</v>
      </c>
      <c r="I38" t="s">
        <v>40</v>
      </c>
      <c r="R38">
        <v>-39.71</v>
      </c>
      <c r="S38" s="1"/>
      <c r="T38" s="1"/>
    </row>
    <row r="39" spans="1:25" ht="15" customHeight="1" x14ac:dyDescent="0.2">
      <c r="A39">
        <v>654</v>
      </c>
      <c r="D39" t="s">
        <v>106</v>
      </c>
      <c r="I39" t="s">
        <v>41</v>
      </c>
      <c r="K39" s="1"/>
      <c r="R39" s="1">
        <v>-7093.37</v>
      </c>
      <c r="S39" s="1"/>
      <c r="T39" s="1"/>
      <c r="Y39" s="1"/>
    </row>
    <row r="40" spans="1:25" ht="15" customHeight="1" x14ac:dyDescent="0.2">
      <c r="H40" t="s">
        <v>107</v>
      </c>
      <c r="K40" s="1"/>
      <c r="R40" s="1">
        <v>-52906.6</v>
      </c>
      <c r="S40" s="1"/>
      <c r="T40" s="1"/>
      <c r="Y40" s="1"/>
    </row>
    <row r="41" spans="1:25" x14ac:dyDescent="0.2">
      <c r="I41" t="s">
        <v>7</v>
      </c>
      <c r="S41" s="1"/>
      <c r="T41" s="1"/>
    </row>
    <row r="42" spans="1:25" ht="15" customHeight="1" x14ac:dyDescent="0.2">
      <c r="H42" t="s">
        <v>108</v>
      </c>
      <c r="K42" s="1"/>
      <c r="R42" s="1">
        <v>261894.68</v>
      </c>
      <c r="S42" s="1"/>
      <c r="T42" s="1"/>
      <c r="Y42" s="1"/>
    </row>
    <row r="43" spans="1:25" x14ac:dyDescent="0.2">
      <c r="I43" t="s">
        <v>7</v>
      </c>
      <c r="T43" s="1"/>
    </row>
    <row r="44" spans="1:25" ht="15" customHeight="1" x14ac:dyDescent="0.2">
      <c r="H44" t="s">
        <v>109</v>
      </c>
      <c r="K44" s="1"/>
      <c r="R44" s="1">
        <v>-73305.91</v>
      </c>
      <c r="S44" s="1"/>
      <c r="T44" s="1"/>
      <c r="Y44" s="1"/>
    </row>
    <row r="45" spans="1:25" x14ac:dyDescent="0.2">
      <c r="I45" t="s">
        <v>7</v>
      </c>
      <c r="S45" s="1"/>
      <c r="T45" s="1"/>
    </row>
    <row r="46" spans="1:25" ht="15" customHeight="1" x14ac:dyDescent="0.2">
      <c r="H46" t="s">
        <v>110</v>
      </c>
      <c r="K46" s="1"/>
      <c r="R46" s="1">
        <v>-73305.91</v>
      </c>
      <c r="S46" s="1"/>
      <c r="T46" s="1"/>
      <c r="Y46" s="1"/>
    </row>
    <row r="47" spans="1:25" x14ac:dyDescent="0.2">
      <c r="I47" t="s">
        <v>7</v>
      </c>
      <c r="S47" s="1"/>
      <c r="T47" s="1"/>
    </row>
    <row r="48" spans="1:25" ht="15" customHeight="1" x14ac:dyDescent="0.2">
      <c r="H48" t="s">
        <v>111</v>
      </c>
      <c r="K48" s="1"/>
      <c r="R48" s="1">
        <v>-3214.9</v>
      </c>
      <c r="S48" s="1"/>
      <c r="T48" s="1"/>
      <c r="Y48" s="1"/>
    </row>
    <row r="49" spans="1:25" ht="15" customHeight="1" x14ac:dyDescent="0.2">
      <c r="A49">
        <v>182</v>
      </c>
      <c r="D49" t="s">
        <v>112</v>
      </c>
      <c r="I49" t="s">
        <v>54</v>
      </c>
      <c r="K49" s="1"/>
      <c r="R49" s="1">
        <v>-3214.9</v>
      </c>
      <c r="S49" s="1"/>
      <c r="T49" s="1"/>
      <c r="Y49" s="1"/>
    </row>
    <row r="50" spans="1:25" ht="15" customHeight="1" x14ac:dyDescent="0.2">
      <c r="H50" t="s">
        <v>113</v>
      </c>
      <c r="K50" s="1"/>
      <c r="R50" s="1">
        <v>-20385.71</v>
      </c>
      <c r="S50" s="1"/>
      <c r="T50" s="1"/>
      <c r="Y50" s="1"/>
    </row>
    <row r="51" spans="1:25" ht="15" customHeight="1" x14ac:dyDescent="0.2">
      <c r="A51">
        <v>181</v>
      </c>
      <c r="D51" t="s">
        <v>114</v>
      </c>
      <c r="I51" t="s">
        <v>53</v>
      </c>
      <c r="K51" s="1"/>
      <c r="R51" s="1">
        <v>-9430</v>
      </c>
      <c r="S51" s="1"/>
      <c r="T51" s="1"/>
      <c r="Y51" s="1"/>
    </row>
    <row r="52" spans="1:25" ht="15" customHeight="1" x14ac:dyDescent="0.2">
      <c r="A52">
        <v>188</v>
      </c>
      <c r="D52" t="s">
        <v>115</v>
      </c>
      <c r="I52" t="s">
        <v>116</v>
      </c>
      <c r="K52" s="1"/>
      <c r="R52" s="1">
        <v>-10955.71</v>
      </c>
      <c r="S52" s="1"/>
      <c r="T52" s="1"/>
      <c r="Y52" s="1"/>
    </row>
    <row r="53" spans="1:25" x14ac:dyDescent="0.2">
      <c r="H53" t="s">
        <v>73</v>
      </c>
      <c r="K53" s="1"/>
      <c r="R53" s="1">
        <v>-6985</v>
      </c>
      <c r="S53" s="1"/>
      <c r="T53" s="1"/>
      <c r="Y53" s="1"/>
    </row>
    <row r="54" spans="1:25" ht="15" customHeight="1" x14ac:dyDescent="0.2">
      <c r="A54">
        <v>184</v>
      </c>
      <c r="D54" t="s">
        <v>117</v>
      </c>
      <c r="I54" t="s">
        <v>57</v>
      </c>
      <c r="K54" s="1"/>
      <c r="R54" s="1">
        <v>-6985</v>
      </c>
      <c r="S54" s="1"/>
      <c r="T54" s="1"/>
      <c r="Y54" s="1"/>
    </row>
    <row r="55" spans="1:25" ht="15" customHeight="1" x14ac:dyDescent="0.2">
      <c r="H55" t="s">
        <v>118</v>
      </c>
      <c r="K55" s="1"/>
      <c r="R55" s="1">
        <v>-5776.55</v>
      </c>
      <c r="S55" s="1"/>
      <c r="T55" s="1"/>
      <c r="Y55" s="1"/>
    </row>
    <row r="56" spans="1:25" ht="15" customHeight="1" x14ac:dyDescent="0.2">
      <c r="A56">
        <v>502</v>
      </c>
      <c r="D56" t="s">
        <v>119</v>
      </c>
      <c r="I56" t="s">
        <v>120</v>
      </c>
      <c r="K56" s="1"/>
      <c r="R56" s="1">
        <v>-3487.17</v>
      </c>
      <c r="S56" s="1"/>
      <c r="T56" s="1"/>
      <c r="Y56" s="1"/>
    </row>
    <row r="57" spans="1:25" ht="15" customHeight="1" x14ac:dyDescent="0.2">
      <c r="A57">
        <v>503</v>
      </c>
      <c r="D57" t="s">
        <v>121</v>
      </c>
      <c r="I57" t="s">
        <v>122</v>
      </c>
      <c r="R57">
        <v>-963.01</v>
      </c>
      <c r="S57" s="1"/>
      <c r="T57" s="1"/>
    </row>
    <row r="58" spans="1:25" ht="15" customHeight="1" x14ac:dyDescent="0.2">
      <c r="A58">
        <v>504</v>
      </c>
      <c r="D58" t="s">
        <v>123</v>
      </c>
      <c r="I58" t="s">
        <v>124</v>
      </c>
      <c r="R58">
        <v>-120.37</v>
      </c>
      <c r="S58" s="1"/>
      <c r="T58" s="1"/>
    </row>
    <row r="59" spans="1:25" ht="15" customHeight="1" x14ac:dyDescent="0.2">
      <c r="A59">
        <v>511</v>
      </c>
      <c r="D59" t="s">
        <v>125</v>
      </c>
      <c r="I59" t="s">
        <v>126</v>
      </c>
      <c r="K59" s="1"/>
      <c r="R59" s="1">
        <v>-1206</v>
      </c>
      <c r="S59" s="1"/>
      <c r="T59" s="1"/>
      <c r="Y59" s="1"/>
    </row>
    <row r="60" spans="1:25" ht="15" customHeight="1" x14ac:dyDescent="0.2">
      <c r="H60" t="s">
        <v>182</v>
      </c>
      <c r="K60" s="1"/>
      <c r="R60" s="1">
        <v>-3522.01</v>
      </c>
      <c r="S60" s="1"/>
      <c r="T60" s="1"/>
      <c r="Y60" s="1"/>
    </row>
    <row r="61" spans="1:25" ht="15" customHeight="1" x14ac:dyDescent="0.2">
      <c r="A61">
        <v>710</v>
      </c>
      <c r="D61" t="s">
        <v>128</v>
      </c>
      <c r="I61" t="s">
        <v>183</v>
      </c>
      <c r="K61" s="1"/>
      <c r="R61" s="1">
        <v>-3522.01</v>
      </c>
      <c r="S61" s="1"/>
      <c r="T61" s="1"/>
      <c r="Y61" s="1"/>
    </row>
    <row r="62" spans="1:25" x14ac:dyDescent="0.2">
      <c r="H62" t="s">
        <v>181</v>
      </c>
      <c r="K62" s="1"/>
      <c r="R62" s="1">
        <v>-6307.63</v>
      </c>
      <c r="S62" s="1"/>
      <c r="T62" s="1"/>
      <c r="Y62" s="1"/>
    </row>
    <row r="63" spans="1:25" ht="15" customHeight="1" x14ac:dyDescent="0.2">
      <c r="A63">
        <v>711</v>
      </c>
      <c r="D63" t="s">
        <v>249</v>
      </c>
      <c r="I63" t="s">
        <v>30</v>
      </c>
      <c r="K63" s="1"/>
      <c r="R63" s="1">
        <v>-6307.63</v>
      </c>
      <c r="S63" s="1"/>
      <c r="T63" s="1"/>
      <c r="Y63" s="1"/>
    </row>
    <row r="64" spans="1:25" ht="15" customHeight="1" x14ac:dyDescent="0.2">
      <c r="H64" t="s">
        <v>130</v>
      </c>
      <c r="K64" s="1"/>
      <c r="R64" s="1">
        <v>-27114.11</v>
      </c>
      <c r="S64" s="1"/>
      <c r="T64" s="1"/>
      <c r="Y64" s="1"/>
    </row>
    <row r="65" spans="1:25" ht="15" customHeight="1" x14ac:dyDescent="0.2">
      <c r="A65">
        <v>171</v>
      </c>
      <c r="D65" t="s">
        <v>131</v>
      </c>
      <c r="I65" t="s">
        <v>60</v>
      </c>
      <c r="K65" s="1"/>
      <c r="R65" s="1">
        <v>-25724.11</v>
      </c>
      <c r="S65" s="1"/>
      <c r="T65" s="1"/>
      <c r="Y65" s="1"/>
    </row>
    <row r="66" spans="1:25" ht="15" customHeight="1" x14ac:dyDescent="0.2">
      <c r="A66">
        <v>245</v>
      </c>
      <c r="D66" t="s">
        <v>132</v>
      </c>
      <c r="I66" t="s">
        <v>191</v>
      </c>
      <c r="K66" s="1"/>
      <c r="R66" s="1">
        <v>-1390</v>
      </c>
      <c r="S66" s="1"/>
      <c r="T66" s="1"/>
      <c r="Y66" s="1"/>
    </row>
    <row r="67" spans="1:25" ht="15" customHeight="1" x14ac:dyDescent="0.2">
      <c r="H67" t="s">
        <v>133</v>
      </c>
      <c r="K67" s="1"/>
      <c r="R67" s="1">
        <v>-96068.02</v>
      </c>
      <c r="S67" s="1"/>
      <c r="T67" s="1"/>
      <c r="Y67" s="1"/>
    </row>
    <row r="68" spans="1:25" x14ac:dyDescent="0.2">
      <c r="I68" t="s">
        <v>7</v>
      </c>
      <c r="S68" s="1"/>
      <c r="T68" s="1"/>
    </row>
    <row r="69" spans="1:25" ht="15" customHeight="1" x14ac:dyDescent="0.2">
      <c r="H69" t="s">
        <v>134</v>
      </c>
      <c r="K69" s="1"/>
      <c r="R69" s="1">
        <v>-57629.3</v>
      </c>
      <c r="S69" s="1"/>
      <c r="T69" s="1"/>
      <c r="Y69" s="1"/>
    </row>
    <row r="70" spans="1:25" ht="15" customHeight="1" x14ac:dyDescent="0.2">
      <c r="A70">
        <v>180</v>
      </c>
      <c r="D70" t="s">
        <v>135</v>
      </c>
      <c r="I70" t="s">
        <v>52</v>
      </c>
      <c r="K70" s="1"/>
      <c r="R70" s="1">
        <v>-17401.46</v>
      </c>
      <c r="S70" s="1"/>
      <c r="T70" s="1"/>
      <c r="Y70" s="1"/>
    </row>
    <row r="71" spans="1:25" ht="15" customHeight="1" x14ac:dyDescent="0.2">
      <c r="A71">
        <v>187</v>
      </c>
      <c r="D71" t="s">
        <v>136</v>
      </c>
      <c r="I71" t="s">
        <v>56</v>
      </c>
      <c r="K71" s="1"/>
      <c r="R71" s="1">
        <v>-9224.77</v>
      </c>
      <c r="S71" s="1"/>
      <c r="T71" s="1"/>
      <c r="Y71" s="1"/>
    </row>
    <row r="72" spans="1:25" ht="15" customHeight="1" x14ac:dyDescent="0.2">
      <c r="A72">
        <v>189</v>
      </c>
      <c r="D72" t="s">
        <v>137</v>
      </c>
      <c r="I72" t="s">
        <v>138</v>
      </c>
      <c r="K72" s="1"/>
      <c r="R72" s="1">
        <v>-3750.54</v>
      </c>
      <c r="S72" s="1"/>
      <c r="T72" s="1"/>
      <c r="Y72" s="1"/>
    </row>
    <row r="73" spans="1:25" ht="15" customHeight="1" x14ac:dyDescent="0.2">
      <c r="A73">
        <v>190</v>
      </c>
      <c r="D73" t="s">
        <v>139</v>
      </c>
      <c r="I73" t="s">
        <v>140</v>
      </c>
      <c r="K73" s="1"/>
      <c r="R73" s="1">
        <v>-8968.18</v>
      </c>
      <c r="S73" s="1"/>
      <c r="T73" s="1"/>
      <c r="Y73" s="1"/>
    </row>
    <row r="74" spans="1:25" ht="15" customHeight="1" x14ac:dyDescent="0.2">
      <c r="A74">
        <v>192</v>
      </c>
      <c r="D74" t="s">
        <v>141</v>
      </c>
      <c r="I74" t="s">
        <v>142</v>
      </c>
      <c r="K74" s="1"/>
      <c r="R74" s="1">
        <v>-3038.9</v>
      </c>
      <c r="S74" s="1"/>
      <c r="T74" s="1"/>
      <c r="Y74" s="1"/>
    </row>
    <row r="75" spans="1:25" ht="15" customHeight="1" x14ac:dyDescent="0.2">
      <c r="A75">
        <v>193</v>
      </c>
      <c r="D75" t="s">
        <v>143</v>
      </c>
      <c r="I75" t="s">
        <v>45</v>
      </c>
      <c r="K75" s="1"/>
      <c r="R75" s="1">
        <v>-100</v>
      </c>
      <c r="T75" s="1"/>
      <c r="Y75" s="1"/>
    </row>
    <row r="76" spans="1:25" x14ac:dyDescent="0.2">
      <c r="A76">
        <v>195</v>
      </c>
      <c r="D76" t="s">
        <v>144</v>
      </c>
      <c r="I76" t="s">
        <v>145</v>
      </c>
      <c r="R76" s="1">
        <v>-2151.87</v>
      </c>
      <c r="S76" s="1"/>
      <c r="T76" s="1"/>
    </row>
    <row r="77" spans="1:25" ht="15" customHeight="1" x14ac:dyDescent="0.2">
      <c r="A77">
        <v>196</v>
      </c>
      <c r="D77" t="s">
        <v>146</v>
      </c>
      <c r="I77" t="s">
        <v>147</v>
      </c>
      <c r="K77" s="1"/>
      <c r="R77" s="1">
        <v>-894.02</v>
      </c>
      <c r="T77" s="1"/>
      <c r="Y77" s="1"/>
    </row>
    <row r="78" spans="1:25" ht="15" customHeight="1" x14ac:dyDescent="0.2">
      <c r="A78">
        <v>197</v>
      </c>
      <c r="D78" t="s">
        <v>148</v>
      </c>
      <c r="I78" t="s">
        <v>149</v>
      </c>
      <c r="R78">
        <v>-90.04</v>
      </c>
      <c r="T78" s="1"/>
    </row>
    <row r="79" spans="1:25" ht="15" customHeight="1" x14ac:dyDescent="0.2">
      <c r="A79">
        <v>200</v>
      </c>
      <c r="D79" t="s">
        <v>150</v>
      </c>
      <c r="I79" t="s">
        <v>15</v>
      </c>
      <c r="R79" s="1">
        <v>-2640.6</v>
      </c>
      <c r="S79" s="1"/>
      <c r="T79" s="1"/>
    </row>
    <row r="80" spans="1:25" ht="15" customHeight="1" x14ac:dyDescent="0.2">
      <c r="A80">
        <v>201</v>
      </c>
      <c r="D80" t="s">
        <v>151</v>
      </c>
      <c r="I80" t="s">
        <v>152</v>
      </c>
      <c r="K80" s="1"/>
      <c r="R80" s="1">
        <v>-1279.24</v>
      </c>
      <c r="S80" s="1"/>
      <c r="T80" s="1"/>
      <c r="Y80" s="1"/>
    </row>
    <row r="81" spans="1:25" ht="15" customHeight="1" x14ac:dyDescent="0.2">
      <c r="A81">
        <v>202</v>
      </c>
      <c r="D81" t="s">
        <v>153</v>
      </c>
      <c r="I81" t="s">
        <v>16</v>
      </c>
      <c r="K81" s="1"/>
      <c r="R81" s="1">
        <v>-6003.48</v>
      </c>
      <c r="S81" s="1"/>
      <c r="T81" s="1"/>
      <c r="Y81" s="1"/>
    </row>
    <row r="82" spans="1:25" ht="15" customHeight="1" x14ac:dyDescent="0.2">
      <c r="A82">
        <v>203</v>
      </c>
      <c r="D82" t="s">
        <v>154</v>
      </c>
      <c r="I82" t="s">
        <v>17</v>
      </c>
      <c r="K82" s="1"/>
      <c r="R82" s="1">
        <v>-1627.2</v>
      </c>
      <c r="S82" s="1"/>
      <c r="T82" s="1"/>
      <c r="Y82" s="1"/>
    </row>
    <row r="83" spans="1:25" ht="15" customHeight="1" x14ac:dyDescent="0.2">
      <c r="A83">
        <v>210</v>
      </c>
      <c r="D83" t="s">
        <v>155</v>
      </c>
      <c r="I83" t="s">
        <v>18</v>
      </c>
      <c r="K83" s="1"/>
      <c r="R83" s="1">
        <v>-459</v>
      </c>
      <c r="T83" s="1"/>
      <c r="Y83" s="1"/>
    </row>
    <row r="84" spans="1:25" ht="15" customHeight="1" x14ac:dyDescent="0.2">
      <c r="H84" t="s">
        <v>156</v>
      </c>
      <c r="R84" s="1">
        <v>-7119.08</v>
      </c>
      <c r="S84" s="1"/>
      <c r="T84" s="1"/>
    </row>
    <row r="85" spans="1:25" ht="15" customHeight="1" x14ac:dyDescent="0.2">
      <c r="A85">
        <v>229</v>
      </c>
      <c r="D85" t="s">
        <v>157</v>
      </c>
      <c r="I85" t="s">
        <v>28</v>
      </c>
      <c r="K85" s="1"/>
      <c r="R85" s="1">
        <v>-7089.41</v>
      </c>
      <c r="S85" s="1"/>
      <c r="T85" s="1"/>
      <c r="Y85" s="1"/>
    </row>
    <row r="86" spans="1:25" x14ac:dyDescent="0.2">
      <c r="A86">
        <v>237</v>
      </c>
      <c r="D86" t="s">
        <v>158</v>
      </c>
      <c r="I86" t="s">
        <v>32</v>
      </c>
      <c r="K86" s="1"/>
      <c r="R86" s="1">
        <v>-29.67</v>
      </c>
      <c r="T86" s="1"/>
      <c r="Y86" s="1"/>
    </row>
    <row r="87" spans="1:25" ht="15" customHeight="1" x14ac:dyDescent="0.2">
      <c r="H87" t="s">
        <v>159</v>
      </c>
      <c r="R87" s="1">
        <v>-6054</v>
      </c>
      <c r="S87" s="1"/>
      <c r="T87" s="1"/>
    </row>
    <row r="88" spans="1:25" ht="15" customHeight="1" x14ac:dyDescent="0.2">
      <c r="A88">
        <v>214</v>
      </c>
      <c r="D88" t="s">
        <v>160</v>
      </c>
      <c r="I88" t="s">
        <v>21</v>
      </c>
      <c r="K88" s="1"/>
      <c r="R88" s="1">
        <v>-6054</v>
      </c>
      <c r="S88" s="1"/>
      <c r="T88" s="1"/>
      <c r="Y88" s="1"/>
    </row>
    <row r="89" spans="1:25" ht="15" customHeight="1" x14ac:dyDescent="0.2">
      <c r="H89" t="s">
        <v>161</v>
      </c>
      <c r="K89" s="1"/>
      <c r="R89" s="1">
        <v>-42.64</v>
      </c>
      <c r="T89" s="1"/>
      <c r="Y89" s="1"/>
    </row>
    <row r="90" spans="1:25" ht="15" customHeight="1" x14ac:dyDescent="0.2">
      <c r="A90">
        <v>217</v>
      </c>
      <c r="D90" t="s">
        <v>162</v>
      </c>
      <c r="I90" t="s">
        <v>23</v>
      </c>
      <c r="R90">
        <v>-42.64</v>
      </c>
      <c r="T90" s="1"/>
    </row>
    <row r="91" spans="1:25" ht="15" customHeight="1" x14ac:dyDescent="0.2">
      <c r="H91" t="s">
        <v>163</v>
      </c>
      <c r="R91" s="1">
        <v>-3891.03</v>
      </c>
      <c r="S91" s="1"/>
      <c r="T91" s="1"/>
    </row>
    <row r="92" spans="1:25" ht="15" customHeight="1" x14ac:dyDescent="0.2">
      <c r="A92">
        <v>219</v>
      </c>
      <c r="D92" t="s">
        <v>194</v>
      </c>
      <c r="I92" t="s">
        <v>49</v>
      </c>
      <c r="R92" s="1">
        <v>-3788.33</v>
      </c>
      <c r="S92" s="1"/>
      <c r="T92" s="1"/>
    </row>
    <row r="93" spans="1:25" ht="15" customHeight="1" x14ac:dyDescent="0.2">
      <c r="A93">
        <v>220</v>
      </c>
      <c r="D93" t="s">
        <v>164</v>
      </c>
      <c r="I93" t="s">
        <v>24</v>
      </c>
      <c r="R93" s="1">
        <v>-102.7</v>
      </c>
      <c r="T93" s="1"/>
    </row>
    <row r="94" spans="1:25" ht="15" customHeight="1" x14ac:dyDescent="0.2">
      <c r="H94" t="s">
        <v>127</v>
      </c>
      <c r="K94" s="1"/>
      <c r="R94" s="1">
        <v>-8504.58</v>
      </c>
      <c r="S94" s="1"/>
      <c r="T94" s="1"/>
      <c r="Y94" s="1"/>
    </row>
    <row r="95" spans="1:25" ht="15" customHeight="1" x14ac:dyDescent="0.2">
      <c r="A95">
        <v>244</v>
      </c>
      <c r="D95" t="s">
        <v>165</v>
      </c>
      <c r="I95" t="s">
        <v>34</v>
      </c>
      <c r="K95" s="1"/>
      <c r="R95" s="1">
        <v>-8504.58</v>
      </c>
      <c r="S95" s="1"/>
      <c r="T95" s="1"/>
      <c r="Y95" s="1"/>
    </row>
    <row r="96" spans="1:25" ht="15" customHeight="1" x14ac:dyDescent="0.2">
      <c r="H96" t="s">
        <v>166</v>
      </c>
      <c r="R96" s="1">
        <v>-329.12</v>
      </c>
      <c r="T96" s="1"/>
    </row>
    <row r="97" spans="1:25" ht="15" customHeight="1" x14ac:dyDescent="0.2">
      <c r="A97">
        <v>252</v>
      </c>
      <c r="D97" t="s">
        <v>167</v>
      </c>
      <c r="I97" t="s">
        <v>37</v>
      </c>
      <c r="R97">
        <v>-329.12</v>
      </c>
      <c r="T97" s="1"/>
    </row>
    <row r="98" spans="1:25" ht="15" customHeight="1" x14ac:dyDescent="0.2">
      <c r="H98" t="s">
        <v>129</v>
      </c>
      <c r="K98" s="1"/>
      <c r="R98" s="1">
        <v>-12498.27</v>
      </c>
      <c r="S98" s="1"/>
      <c r="T98" s="1"/>
      <c r="Y98" s="1"/>
    </row>
    <row r="99" spans="1:25" x14ac:dyDescent="0.2">
      <c r="A99">
        <v>213</v>
      </c>
      <c r="D99" t="s">
        <v>168</v>
      </c>
      <c r="I99" t="s">
        <v>20</v>
      </c>
      <c r="K99" s="1"/>
      <c r="R99" s="1">
        <v>-1005.26</v>
      </c>
      <c r="S99" s="1"/>
      <c r="T99" s="1"/>
      <c r="Y99" s="1"/>
    </row>
    <row r="100" spans="1:25" ht="15" customHeight="1" x14ac:dyDescent="0.2">
      <c r="A100">
        <v>216</v>
      </c>
      <c r="D100" t="s">
        <v>169</v>
      </c>
      <c r="I100" t="s">
        <v>22</v>
      </c>
      <c r="R100" s="1">
        <v>-40</v>
      </c>
      <c r="T100" s="1"/>
    </row>
    <row r="101" spans="1:25" ht="15" customHeight="1" x14ac:dyDescent="0.2">
      <c r="A101">
        <v>225</v>
      </c>
      <c r="D101" t="s">
        <v>170</v>
      </c>
      <c r="I101" t="s">
        <v>26</v>
      </c>
      <c r="R101">
        <v>-35.01</v>
      </c>
      <c r="T101" s="1"/>
    </row>
    <row r="102" spans="1:25" ht="15" customHeight="1" x14ac:dyDescent="0.2">
      <c r="A102">
        <v>227</v>
      </c>
      <c r="D102" t="s">
        <v>171</v>
      </c>
      <c r="I102" t="s">
        <v>27</v>
      </c>
      <c r="R102">
        <v>-425.3</v>
      </c>
      <c r="T102" s="1"/>
    </row>
    <row r="103" spans="1:25" ht="15" customHeight="1" x14ac:dyDescent="0.2">
      <c r="A103">
        <v>231</v>
      </c>
      <c r="D103" t="s">
        <v>172</v>
      </c>
      <c r="I103" t="s">
        <v>29</v>
      </c>
      <c r="R103">
        <v>-93.26</v>
      </c>
      <c r="S103" s="1"/>
      <c r="T103" s="1"/>
    </row>
    <row r="104" spans="1:25" x14ac:dyDescent="0.2">
      <c r="A104">
        <v>236</v>
      </c>
      <c r="D104" t="s">
        <v>173</v>
      </c>
      <c r="I104" t="s">
        <v>31</v>
      </c>
      <c r="K104" s="1"/>
      <c r="R104" s="1">
        <v>-5938.43</v>
      </c>
      <c r="T104" s="1"/>
      <c r="Y104" s="1"/>
    </row>
    <row r="105" spans="1:25" ht="15" customHeight="1" x14ac:dyDescent="0.2">
      <c r="A105">
        <v>238</v>
      </c>
      <c r="D105" t="s">
        <v>174</v>
      </c>
      <c r="I105" t="s">
        <v>33</v>
      </c>
      <c r="R105" s="1">
        <v>-330.18</v>
      </c>
      <c r="T105" s="1"/>
    </row>
    <row r="106" spans="1:25" ht="15" customHeight="1" x14ac:dyDescent="0.2">
      <c r="A106">
        <v>243</v>
      </c>
      <c r="D106" t="s">
        <v>175</v>
      </c>
      <c r="I106" t="s">
        <v>176</v>
      </c>
      <c r="R106">
        <v>-453.02</v>
      </c>
      <c r="T106" s="1"/>
    </row>
    <row r="107" spans="1:25" ht="15" customHeight="1" x14ac:dyDescent="0.2">
      <c r="A107">
        <v>251</v>
      </c>
      <c r="D107" t="s">
        <v>177</v>
      </c>
      <c r="I107" t="s">
        <v>36</v>
      </c>
      <c r="R107">
        <v>-0.41</v>
      </c>
      <c r="T107" s="1"/>
    </row>
    <row r="108" spans="1:25" ht="15" customHeight="1" x14ac:dyDescent="0.2">
      <c r="A108">
        <v>255</v>
      </c>
      <c r="D108" t="s">
        <v>178</v>
      </c>
      <c r="I108" t="s">
        <v>42</v>
      </c>
      <c r="K108" s="1"/>
      <c r="R108" s="1">
        <v>-4145</v>
      </c>
      <c r="S108" s="1"/>
      <c r="T108" s="1"/>
      <c r="Y108" s="1"/>
    </row>
    <row r="109" spans="1:25" ht="15" customHeight="1" x14ac:dyDescent="0.2">
      <c r="A109">
        <v>263</v>
      </c>
      <c r="D109" t="s">
        <v>179</v>
      </c>
      <c r="I109" t="s">
        <v>43</v>
      </c>
      <c r="R109" s="1">
        <v>-32.4</v>
      </c>
      <c r="T109" s="1"/>
    </row>
    <row r="110" spans="1:25" ht="15" customHeight="1" x14ac:dyDescent="0.2">
      <c r="H110" t="s">
        <v>180</v>
      </c>
      <c r="K110" s="1"/>
      <c r="R110" s="1">
        <v>92520.75</v>
      </c>
      <c r="S110" s="1"/>
      <c r="T110" s="1"/>
      <c r="Y110" s="1"/>
    </row>
    <row r="111" spans="1:25" x14ac:dyDescent="0.2">
      <c r="R111" s="1"/>
      <c r="T111" s="1"/>
    </row>
  </sheetData>
  <pageMargins left="0.511811024" right="0.511811024" top="0.78740157499999996" bottom="0.78740157499999996" header="0.31496062000000002" footer="0.31496062000000002"/>
  <pageSetup paperSize="9" scale="1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0"/>
  <sheetViews>
    <sheetView workbookViewId="0">
      <selection sqref="A1:W108"/>
    </sheetView>
  </sheetViews>
  <sheetFormatPr baseColWidth="10" defaultColWidth="8.83203125" defaultRowHeight="15" x14ac:dyDescent="0.2"/>
  <cols>
    <col min="1" max="7" width="9.1640625" customWidth="1"/>
    <col min="12" max="12" width="11" bestFit="1" customWidth="1"/>
    <col min="18" max="18" width="11" bestFit="1" customWidth="1"/>
    <col min="19" max="20" width="10.83203125" bestFit="1" customWidth="1"/>
  </cols>
  <sheetData>
    <row r="1" spans="1:20" x14ac:dyDescent="0.2">
      <c r="A1" t="s">
        <v>65</v>
      </c>
      <c r="D1" t="s">
        <v>66</v>
      </c>
      <c r="H1" t="s">
        <v>5</v>
      </c>
      <c r="R1" t="s">
        <v>6</v>
      </c>
    </row>
    <row r="2" spans="1:20" x14ac:dyDescent="0.2">
      <c r="H2" t="s">
        <v>67</v>
      </c>
      <c r="K2" s="1"/>
      <c r="L2" s="1"/>
      <c r="R2" s="1">
        <v>418702.3</v>
      </c>
      <c r="S2" s="1"/>
      <c r="T2" s="1"/>
    </row>
    <row r="3" spans="1:20" x14ac:dyDescent="0.2">
      <c r="A3">
        <v>860</v>
      </c>
      <c r="D3" t="s">
        <v>68</v>
      </c>
      <c r="I3" t="s">
        <v>69</v>
      </c>
      <c r="R3" s="1">
        <v>164622.6</v>
      </c>
      <c r="S3" s="1"/>
      <c r="T3" s="1"/>
    </row>
    <row r="4" spans="1:20" x14ac:dyDescent="0.2">
      <c r="A4">
        <v>861</v>
      </c>
      <c r="D4" t="s">
        <v>70</v>
      </c>
      <c r="I4" t="s">
        <v>71</v>
      </c>
      <c r="K4" s="1"/>
      <c r="L4" s="1"/>
      <c r="R4" s="1">
        <v>128055.93</v>
      </c>
      <c r="S4" s="1"/>
      <c r="T4" s="1"/>
    </row>
    <row r="5" spans="1:20" x14ac:dyDescent="0.2">
      <c r="A5">
        <v>862</v>
      </c>
      <c r="D5" t="s">
        <v>184</v>
      </c>
      <c r="I5" t="s">
        <v>185</v>
      </c>
      <c r="K5" s="1"/>
      <c r="L5" s="1"/>
      <c r="R5" s="1">
        <v>47047.21</v>
      </c>
      <c r="S5" s="1"/>
      <c r="T5" s="1"/>
    </row>
    <row r="6" spans="1:20" x14ac:dyDescent="0.2">
      <c r="A6">
        <v>865</v>
      </c>
      <c r="D6" t="s">
        <v>72</v>
      </c>
      <c r="I6" t="s">
        <v>73</v>
      </c>
      <c r="K6" s="1"/>
      <c r="L6" s="1"/>
      <c r="R6" s="1">
        <v>78976.56</v>
      </c>
      <c r="S6" s="1"/>
      <c r="T6" s="1"/>
    </row>
    <row r="7" spans="1:20" x14ac:dyDescent="0.2">
      <c r="H7" t="s">
        <v>74</v>
      </c>
      <c r="K7" s="1"/>
      <c r="L7" s="1"/>
      <c r="R7" s="1">
        <v>4630.01</v>
      </c>
      <c r="S7" s="1"/>
      <c r="T7" s="1"/>
    </row>
    <row r="8" spans="1:20" x14ac:dyDescent="0.2">
      <c r="A8">
        <v>863</v>
      </c>
      <c r="D8" t="s">
        <v>75</v>
      </c>
      <c r="I8" t="s">
        <v>76</v>
      </c>
      <c r="K8" s="1"/>
      <c r="L8" s="1"/>
      <c r="R8" s="1">
        <v>1393.5</v>
      </c>
      <c r="S8" s="1"/>
      <c r="T8" s="1"/>
    </row>
    <row r="9" spans="1:20" x14ac:dyDescent="0.2">
      <c r="A9">
        <v>864</v>
      </c>
      <c r="D9" t="s">
        <v>77</v>
      </c>
      <c r="I9" t="s">
        <v>78</v>
      </c>
      <c r="R9" s="1">
        <v>3236.51</v>
      </c>
      <c r="S9" s="1"/>
      <c r="T9" s="1"/>
    </row>
    <row r="10" spans="1:20" x14ac:dyDescent="0.2">
      <c r="H10" t="s">
        <v>79</v>
      </c>
      <c r="K10" s="1"/>
      <c r="L10" s="1"/>
      <c r="R10" s="1">
        <v>423332.31</v>
      </c>
      <c r="S10" s="1"/>
      <c r="T10" s="1"/>
    </row>
    <row r="11" spans="1:20" x14ac:dyDescent="0.2">
      <c r="I11" t="s">
        <v>7</v>
      </c>
      <c r="K11" s="1"/>
      <c r="L11" s="1"/>
      <c r="S11" s="1"/>
      <c r="T11" s="1"/>
    </row>
    <row r="12" spans="1:20" x14ac:dyDescent="0.2">
      <c r="H12" t="s">
        <v>80</v>
      </c>
      <c r="K12" s="1"/>
      <c r="L12" s="1"/>
      <c r="R12">
        <v>-743.82</v>
      </c>
      <c r="S12" s="1"/>
      <c r="T12" s="1"/>
    </row>
    <row r="13" spans="1:20" x14ac:dyDescent="0.2">
      <c r="A13">
        <v>166</v>
      </c>
      <c r="D13" t="s">
        <v>81</v>
      </c>
      <c r="I13" t="s">
        <v>10</v>
      </c>
      <c r="K13" s="1"/>
      <c r="L13" s="1"/>
      <c r="R13">
        <v>-743.82</v>
      </c>
      <c r="S13" s="1"/>
      <c r="T13" s="1"/>
    </row>
    <row r="14" spans="1:20" x14ac:dyDescent="0.2">
      <c r="H14" t="s">
        <v>83</v>
      </c>
      <c r="K14" s="1"/>
      <c r="L14" s="1"/>
      <c r="R14" s="1">
        <v>422588.49</v>
      </c>
      <c r="S14" s="1"/>
      <c r="T14" s="1"/>
    </row>
    <row r="15" spans="1:20" x14ac:dyDescent="0.2">
      <c r="I15" t="s">
        <v>7</v>
      </c>
      <c r="K15" s="1"/>
      <c r="L15" s="1"/>
      <c r="S15" s="1"/>
      <c r="T15" s="1"/>
    </row>
    <row r="16" spans="1:20" x14ac:dyDescent="0.2">
      <c r="H16" t="s">
        <v>84</v>
      </c>
      <c r="K16" s="1"/>
      <c r="L16" s="1"/>
      <c r="R16" s="1">
        <v>25291.83</v>
      </c>
      <c r="S16" s="1"/>
      <c r="T16" s="1"/>
    </row>
    <row r="17" spans="1:20" x14ac:dyDescent="0.2">
      <c r="A17">
        <v>749</v>
      </c>
      <c r="D17" t="s">
        <v>85</v>
      </c>
      <c r="I17" t="s">
        <v>58</v>
      </c>
      <c r="R17" s="1">
        <v>25291.83</v>
      </c>
      <c r="S17" s="1"/>
      <c r="T17" s="1"/>
    </row>
    <row r="18" spans="1:20" x14ac:dyDescent="0.2">
      <c r="H18" t="s">
        <v>86</v>
      </c>
      <c r="K18" s="1"/>
      <c r="L18" s="1"/>
      <c r="R18" s="1">
        <v>447880.32</v>
      </c>
      <c r="S18" s="1"/>
      <c r="T18" s="1"/>
    </row>
    <row r="19" spans="1:20" x14ac:dyDescent="0.2">
      <c r="I19" t="s">
        <v>7</v>
      </c>
      <c r="S19" s="1"/>
      <c r="T19" s="1"/>
    </row>
    <row r="20" spans="1:20" x14ac:dyDescent="0.2">
      <c r="H20" t="s">
        <v>87</v>
      </c>
      <c r="K20" s="1"/>
      <c r="L20" s="1"/>
      <c r="R20" s="1">
        <v>-205378.48</v>
      </c>
      <c r="S20" s="1"/>
      <c r="T20" s="1"/>
    </row>
    <row r="21" spans="1:20" x14ac:dyDescent="0.2">
      <c r="A21">
        <v>162</v>
      </c>
      <c r="D21" t="s">
        <v>88</v>
      </c>
      <c r="I21" t="s">
        <v>8</v>
      </c>
      <c r="R21" s="1">
        <v>-142495.37</v>
      </c>
      <c r="S21" s="1"/>
      <c r="T21" s="1"/>
    </row>
    <row r="22" spans="1:20" x14ac:dyDescent="0.2">
      <c r="A22">
        <v>165</v>
      </c>
      <c r="D22" t="s">
        <v>89</v>
      </c>
      <c r="I22" t="s">
        <v>9</v>
      </c>
      <c r="K22" s="1"/>
      <c r="L22" s="1"/>
      <c r="R22" s="1">
        <v>-22144.59</v>
      </c>
      <c r="S22" s="1"/>
      <c r="T22" s="1"/>
    </row>
    <row r="23" spans="1:20" x14ac:dyDescent="0.2">
      <c r="A23">
        <v>167</v>
      </c>
      <c r="D23" t="s">
        <v>90</v>
      </c>
      <c r="I23" t="s">
        <v>11</v>
      </c>
      <c r="K23" s="1"/>
      <c r="L23" s="1"/>
      <c r="R23" s="1">
        <v>-1716.78</v>
      </c>
      <c r="S23" s="1"/>
      <c r="T23" s="1"/>
    </row>
    <row r="24" spans="1:20" x14ac:dyDescent="0.2">
      <c r="A24">
        <v>170</v>
      </c>
      <c r="D24" t="s">
        <v>91</v>
      </c>
      <c r="I24" t="s">
        <v>92</v>
      </c>
      <c r="K24" s="1"/>
      <c r="L24" s="1"/>
      <c r="R24" s="1">
        <v>-39021.74</v>
      </c>
      <c r="S24" s="1"/>
      <c r="T24" s="1"/>
    </row>
    <row r="25" spans="1:20" x14ac:dyDescent="0.2">
      <c r="H25" t="s">
        <v>93</v>
      </c>
      <c r="K25" s="1"/>
      <c r="L25" s="1"/>
      <c r="R25" s="1">
        <v>-205378.48</v>
      </c>
      <c r="S25" s="1"/>
      <c r="T25" s="1"/>
    </row>
    <row r="26" spans="1:20" x14ac:dyDescent="0.2">
      <c r="I26" t="s">
        <v>7</v>
      </c>
      <c r="K26" s="1"/>
      <c r="L26" s="1"/>
      <c r="T26" s="1"/>
    </row>
    <row r="27" spans="1:20" x14ac:dyDescent="0.2">
      <c r="H27" t="s">
        <v>94</v>
      </c>
      <c r="K27" s="1"/>
      <c r="L27" s="1"/>
      <c r="R27" s="1">
        <v>242501.84</v>
      </c>
      <c r="S27" s="1"/>
      <c r="T27" s="1"/>
    </row>
    <row r="28" spans="1:20" x14ac:dyDescent="0.2">
      <c r="I28" t="s">
        <v>7</v>
      </c>
      <c r="K28" s="1"/>
      <c r="L28" s="1"/>
      <c r="T28" s="1"/>
    </row>
    <row r="29" spans="1:20" x14ac:dyDescent="0.2">
      <c r="H29" t="s">
        <v>95</v>
      </c>
      <c r="K29" s="1"/>
      <c r="L29" s="1"/>
      <c r="R29" s="1">
        <v>-37315.230000000003</v>
      </c>
      <c r="S29" s="1"/>
      <c r="T29" s="1"/>
    </row>
    <row r="30" spans="1:20" x14ac:dyDescent="0.2">
      <c r="A30">
        <v>164</v>
      </c>
      <c r="D30" t="s">
        <v>96</v>
      </c>
      <c r="I30" t="s">
        <v>97</v>
      </c>
      <c r="K30" s="1"/>
      <c r="L30" s="1"/>
      <c r="R30" s="1">
        <v>-32396.03</v>
      </c>
      <c r="S30" s="1"/>
      <c r="T30" s="1"/>
    </row>
    <row r="31" spans="1:20" x14ac:dyDescent="0.2">
      <c r="A31">
        <v>206</v>
      </c>
      <c r="D31" t="s">
        <v>98</v>
      </c>
      <c r="I31" t="s">
        <v>13</v>
      </c>
      <c r="R31" s="1">
        <v>-4301.18</v>
      </c>
      <c r="S31" s="1"/>
      <c r="T31" s="1"/>
    </row>
    <row r="32" spans="1:20" x14ac:dyDescent="0.2">
      <c r="A32">
        <v>212</v>
      </c>
      <c r="D32" t="s">
        <v>99</v>
      </c>
      <c r="I32" t="s">
        <v>19</v>
      </c>
      <c r="K32" s="1"/>
      <c r="L32" s="1"/>
      <c r="R32">
        <v>-165.05</v>
      </c>
      <c r="S32" s="1"/>
      <c r="T32" s="1"/>
    </row>
    <row r="33" spans="1:20" x14ac:dyDescent="0.2">
      <c r="A33">
        <v>224</v>
      </c>
      <c r="D33" t="s">
        <v>100</v>
      </c>
      <c r="I33" t="s">
        <v>25</v>
      </c>
      <c r="K33" s="1"/>
      <c r="L33" s="1"/>
      <c r="R33">
        <v>-452.97</v>
      </c>
      <c r="S33" s="1"/>
      <c r="T33" s="1"/>
    </row>
    <row r="34" spans="1:20" x14ac:dyDescent="0.2">
      <c r="H34" t="s">
        <v>101</v>
      </c>
      <c r="K34" s="1"/>
      <c r="L34" s="1"/>
      <c r="R34" s="1">
        <v>-6388.04</v>
      </c>
      <c r="S34" s="1"/>
      <c r="T34" s="1"/>
    </row>
    <row r="35" spans="1:20" x14ac:dyDescent="0.2">
      <c r="A35">
        <v>250</v>
      </c>
      <c r="D35" t="s">
        <v>102</v>
      </c>
      <c r="I35" t="s">
        <v>35</v>
      </c>
      <c r="K35" s="1"/>
      <c r="L35" s="1"/>
      <c r="R35">
        <v>-22.99</v>
      </c>
      <c r="S35" s="1"/>
      <c r="T35" s="1"/>
    </row>
    <row r="36" spans="1:20" x14ac:dyDescent="0.2">
      <c r="A36">
        <v>253</v>
      </c>
      <c r="D36" t="s">
        <v>103</v>
      </c>
      <c r="I36" t="s">
        <v>38</v>
      </c>
      <c r="K36" s="1"/>
      <c r="L36" s="1"/>
      <c r="R36">
        <v>-106.44</v>
      </c>
      <c r="S36" s="1"/>
      <c r="T36" s="1"/>
    </row>
    <row r="37" spans="1:20" x14ac:dyDescent="0.2">
      <c r="A37">
        <v>651</v>
      </c>
      <c r="D37" t="s">
        <v>104</v>
      </c>
      <c r="I37" t="s">
        <v>39</v>
      </c>
      <c r="R37">
        <v>-85.23</v>
      </c>
      <c r="S37" s="1"/>
      <c r="T37" s="1"/>
    </row>
    <row r="38" spans="1:20" x14ac:dyDescent="0.2">
      <c r="A38">
        <v>653</v>
      </c>
      <c r="D38" t="s">
        <v>105</v>
      </c>
      <c r="I38" t="s">
        <v>40</v>
      </c>
      <c r="K38" s="1"/>
      <c r="L38" s="1"/>
      <c r="R38">
        <v>-70.31</v>
      </c>
      <c r="S38" s="1"/>
      <c r="T38" s="1"/>
    </row>
    <row r="39" spans="1:20" x14ac:dyDescent="0.2">
      <c r="A39">
        <v>654</v>
      </c>
      <c r="D39" t="s">
        <v>106</v>
      </c>
      <c r="I39" t="s">
        <v>41</v>
      </c>
      <c r="K39" s="1"/>
      <c r="L39" s="1"/>
      <c r="R39" s="1">
        <v>-6103.07</v>
      </c>
      <c r="S39" s="1"/>
      <c r="T39" s="1"/>
    </row>
    <row r="40" spans="1:20" x14ac:dyDescent="0.2">
      <c r="H40" t="s">
        <v>107</v>
      </c>
      <c r="K40" s="1"/>
      <c r="L40" s="1"/>
      <c r="R40" s="1">
        <v>-43703.27</v>
      </c>
      <c r="S40" s="1"/>
      <c r="T40" s="1"/>
    </row>
    <row r="41" spans="1:20" x14ac:dyDescent="0.2">
      <c r="I41" t="s">
        <v>7</v>
      </c>
      <c r="S41" s="1"/>
      <c r="T41" s="1"/>
    </row>
    <row r="42" spans="1:20" x14ac:dyDescent="0.2">
      <c r="H42" t="s">
        <v>108</v>
      </c>
      <c r="K42" s="1"/>
      <c r="L42" s="1"/>
      <c r="R42" s="1">
        <v>198798.57</v>
      </c>
      <c r="S42" s="1"/>
      <c r="T42" s="1"/>
    </row>
    <row r="43" spans="1:20" x14ac:dyDescent="0.2">
      <c r="I43" t="s">
        <v>7</v>
      </c>
      <c r="K43" s="1"/>
      <c r="L43" s="1"/>
      <c r="T43" s="1"/>
    </row>
    <row r="44" spans="1:20" x14ac:dyDescent="0.2">
      <c r="H44" t="s">
        <v>109</v>
      </c>
      <c r="K44" s="1"/>
      <c r="L44" s="1"/>
      <c r="R44" s="1">
        <v>-90837.05</v>
      </c>
      <c r="S44" s="1"/>
      <c r="T44" s="1"/>
    </row>
    <row r="45" spans="1:20" x14ac:dyDescent="0.2">
      <c r="I45" t="s">
        <v>7</v>
      </c>
      <c r="K45" s="1"/>
      <c r="L45" s="1"/>
      <c r="S45" s="1"/>
      <c r="T45" s="1"/>
    </row>
    <row r="46" spans="1:20" x14ac:dyDescent="0.2">
      <c r="H46" t="s">
        <v>110</v>
      </c>
      <c r="K46" s="1"/>
      <c r="L46" s="1"/>
      <c r="R46" s="1">
        <v>-90837.05</v>
      </c>
      <c r="S46" s="1"/>
      <c r="T46" s="1"/>
    </row>
    <row r="47" spans="1:20" x14ac:dyDescent="0.2">
      <c r="I47" t="s">
        <v>7</v>
      </c>
      <c r="T47" s="1"/>
    </row>
    <row r="48" spans="1:20" x14ac:dyDescent="0.2">
      <c r="H48" t="s">
        <v>111</v>
      </c>
      <c r="R48" s="1">
        <v>-3214.9</v>
      </c>
      <c r="S48" s="1"/>
      <c r="T48" s="1"/>
    </row>
    <row r="49" spans="1:20" x14ac:dyDescent="0.2">
      <c r="A49">
        <v>182</v>
      </c>
      <c r="D49" t="s">
        <v>112</v>
      </c>
      <c r="I49" t="s">
        <v>54</v>
      </c>
      <c r="K49" s="1"/>
      <c r="L49" s="1"/>
      <c r="R49" s="1">
        <v>-3214.9</v>
      </c>
      <c r="S49" s="1"/>
      <c r="T49" s="1"/>
    </row>
    <row r="50" spans="1:20" x14ac:dyDescent="0.2">
      <c r="H50" t="s">
        <v>113</v>
      </c>
      <c r="R50" s="1">
        <v>-23903.13</v>
      </c>
      <c r="S50" s="1"/>
      <c r="T50" s="1"/>
    </row>
    <row r="51" spans="1:20" x14ac:dyDescent="0.2">
      <c r="A51">
        <v>181</v>
      </c>
      <c r="D51" t="s">
        <v>114</v>
      </c>
      <c r="I51" t="s">
        <v>53</v>
      </c>
      <c r="R51" s="1">
        <v>-15915.33</v>
      </c>
      <c r="S51" s="1"/>
      <c r="T51" s="1"/>
    </row>
    <row r="52" spans="1:20" x14ac:dyDescent="0.2">
      <c r="A52">
        <v>188</v>
      </c>
      <c r="D52" t="s">
        <v>115</v>
      </c>
      <c r="I52" t="s">
        <v>116</v>
      </c>
      <c r="K52" s="1"/>
      <c r="L52" s="1"/>
      <c r="R52" s="1">
        <v>-7987.8</v>
      </c>
      <c r="S52" s="1"/>
      <c r="T52" s="1"/>
    </row>
    <row r="53" spans="1:20" x14ac:dyDescent="0.2">
      <c r="H53" t="s">
        <v>73</v>
      </c>
      <c r="R53" s="1">
        <v>-9700</v>
      </c>
      <c r="S53" s="1"/>
      <c r="T53" s="1"/>
    </row>
    <row r="54" spans="1:20" x14ac:dyDescent="0.2">
      <c r="A54">
        <v>184</v>
      </c>
      <c r="D54" t="s">
        <v>117</v>
      </c>
      <c r="I54" t="s">
        <v>57</v>
      </c>
      <c r="K54" s="1"/>
      <c r="L54" s="1"/>
      <c r="R54" s="1">
        <v>-9700</v>
      </c>
      <c r="S54" s="1"/>
      <c r="T54" s="1"/>
    </row>
    <row r="55" spans="1:20" x14ac:dyDescent="0.2">
      <c r="H55" t="s">
        <v>118</v>
      </c>
      <c r="R55" s="1">
        <v>-3306.17</v>
      </c>
      <c r="S55" s="1"/>
      <c r="T55" s="1"/>
    </row>
    <row r="56" spans="1:20" x14ac:dyDescent="0.2">
      <c r="A56">
        <v>502</v>
      </c>
      <c r="D56" t="s">
        <v>119</v>
      </c>
      <c r="I56" t="s">
        <v>120</v>
      </c>
      <c r="R56" s="1">
        <v>-1808.76</v>
      </c>
      <c r="S56" s="1"/>
      <c r="T56" s="1"/>
    </row>
    <row r="57" spans="1:20" x14ac:dyDescent="0.2">
      <c r="A57">
        <v>503</v>
      </c>
      <c r="D57" t="s">
        <v>121</v>
      </c>
      <c r="I57" t="s">
        <v>122</v>
      </c>
      <c r="R57">
        <v>-539.91999999999996</v>
      </c>
      <c r="S57" s="1"/>
      <c r="T57" s="1"/>
    </row>
    <row r="58" spans="1:20" x14ac:dyDescent="0.2">
      <c r="A58">
        <v>504</v>
      </c>
      <c r="D58" t="s">
        <v>123</v>
      </c>
      <c r="I58" t="s">
        <v>124</v>
      </c>
      <c r="R58">
        <v>-67.489999999999995</v>
      </c>
      <c r="S58" s="1"/>
      <c r="T58" s="1"/>
    </row>
    <row r="59" spans="1:20" x14ac:dyDescent="0.2">
      <c r="A59">
        <v>511</v>
      </c>
      <c r="D59" t="s">
        <v>125</v>
      </c>
      <c r="I59" t="s">
        <v>126</v>
      </c>
      <c r="R59">
        <v>-890</v>
      </c>
      <c r="S59" s="1"/>
      <c r="T59" s="1"/>
    </row>
    <row r="60" spans="1:20" x14ac:dyDescent="0.2">
      <c r="H60" t="s">
        <v>182</v>
      </c>
      <c r="K60" s="1"/>
      <c r="L60" s="1"/>
      <c r="R60" s="1">
        <v>-7548.4</v>
      </c>
      <c r="S60" s="1"/>
      <c r="T60" s="1"/>
    </row>
    <row r="61" spans="1:20" x14ac:dyDescent="0.2">
      <c r="A61">
        <v>710</v>
      </c>
      <c r="D61" t="s">
        <v>128</v>
      </c>
      <c r="I61" t="s">
        <v>183</v>
      </c>
      <c r="R61" s="1">
        <v>-7548.4</v>
      </c>
      <c r="S61" s="1"/>
      <c r="T61" s="1"/>
    </row>
    <row r="62" spans="1:20" x14ac:dyDescent="0.2">
      <c r="H62" t="s">
        <v>181</v>
      </c>
      <c r="K62" s="1"/>
      <c r="L62" s="1"/>
      <c r="R62">
        <v>-37.18</v>
      </c>
      <c r="S62" s="1"/>
      <c r="T62" s="1"/>
    </row>
    <row r="63" spans="1:20" x14ac:dyDescent="0.2">
      <c r="A63">
        <v>711</v>
      </c>
      <c r="D63" t="s">
        <v>249</v>
      </c>
      <c r="I63" t="s">
        <v>30</v>
      </c>
      <c r="K63" s="1"/>
      <c r="L63" s="1"/>
      <c r="R63">
        <v>-37.18</v>
      </c>
      <c r="S63" s="1"/>
      <c r="T63" s="1"/>
    </row>
    <row r="64" spans="1:20" x14ac:dyDescent="0.2">
      <c r="H64" t="s">
        <v>130</v>
      </c>
      <c r="K64" s="1"/>
      <c r="L64" s="1"/>
      <c r="R64" s="1">
        <v>-43127.27</v>
      </c>
      <c r="S64" s="1"/>
      <c r="T64" s="1"/>
    </row>
    <row r="65" spans="1:20" x14ac:dyDescent="0.2">
      <c r="A65">
        <v>171</v>
      </c>
      <c r="D65" t="s">
        <v>131</v>
      </c>
      <c r="I65" t="s">
        <v>60</v>
      </c>
      <c r="K65" s="1"/>
      <c r="L65" s="1"/>
      <c r="R65" s="1">
        <v>-41763.769999999997</v>
      </c>
      <c r="S65" s="1"/>
      <c r="T65" s="1"/>
    </row>
    <row r="66" spans="1:20" x14ac:dyDescent="0.2">
      <c r="A66">
        <v>245</v>
      </c>
      <c r="D66" t="s">
        <v>132</v>
      </c>
      <c r="I66" t="s">
        <v>191</v>
      </c>
      <c r="K66" s="1"/>
      <c r="L66" s="1"/>
      <c r="R66" s="1">
        <v>-155</v>
      </c>
      <c r="S66" s="1"/>
      <c r="T66" s="1"/>
    </row>
    <row r="67" spans="1:20" x14ac:dyDescent="0.2">
      <c r="A67">
        <v>709</v>
      </c>
      <c r="D67" t="s">
        <v>250</v>
      </c>
      <c r="I67" t="s">
        <v>186</v>
      </c>
      <c r="R67" s="1">
        <v>-1208.5</v>
      </c>
      <c r="S67" s="1"/>
      <c r="T67" s="1"/>
    </row>
    <row r="68" spans="1:20" x14ac:dyDescent="0.2">
      <c r="H68" t="s">
        <v>133</v>
      </c>
      <c r="R68" s="1">
        <v>-92790.32</v>
      </c>
      <c r="S68" s="1"/>
      <c r="T68" s="1"/>
    </row>
    <row r="69" spans="1:20" x14ac:dyDescent="0.2">
      <c r="I69" t="s">
        <v>7</v>
      </c>
      <c r="S69" s="1"/>
      <c r="T69" s="1"/>
    </row>
    <row r="70" spans="1:20" x14ac:dyDescent="0.2">
      <c r="H70" t="s">
        <v>134</v>
      </c>
      <c r="R70" s="1">
        <v>-58442.18</v>
      </c>
      <c r="S70" s="1"/>
      <c r="T70" s="1"/>
    </row>
    <row r="71" spans="1:20" x14ac:dyDescent="0.2">
      <c r="A71">
        <v>180</v>
      </c>
      <c r="D71" t="s">
        <v>135</v>
      </c>
      <c r="I71" t="s">
        <v>52</v>
      </c>
      <c r="R71" s="1">
        <v>-17401.46</v>
      </c>
      <c r="S71" s="1"/>
      <c r="T71" s="1"/>
    </row>
    <row r="72" spans="1:20" x14ac:dyDescent="0.2">
      <c r="A72">
        <v>186</v>
      </c>
      <c r="D72" t="s">
        <v>187</v>
      </c>
      <c r="I72" t="s">
        <v>55</v>
      </c>
      <c r="R72" s="1">
        <v>-6300</v>
      </c>
      <c r="S72" s="1"/>
      <c r="T72" s="1"/>
    </row>
    <row r="73" spans="1:20" x14ac:dyDescent="0.2">
      <c r="A73">
        <v>187</v>
      </c>
      <c r="D73" t="s">
        <v>136</v>
      </c>
      <c r="I73" t="s">
        <v>56</v>
      </c>
      <c r="K73" s="1"/>
      <c r="L73" s="1"/>
      <c r="R73" s="1">
        <v>-7262.12</v>
      </c>
      <c r="S73" s="1"/>
      <c r="T73" s="1"/>
    </row>
    <row r="74" spans="1:20" x14ac:dyDescent="0.2">
      <c r="A74">
        <v>189</v>
      </c>
      <c r="D74" t="s">
        <v>137</v>
      </c>
      <c r="I74" t="s">
        <v>138</v>
      </c>
      <c r="K74" s="1"/>
      <c r="L74" s="1"/>
      <c r="R74" s="1">
        <v>-6043.8</v>
      </c>
      <c r="S74" s="1"/>
      <c r="T74" s="1"/>
    </row>
    <row r="75" spans="1:20" x14ac:dyDescent="0.2">
      <c r="A75">
        <v>190</v>
      </c>
      <c r="D75" t="s">
        <v>139</v>
      </c>
      <c r="I75" t="s">
        <v>140</v>
      </c>
      <c r="R75" s="1">
        <v>-1890</v>
      </c>
      <c r="S75" s="1"/>
      <c r="T75" s="1"/>
    </row>
    <row r="76" spans="1:20" x14ac:dyDescent="0.2">
      <c r="A76">
        <v>192</v>
      </c>
      <c r="B76" s="2"/>
      <c r="C76" s="2"/>
      <c r="D76" t="s">
        <v>141</v>
      </c>
      <c r="F76" s="2"/>
      <c r="I76" t="s">
        <v>142</v>
      </c>
      <c r="K76" s="1"/>
      <c r="L76" s="1"/>
      <c r="R76" s="1">
        <v>-3675</v>
      </c>
      <c r="S76" s="1"/>
      <c r="T76" s="1"/>
    </row>
    <row r="77" spans="1:20" x14ac:dyDescent="0.2">
      <c r="A77">
        <v>193</v>
      </c>
      <c r="D77" t="s">
        <v>143</v>
      </c>
      <c r="I77" t="s">
        <v>45</v>
      </c>
      <c r="R77" s="1">
        <v>-117.34</v>
      </c>
      <c r="S77" s="1"/>
      <c r="T77" s="1"/>
    </row>
    <row r="78" spans="1:20" x14ac:dyDescent="0.2">
      <c r="A78">
        <v>195</v>
      </c>
      <c r="D78" t="s">
        <v>144</v>
      </c>
      <c r="I78" t="s">
        <v>145</v>
      </c>
      <c r="R78" s="1">
        <v>-3010.96</v>
      </c>
      <c r="S78" s="1"/>
      <c r="T78" s="1"/>
    </row>
    <row r="79" spans="1:20" x14ac:dyDescent="0.2">
      <c r="A79">
        <v>196</v>
      </c>
      <c r="D79" t="s">
        <v>146</v>
      </c>
      <c r="I79" t="s">
        <v>147</v>
      </c>
      <c r="R79" s="1">
        <v>-898.8</v>
      </c>
      <c r="S79" s="1"/>
      <c r="T79" s="1"/>
    </row>
    <row r="80" spans="1:20" x14ac:dyDescent="0.2">
      <c r="A80">
        <v>197</v>
      </c>
      <c r="D80" t="s">
        <v>148</v>
      </c>
      <c r="I80" t="s">
        <v>149</v>
      </c>
      <c r="R80">
        <v>-112.35</v>
      </c>
      <c r="T80" s="1"/>
    </row>
    <row r="81" spans="1:20" x14ac:dyDescent="0.2">
      <c r="A81">
        <v>200</v>
      </c>
      <c r="D81" t="s">
        <v>150</v>
      </c>
      <c r="I81" t="s">
        <v>15</v>
      </c>
      <c r="R81" s="1">
        <v>-4071</v>
      </c>
      <c r="S81" s="1"/>
      <c r="T81" s="1"/>
    </row>
    <row r="82" spans="1:20" x14ac:dyDescent="0.2">
      <c r="A82">
        <v>201</v>
      </c>
      <c r="D82" t="s">
        <v>151</v>
      </c>
      <c r="I82" t="s">
        <v>152</v>
      </c>
      <c r="R82" s="1">
        <v>-275.97000000000003</v>
      </c>
      <c r="T82" s="1"/>
    </row>
    <row r="83" spans="1:20" x14ac:dyDescent="0.2">
      <c r="A83">
        <v>202</v>
      </c>
      <c r="D83" t="s">
        <v>153</v>
      </c>
      <c r="I83" t="s">
        <v>16</v>
      </c>
      <c r="R83" s="1">
        <v>-5697.18</v>
      </c>
      <c r="S83" s="1"/>
      <c r="T83" s="1"/>
    </row>
    <row r="84" spans="1:20" x14ac:dyDescent="0.2">
      <c r="A84">
        <v>203</v>
      </c>
      <c r="D84" t="s">
        <v>154</v>
      </c>
      <c r="I84" t="s">
        <v>17</v>
      </c>
      <c r="R84" s="1">
        <v>-1627.2</v>
      </c>
      <c r="S84" s="1"/>
      <c r="T84" s="1"/>
    </row>
    <row r="85" spans="1:20" x14ac:dyDescent="0.2">
      <c r="A85">
        <v>210</v>
      </c>
      <c r="D85" t="s">
        <v>155</v>
      </c>
      <c r="I85" t="s">
        <v>18</v>
      </c>
      <c r="R85" s="1">
        <v>-59</v>
      </c>
      <c r="T85" s="1"/>
    </row>
    <row r="86" spans="1:20" x14ac:dyDescent="0.2">
      <c r="H86" t="s">
        <v>156</v>
      </c>
      <c r="R86" s="1">
        <v>-13996.98</v>
      </c>
      <c r="S86" s="1"/>
      <c r="T86" s="1"/>
    </row>
    <row r="87" spans="1:20" x14ac:dyDescent="0.2">
      <c r="A87">
        <v>229</v>
      </c>
      <c r="D87" t="s">
        <v>157</v>
      </c>
      <c r="I87" t="s">
        <v>28</v>
      </c>
      <c r="R87" s="1">
        <v>-13996.98</v>
      </c>
      <c r="S87" s="1"/>
      <c r="T87" s="1"/>
    </row>
    <row r="88" spans="1:20" x14ac:dyDescent="0.2">
      <c r="H88" t="s">
        <v>159</v>
      </c>
      <c r="R88" s="1">
        <v>-4519</v>
      </c>
      <c r="S88" s="1"/>
      <c r="T88" s="1"/>
    </row>
    <row r="89" spans="1:20" x14ac:dyDescent="0.2">
      <c r="A89">
        <v>214</v>
      </c>
      <c r="D89" t="s">
        <v>160</v>
      </c>
      <c r="I89" t="s">
        <v>21</v>
      </c>
      <c r="R89" s="1">
        <v>-4519</v>
      </c>
      <c r="S89" s="1"/>
      <c r="T89" s="1"/>
    </row>
    <row r="90" spans="1:20" x14ac:dyDescent="0.2">
      <c r="H90" t="s">
        <v>161</v>
      </c>
      <c r="R90" s="1">
        <v>-2112.0300000000002</v>
      </c>
      <c r="S90" s="1"/>
      <c r="T90" s="1"/>
    </row>
    <row r="91" spans="1:20" x14ac:dyDescent="0.2">
      <c r="A91">
        <v>217</v>
      </c>
      <c r="D91" t="s">
        <v>162</v>
      </c>
      <c r="I91" t="s">
        <v>23</v>
      </c>
      <c r="R91" s="1">
        <v>-1962.03</v>
      </c>
      <c r="S91" s="1"/>
      <c r="T91" s="1"/>
    </row>
    <row r="92" spans="1:20" x14ac:dyDescent="0.2">
      <c r="A92">
        <v>218</v>
      </c>
      <c r="D92" t="s">
        <v>188</v>
      </c>
      <c r="I92" t="s">
        <v>46</v>
      </c>
      <c r="R92" s="1">
        <v>-150</v>
      </c>
      <c r="T92" s="1"/>
    </row>
    <row r="93" spans="1:20" x14ac:dyDescent="0.2">
      <c r="H93" t="s">
        <v>163</v>
      </c>
      <c r="R93" s="1">
        <v>-3994.4</v>
      </c>
      <c r="S93" s="1"/>
      <c r="T93" s="1"/>
    </row>
    <row r="94" spans="1:20" x14ac:dyDescent="0.2">
      <c r="A94">
        <v>219</v>
      </c>
      <c r="D94" t="s">
        <v>194</v>
      </c>
      <c r="I94" t="s">
        <v>49</v>
      </c>
      <c r="R94" s="1">
        <v>-3840.44</v>
      </c>
      <c r="S94" s="1"/>
      <c r="T94" s="1"/>
    </row>
    <row r="95" spans="1:20" x14ac:dyDescent="0.2">
      <c r="A95">
        <v>220</v>
      </c>
      <c r="D95" t="s">
        <v>164</v>
      </c>
      <c r="I95" t="s">
        <v>24</v>
      </c>
      <c r="R95" s="1">
        <v>-153.96</v>
      </c>
      <c r="T95" s="1"/>
    </row>
    <row r="96" spans="1:20" x14ac:dyDescent="0.2">
      <c r="H96" t="s">
        <v>127</v>
      </c>
      <c r="R96" s="1">
        <v>-5478.23</v>
      </c>
      <c r="S96" s="1"/>
      <c r="T96" s="1"/>
    </row>
    <row r="97" spans="1:20" x14ac:dyDescent="0.2">
      <c r="A97">
        <v>244</v>
      </c>
      <c r="D97" t="s">
        <v>165</v>
      </c>
      <c r="I97" t="s">
        <v>34</v>
      </c>
      <c r="R97" s="1">
        <v>-5478.23</v>
      </c>
      <c r="S97" s="1"/>
      <c r="T97" s="1"/>
    </row>
    <row r="98" spans="1:20" x14ac:dyDescent="0.2">
      <c r="H98" t="s">
        <v>166</v>
      </c>
      <c r="R98" s="1">
        <v>-279.47000000000003</v>
      </c>
      <c r="T98" s="1"/>
    </row>
    <row r="99" spans="1:20" x14ac:dyDescent="0.2">
      <c r="A99">
        <v>252</v>
      </c>
      <c r="D99" t="s">
        <v>167</v>
      </c>
      <c r="I99" t="s">
        <v>37</v>
      </c>
      <c r="R99">
        <v>-279.47000000000003</v>
      </c>
      <c r="T99" s="1"/>
    </row>
    <row r="100" spans="1:20" x14ac:dyDescent="0.2">
      <c r="H100" t="s">
        <v>129</v>
      </c>
      <c r="R100" s="1">
        <v>-3968.03</v>
      </c>
      <c r="S100" s="1"/>
      <c r="T100" s="1"/>
    </row>
    <row r="101" spans="1:20" x14ac:dyDescent="0.2">
      <c r="A101">
        <v>213</v>
      </c>
      <c r="D101" t="s">
        <v>168</v>
      </c>
      <c r="I101" t="s">
        <v>20</v>
      </c>
      <c r="R101" s="1">
        <v>-893.47</v>
      </c>
      <c r="T101" s="1"/>
    </row>
    <row r="102" spans="1:20" x14ac:dyDescent="0.2">
      <c r="A102">
        <v>216</v>
      </c>
      <c r="D102" t="s">
        <v>169</v>
      </c>
      <c r="I102" t="s">
        <v>22</v>
      </c>
      <c r="R102">
        <v>-83</v>
      </c>
      <c r="T102" s="1"/>
    </row>
    <row r="103" spans="1:20" x14ac:dyDescent="0.2">
      <c r="A103">
        <v>222</v>
      </c>
      <c r="D103" t="s">
        <v>189</v>
      </c>
      <c r="I103" t="s">
        <v>47</v>
      </c>
      <c r="R103">
        <v>-150</v>
      </c>
      <c r="T103" s="1"/>
    </row>
    <row r="104" spans="1:20" x14ac:dyDescent="0.2">
      <c r="A104">
        <v>228</v>
      </c>
      <c r="D104" t="s">
        <v>190</v>
      </c>
      <c r="I104" t="s">
        <v>48</v>
      </c>
      <c r="R104">
        <v>-101.57</v>
      </c>
      <c r="T104" s="1"/>
    </row>
    <row r="105" spans="1:20" x14ac:dyDescent="0.2">
      <c r="A105">
        <v>243</v>
      </c>
      <c r="D105" t="s">
        <v>175</v>
      </c>
      <c r="I105" t="s">
        <v>176</v>
      </c>
      <c r="R105" s="1">
        <v>-2477.88</v>
      </c>
      <c r="S105" s="1"/>
      <c r="T105" s="1"/>
    </row>
    <row r="106" spans="1:20" x14ac:dyDescent="0.2">
      <c r="A106">
        <v>251</v>
      </c>
      <c r="D106" t="s">
        <v>177</v>
      </c>
      <c r="I106" t="s">
        <v>36</v>
      </c>
      <c r="R106" s="1">
        <v>-37.39</v>
      </c>
      <c r="T106" s="1"/>
    </row>
    <row r="107" spans="1:20" x14ac:dyDescent="0.2">
      <c r="A107">
        <v>255</v>
      </c>
      <c r="D107" t="s">
        <v>178</v>
      </c>
      <c r="I107" t="s">
        <v>42</v>
      </c>
      <c r="R107">
        <v>-224.72</v>
      </c>
      <c r="T107" s="1"/>
    </row>
    <row r="108" spans="1:20" x14ac:dyDescent="0.2">
      <c r="H108" t="s">
        <v>180</v>
      </c>
      <c r="R108" s="1">
        <v>15171.2</v>
      </c>
      <c r="S108" s="1"/>
      <c r="T108" s="1"/>
    </row>
    <row r="109" spans="1:20" x14ac:dyDescent="0.2">
      <c r="R109" s="1"/>
      <c r="S109">
        <v>0</v>
      </c>
      <c r="T109" s="1">
        <f t="shared" ref="T109" si="0">+R109-S109</f>
        <v>0</v>
      </c>
    </row>
    <row r="110" spans="1:20" x14ac:dyDescent="0.2">
      <c r="T11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7"/>
  <sheetViews>
    <sheetView workbookViewId="0">
      <selection sqref="A1:W114"/>
    </sheetView>
  </sheetViews>
  <sheetFormatPr baseColWidth="10" defaultColWidth="8.83203125" defaultRowHeight="15" x14ac:dyDescent="0.2"/>
  <cols>
    <col min="1" max="7" width="9.1640625" customWidth="1"/>
    <col min="11" max="12" width="11" bestFit="1" customWidth="1"/>
    <col min="18" max="18" width="11" bestFit="1" customWidth="1"/>
    <col min="19" max="19" width="10.83203125" bestFit="1" customWidth="1"/>
  </cols>
  <sheetData>
    <row r="1" spans="1:20" x14ac:dyDescent="0.2">
      <c r="A1" t="s">
        <v>65</v>
      </c>
      <c r="D1" t="s">
        <v>66</v>
      </c>
      <c r="H1" t="s">
        <v>5</v>
      </c>
      <c r="R1" t="s">
        <v>6</v>
      </c>
    </row>
    <row r="2" spans="1:20" x14ac:dyDescent="0.2">
      <c r="H2" t="s">
        <v>67</v>
      </c>
      <c r="K2" s="1"/>
      <c r="L2" s="1"/>
      <c r="R2" s="1">
        <v>467954.66</v>
      </c>
      <c r="S2" s="1"/>
      <c r="T2" s="1"/>
    </row>
    <row r="3" spans="1:20" x14ac:dyDescent="0.2">
      <c r="A3">
        <v>860</v>
      </c>
      <c r="D3" t="s">
        <v>68</v>
      </c>
      <c r="I3" t="s">
        <v>69</v>
      </c>
      <c r="R3" s="1">
        <v>193567.41</v>
      </c>
      <c r="S3" s="1"/>
      <c r="T3" s="1"/>
    </row>
    <row r="4" spans="1:20" x14ac:dyDescent="0.2">
      <c r="A4">
        <v>861</v>
      </c>
      <c r="D4" t="s">
        <v>70</v>
      </c>
      <c r="I4" t="s">
        <v>71</v>
      </c>
      <c r="K4" s="1"/>
      <c r="L4" s="1"/>
      <c r="R4" s="1">
        <v>164134.17000000001</v>
      </c>
      <c r="S4" s="1"/>
      <c r="T4" s="1"/>
    </row>
    <row r="5" spans="1:20" x14ac:dyDescent="0.2">
      <c r="A5">
        <v>862</v>
      </c>
      <c r="D5" t="s">
        <v>184</v>
      </c>
      <c r="I5" t="s">
        <v>185</v>
      </c>
      <c r="K5" s="1"/>
      <c r="L5" s="1"/>
      <c r="R5" s="1">
        <v>20118.810000000001</v>
      </c>
      <c r="S5" s="1"/>
      <c r="T5" s="1"/>
    </row>
    <row r="6" spans="1:20" x14ac:dyDescent="0.2">
      <c r="A6">
        <v>865</v>
      </c>
      <c r="D6" t="s">
        <v>72</v>
      </c>
      <c r="I6" t="s">
        <v>73</v>
      </c>
      <c r="K6" s="1"/>
      <c r="L6" s="1"/>
      <c r="R6" s="1">
        <v>90134.27</v>
      </c>
      <c r="S6" s="1"/>
      <c r="T6" s="1"/>
    </row>
    <row r="7" spans="1:20" x14ac:dyDescent="0.2">
      <c r="H7" t="s">
        <v>74</v>
      </c>
      <c r="K7" s="1"/>
      <c r="L7" s="1"/>
      <c r="R7" s="1">
        <v>28379.02</v>
      </c>
      <c r="S7" s="1"/>
      <c r="T7" s="1"/>
    </row>
    <row r="8" spans="1:20" x14ac:dyDescent="0.2">
      <c r="A8">
        <v>863</v>
      </c>
      <c r="D8" t="s">
        <v>75</v>
      </c>
      <c r="I8" t="s">
        <v>76</v>
      </c>
      <c r="K8" s="1"/>
      <c r="L8" s="1"/>
      <c r="R8" s="1">
        <v>22701.73</v>
      </c>
      <c r="S8" s="1"/>
      <c r="T8" s="1"/>
    </row>
    <row r="9" spans="1:20" x14ac:dyDescent="0.2">
      <c r="A9">
        <v>864</v>
      </c>
      <c r="D9" t="s">
        <v>77</v>
      </c>
      <c r="I9" t="s">
        <v>78</v>
      </c>
      <c r="R9" s="1">
        <v>5677.29</v>
      </c>
      <c r="S9" s="1"/>
      <c r="T9" s="1"/>
    </row>
    <row r="10" spans="1:20" x14ac:dyDescent="0.2">
      <c r="H10" t="s">
        <v>79</v>
      </c>
      <c r="K10" s="1"/>
      <c r="L10" s="1"/>
      <c r="R10" s="1">
        <v>496333.68</v>
      </c>
      <c r="S10" s="1"/>
      <c r="T10" s="1"/>
    </row>
    <row r="11" spans="1:20" x14ac:dyDescent="0.2">
      <c r="I11" t="s">
        <v>7</v>
      </c>
      <c r="K11" s="1"/>
      <c r="L11" s="1"/>
      <c r="S11" s="1"/>
      <c r="T11" s="1"/>
    </row>
    <row r="12" spans="1:20" x14ac:dyDescent="0.2">
      <c r="H12" t="s">
        <v>80</v>
      </c>
      <c r="K12" s="1"/>
      <c r="L12" s="1"/>
      <c r="R12">
        <v>-109.63</v>
      </c>
      <c r="S12" s="1"/>
      <c r="T12" s="1"/>
    </row>
    <row r="13" spans="1:20" x14ac:dyDescent="0.2">
      <c r="A13">
        <v>166</v>
      </c>
      <c r="D13" t="s">
        <v>81</v>
      </c>
      <c r="I13" t="s">
        <v>10</v>
      </c>
      <c r="K13" s="1"/>
      <c r="L13" s="1"/>
      <c r="R13">
        <v>-109.63</v>
      </c>
      <c r="S13" s="1"/>
      <c r="T13" s="1"/>
    </row>
    <row r="14" spans="1:20" x14ac:dyDescent="0.2">
      <c r="H14" t="s">
        <v>83</v>
      </c>
      <c r="K14" s="1"/>
      <c r="L14" s="1"/>
      <c r="R14" s="1">
        <v>496224.05</v>
      </c>
      <c r="S14" s="1"/>
      <c r="T14" s="1"/>
    </row>
    <row r="15" spans="1:20" x14ac:dyDescent="0.2">
      <c r="I15" t="s">
        <v>7</v>
      </c>
      <c r="K15" s="1"/>
      <c r="L15" s="1"/>
      <c r="S15" s="1"/>
      <c r="T15" s="1"/>
    </row>
    <row r="16" spans="1:20" x14ac:dyDescent="0.2">
      <c r="H16" t="s">
        <v>84</v>
      </c>
      <c r="K16" s="1"/>
      <c r="L16" s="1"/>
      <c r="R16" s="1">
        <v>29999.19</v>
      </c>
      <c r="S16" s="1"/>
      <c r="T16" s="1"/>
    </row>
    <row r="17" spans="1:20" x14ac:dyDescent="0.2">
      <c r="A17">
        <v>749</v>
      </c>
      <c r="D17" t="s">
        <v>85</v>
      </c>
      <c r="I17" t="s">
        <v>58</v>
      </c>
      <c r="K17" s="1"/>
      <c r="L17" s="1"/>
      <c r="R17" s="1">
        <v>29999.19</v>
      </c>
      <c r="S17" s="1"/>
      <c r="T17" s="1"/>
    </row>
    <row r="18" spans="1:20" x14ac:dyDescent="0.2">
      <c r="H18" t="s">
        <v>86</v>
      </c>
      <c r="R18" s="1">
        <v>526223.24</v>
      </c>
      <c r="S18" s="1"/>
      <c r="T18" s="1"/>
    </row>
    <row r="19" spans="1:20" x14ac:dyDescent="0.2">
      <c r="I19" t="s">
        <v>7</v>
      </c>
      <c r="K19" s="1"/>
      <c r="L19" s="1"/>
      <c r="S19" s="1"/>
      <c r="T19" s="1"/>
    </row>
    <row r="20" spans="1:20" x14ac:dyDescent="0.2">
      <c r="H20" t="s">
        <v>87</v>
      </c>
      <c r="R20" s="1">
        <v>-262495.89</v>
      </c>
      <c r="S20" s="1"/>
      <c r="T20" s="1"/>
    </row>
    <row r="21" spans="1:20" x14ac:dyDescent="0.2">
      <c r="A21">
        <v>162</v>
      </c>
      <c r="D21" t="s">
        <v>88</v>
      </c>
      <c r="I21" t="s">
        <v>8</v>
      </c>
      <c r="K21" s="1"/>
      <c r="L21" s="1"/>
      <c r="R21" s="1">
        <v>-202408.68</v>
      </c>
      <c r="S21" s="1"/>
      <c r="T21" s="1"/>
    </row>
    <row r="22" spans="1:20" x14ac:dyDescent="0.2">
      <c r="A22">
        <v>165</v>
      </c>
      <c r="D22" t="s">
        <v>89</v>
      </c>
      <c r="I22" t="s">
        <v>9</v>
      </c>
      <c r="R22" s="1">
        <v>-21519.93</v>
      </c>
      <c r="S22" s="1"/>
      <c r="T22" s="1"/>
    </row>
    <row r="23" spans="1:20" x14ac:dyDescent="0.2">
      <c r="A23">
        <v>167</v>
      </c>
      <c r="D23" t="s">
        <v>90</v>
      </c>
      <c r="I23" t="s">
        <v>11</v>
      </c>
      <c r="K23" s="1"/>
      <c r="L23" s="1"/>
      <c r="R23" s="1">
        <v>-4910.46</v>
      </c>
      <c r="S23" s="1"/>
      <c r="T23" s="1"/>
    </row>
    <row r="24" spans="1:20" x14ac:dyDescent="0.2">
      <c r="A24">
        <v>170</v>
      </c>
      <c r="D24" t="s">
        <v>91</v>
      </c>
      <c r="I24" t="s">
        <v>92</v>
      </c>
      <c r="K24" s="1"/>
      <c r="L24" s="1"/>
      <c r="R24" s="1">
        <v>-33656.82</v>
      </c>
      <c r="S24" s="1"/>
      <c r="T24" s="1"/>
    </row>
    <row r="25" spans="1:20" x14ac:dyDescent="0.2">
      <c r="H25" t="s">
        <v>93</v>
      </c>
      <c r="K25" s="1"/>
      <c r="L25" s="1"/>
      <c r="R25" s="1">
        <v>-262495.89</v>
      </c>
      <c r="S25" s="1"/>
      <c r="T25" s="1"/>
    </row>
    <row r="26" spans="1:20" x14ac:dyDescent="0.2">
      <c r="I26" t="s">
        <v>7</v>
      </c>
      <c r="K26" s="1"/>
      <c r="L26" s="1"/>
      <c r="S26" s="1"/>
      <c r="T26" s="1"/>
    </row>
    <row r="27" spans="1:20" x14ac:dyDescent="0.2">
      <c r="H27" t="s">
        <v>94</v>
      </c>
      <c r="K27" s="1"/>
      <c r="L27" s="1"/>
      <c r="R27" s="1">
        <v>263727.34999999998</v>
      </c>
      <c r="S27" s="1"/>
      <c r="T27" s="1"/>
    </row>
    <row r="28" spans="1:20" x14ac:dyDescent="0.2">
      <c r="I28" t="s">
        <v>7</v>
      </c>
      <c r="K28" s="1"/>
      <c r="L28" s="1"/>
      <c r="T28" s="1"/>
    </row>
    <row r="29" spans="1:20" x14ac:dyDescent="0.2">
      <c r="H29" t="s">
        <v>95</v>
      </c>
      <c r="K29" s="1"/>
      <c r="L29" s="1"/>
      <c r="R29" s="1">
        <v>-38241.74</v>
      </c>
      <c r="S29" s="1"/>
      <c r="T29" s="1"/>
    </row>
    <row r="30" spans="1:20" x14ac:dyDescent="0.2">
      <c r="A30">
        <v>164</v>
      </c>
      <c r="D30" t="s">
        <v>96</v>
      </c>
      <c r="I30" t="s">
        <v>97</v>
      </c>
      <c r="K30" s="1"/>
      <c r="L30" s="1"/>
      <c r="R30" s="1">
        <v>-30266.43</v>
      </c>
      <c r="S30" s="1"/>
      <c r="T30" s="1"/>
    </row>
    <row r="31" spans="1:20" x14ac:dyDescent="0.2">
      <c r="A31">
        <v>206</v>
      </c>
      <c r="D31" t="s">
        <v>98</v>
      </c>
      <c r="I31" t="s">
        <v>13</v>
      </c>
      <c r="K31" s="1"/>
      <c r="L31" s="1"/>
      <c r="R31" s="1">
        <v>-4108.25</v>
      </c>
      <c r="S31" s="1"/>
      <c r="T31" s="1"/>
    </row>
    <row r="32" spans="1:20" x14ac:dyDescent="0.2">
      <c r="A32">
        <v>207</v>
      </c>
      <c r="D32" t="s">
        <v>192</v>
      </c>
      <c r="I32" t="s">
        <v>14</v>
      </c>
      <c r="R32" s="1">
        <v>-3000</v>
      </c>
      <c r="S32" s="1"/>
      <c r="T32" s="1"/>
    </row>
    <row r="33" spans="1:20" x14ac:dyDescent="0.2">
      <c r="A33">
        <v>224</v>
      </c>
      <c r="D33" t="s">
        <v>100</v>
      </c>
      <c r="I33" t="s">
        <v>25</v>
      </c>
      <c r="K33" s="1"/>
      <c r="L33" s="1"/>
      <c r="R33">
        <v>-867.06</v>
      </c>
      <c r="S33" s="1"/>
      <c r="T33" s="1"/>
    </row>
    <row r="34" spans="1:20" x14ac:dyDescent="0.2">
      <c r="H34" t="s">
        <v>101</v>
      </c>
      <c r="K34" s="1"/>
      <c r="L34" s="1"/>
      <c r="R34" s="1">
        <v>-11904.13</v>
      </c>
      <c r="S34" s="1"/>
      <c r="T34" s="1"/>
    </row>
    <row r="35" spans="1:20" x14ac:dyDescent="0.2">
      <c r="A35">
        <v>250</v>
      </c>
      <c r="D35" t="s">
        <v>102</v>
      </c>
      <c r="I35" t="s">
        <v>35</v>
      </c>
      <c r="K35" s="1"/>
      <c r="L35" s="1"/>
      <c r="R35">
        <v>-36.25</v>
      </c>
      <c r="S35" s="1"/>
      <c r="T35" s="1"/>
    </row>
    <row r="36" spans="1:20" x14ac:dyDescent="0.2">
      <c r="A36">
        <v>253</v>
      </c>
      <c r="D36" t="s">
        <v>103</v>
      </c>
      <c r="I36" t="s">
        <v>38</v>
      </c>
      <c r="K36" s="1"/>
      <c r="L36" s="1"/>
      <c r="R36">
        <v>-120.19</v>
      </c>
      <c r="S36" s="1"/>
      <c r="T36" s="1"/>
    </row>
    <row r="37" spans="1:20" x14ac:dyDescent="0.2">
      <c r="A37">
        <v>651</v>
      </c>
      <c r="D37" t="s">
        <v>104</v>
      </c>
      <c r="I37" t="s">
        <v>39</v>
      </c>
      <c r="K37" s="1"/>
      <c r="L37" s="1"/>
      <c r="R37" s="1">
        <v>-3587.81</v>
      </c>
      <c r="S37" s="1"/>
      <c r="T37" s="1"/>
    </row>
    <row r="38" spans="1:20" x14ac:dyDescent="0.2">
      <c r="A38">
        <v>653</v>
      </c>
      <c r="D38" t="s">
        <v>105</v>
      </c>
      <c r="I38" t="s">
        <v>40</v>
      </c>
      <c r="R38">
        <v>-49.67</v>
      </c>
      <c r="S38" s="1"/>
      <c r="T38" s="1"/>
    </row>
    <row r="39" spans="1:20" x14ac:dyDescent="0.2">
      <c r="A39">
        <v>654</v>
      </c>
      <c r="D39" t="s">
        <v>106</v>
      </c>
      <c r="I39" t="s">
        <v>41</v>
      </c>
      <c r="K39" s="1"/>
      <c r="L39" s="1"/>
      <c r="R39" s="1">
        <v>-8110.21</v>
      </c>
      <c r="S39" s="1"/>
      <c r="T39" s="1"/>
    </row>
    <row r="40" spans="1:20" x14ac:dyDescent="0.2">
      <c r="H40" t="s">
        <v>107</v>
      </c>
      <c r="K40" s="1"/>
      <c r="L40" s="1"/>
      <c r="R40" s="1">
        <v>-50145.87</v>
      </c>
      <c r="S40" s="1"/>
      <c r="T40" s="1"/>
    </row>
    <row r="41" spans="1:20" x14ac:dyDescent="0.2">
      <c r="I41" t="s">
        <v>7</v>
      </c>
      <c r="K41" s="1"/>
      <c r="L41" s="1"/>
      <c r="S41" s="1"/>
      <c r="T41" s="1"/>
    </row>
    <row r="42" spans="1:20" x14ac:dyDescent="0.2">
      <c r="H42" t="s">
        <v>108</v>
      </c>
      <c r="R42" s="1">
        <v>213581.48</v>
      </c>
      <c r="S42" s="1"/>
      <c r="T42" s="1"/>
    </row>
    <row r="43" spans="1:20" x14ac:dyDescent="0.2">
      <c r="I43" t="s">
        <v>7</v>
      </c>
      <c r="K43" s="1"/>
      <c r="L43" s="1"/>
      <c r="T43" s="1"/>
    </row>
    <row r="44" spans="1:20" x14ac:dyDescent="0.2">
      <c r="H44" t="s">
        <v>109</v>
      </c>
      <c r="K44" s="1"/>
      <c r="L44" s="1"/>
      <c r="R44" s="1">
        <v>-82984.22</v>
      </c>
      <c r="S44" s="1"/>
      <c r="T44" s="1"/>
    </row>
    <row r="45" spans="1:20" x14ac:dyDescent="0.2">
      <c r="I45" t="s">
        <v>7</v>
      </c>
      <c r="K45" s="1"/>
      <c r="L45" s="1"/>
      <c r="S45" s="1"/>
      <c r="T45" s="1"/>
    </row>
    <row r="46" spans="1:20" x14ac:dyDescent="0.2">
      <c r="H46" t="s">
        <v>110</v>
      </c>
      <c r="K46" s="1"/>
      <c r="L46" s="1"/>
      <c r="R46" s="1">
        <v>-82984.22</v>
      </c>
      <c r="S46" s="1"/>
      <c r="T46" s="1"/>
    </row>
    <row r="47" spans="1:20" x14ac:dyDescent="0.2">
      <c r="I47" t="s">
        <v>7</v>
      </c>
      <c r="K47" s="1"/>
      <c r="L47" s="1"/>
      <c r="S47" s="1"/>
      <c r="T47" s="1"/>
    </row>
    <row r="48" spans="1:20" x14ac:dyDescent="0.2">
      <c r="H48" t="s">
        <v>111</v>
      </c>
      <c r="R48" s="1">
        <v>-3214.9</v>
      </c>
      <c r="S48" s="1"/>
      <c r="T48" s="1"/>
    </row>
    <row r="49" spans="1:20" x14ac:dyDescent="0.2">
      <c r="A49">
        <v>182</v>
      </c>
      <c r="D49" t="s">
        <v>112</v>
      </c>
      <c r="I49" t="s">
        <v>54</v>
      </c>
      <c r="R49" s="1">
        <v>-3214.9</v>
      </c>
      <c r="S49" s="1"/>
      <c r="T49" s="1"/>
    </row>
    <row r="50" spans="1:20" x14ac:dyDescent="0.2">
      <c r="H50" t="s">
        <v>113</v>
      </c>
      <c r="K50" s="1"/>
      <c r="L50" s="1"/>
      <c r="R50" s="1">
        <v>-20110</v>
      </c>
      <c r="S50" s="1"/>
      <c r="T50" s="1"/>
    </row>
    <row r="51" spans="1:20" x14ac:dyDescent="0.2">
      <c r="A51">
        <v>181</v>
      </c>
      <c r="D51" t="s">
        <v>114</v>
      </c>
      <c r="I51" t="s">
        <v>53</v>
      </c>
      <c r="R51" s="1">
        <v>-12910</v>
      </c>
      <c r="S51" s="1"/>
      <c r="T51" s="1"/>
    </row>
    <row r="52" spans="1:20" x14ac:dyDescent="0.2">
      <c r="A52">
        <v>188</v>
      </c>
      <c r="D52" t="s">
        <v>115</v>
      </c>
      <c r="I52" t="s">
        <v>116</v>
      </c>
      <c r="K52" s="1"/>
      <c r="L52" s="1"/>
      <c r="R52" s="1">
        <v>-7200</v>
      </c>
      <c r="S52" s="1"/>
      <c r="T52" s="1"/>
    </row>
    <row r="53" spans="1:20" x14ac:dyDescent="0.2">
      <c r="H53" t="s">
        <v>73</v>
      </c>
      <c r="R53" s="1">
        <v>-10520</v>
      </c>
      <c r="S53" s="1"/>
      <c r="T53" s="1"/>
    </row>
    <row r="54" spans="1:20" x14ac:dyDescent="0.2">
      <c r="A54">
        <v>184</v>
      </c>
      <c r="D54" t="s">
        <v>117</v>
      </c>
      <c r="I54" t="s">
        <v>57</v>
      </c>
      <c r="R54" s="1">
        <v>-10520</v>
      </c>
      <c r="S54" s="1"/>
      <c r="T54" s="1"/>
    </row>
    <row r="55" spans="1:20" x14ac:dyDescent="0.2">
      <c r="H55" t="s">
        <v>118</v>
      </c>
      <c r="K55" s="1"/>
      <c r="L55" s="1"/>
      <c r="R55" s="1">
        <v>-3347.08</v>
      </c>
      <c r="S55" s="1"/>
      <c r="T55" s="1"/>
    </row>
    <row r="56" spans="1:20" x14ac:dyDescent="0.2">
      <c r="A56">
        <v>502</v>
      </c>
      <c r="D56" t="s">
        <v>119</v>
      </c>
      <c r="I56" t="s">
        <v>120</v>
      </c>
      <c r="R56" s="1">
        <v>-1929.6</v>
      </c>
      <c r="S56" s="1"/>
      <c r="T56" s="1"/>
    </row>
    <row r="57" spans="1:20" x14ac:dyDescent="0.2">
      <c r="A57">
        <v>503</v>
      </c>
      <c r="D57" t="s">
        <v>121</v>
      </c>
      <c r="I57" t="s">
        <v>122</v>
      </c>
      <c r="R57">
        <v>-576</v>
      </c>
      <c r="S57" s="1"/>
      <c r="T57" s="1"/>
    </row>
    <row r="58" spans="1:20" x14ac:dyDescent="0.2">
      <c r="A58">
        <v>504</v>
      </c>
      <c r="D58" t="s">
        <v>123</v>
      </c>
      <c r="I58" t="s">
        <v>124</v>
      </c>
      <c r="R58">
        <v>-72</v>
      </c>
      <c r="S58" s="1"/>
      <c r="T58" s="1"/>
    </row>
    <row r="59" spans="1:20" x14ac:dyDescent="0.2">
      <c r="A59">
        <v>511</v>
      </c>
      <c r="D59" t="s">
        <v>125</v>
      </c>
      <c r="I59" t="s">
        <v>126</v>
      </c>
      <c r="R59">
        <v>-769.48</v>
      </c>
      <c r="S59" s="1"/>
      <c r="T59" s="1"/>
    </row>
    <row r="60" spans="1:20" x14ac:dyDescent="0.2">
      <c r="H60" t="s">
        <v>182</v>
      </c>
      <c r="R60" s="1">
        <v>-7155.32</v>
      </c>
      <c r="S60" s="1"/>
      <c r="T60" s="1"/>
    </row>
    <row r="61" spans="1:20" x14ac:dyDescent="0.2">
      <c r="A61">
        <v>710</v>
      </c>
      <c r="D61" t="s">
        <v>128</v>
      </c>
      <c r="I61" t="s">
        <v>183</v>
      </c>
      <c r="R61" s="1">
        <v>-7155.32</v>
      </c>
      <c r="S61" s="1"/>
      <c r="T61" s="1"/>
    </row>
    <row r="62" spans="1:20" x14ac:dyDescent="0.2">
      <c r="H62" t="s">
        <v>181</v>
      </c>
      <c r="K62" s="1"/>
      <c r="L62" s="1"/>
      <c r="R62" s="1">
        <v>-3830.11</v>
      </c>
      <c r="S62" s="1"/>
      <c r="T62" s="1"/>
    </row>
    <row r="63" spans="1:20" x14ac:dyDescent="0.2">
      <c r="A63">
        <v>247</v>
      </c>
      <c r="D63" t="s">
        <v>193</v>
      </c>
      <c r="I63" t="s">
        <v>51</v>
      </c>
      <c r="R63" s="1">
        <v>-2672.69</v>
      </c>
      <c r="S63" s="1"/>
      <c r="T63" s="1"/>
    </row>
    <row r="64" spans="1:20" x14ac:dyDescent="0.2">
      <c r="A64">
        <v>711</v>
      </c>
      <c r="D64" t="s">
        <v>249</v>
      </c>
      <c r="I64" t="s">
        <v>30</v>
      </c>
      <c r="K64" s="1"/>
      <c r="L64" s="1"/>
      <c r="R64" s="1">
        <v>-1157.42</v>
      </c>
      <c r="S64" s="1"/>
      <c r="T64" s="1"/>
    </row>
    <row r="65" spans="1:20" x14ac:dyDescent="0.2">
      <c r="H65" t="s">
        <v>130</v>
      </c>
      <c r="R65" s="1">
        <v>-34806.81</v>
      </c>
      <c r="S65" s="1"/>
      <c r="T65" s="1"/>
    </row>
    <row r="66" spans="1:20" x14ac:dyDescent="0.2">
      <c r="A66">
        <v>171</v>
      </c>
      <c r="D66" t="s">
        <v>131</v>
      </c>
      <c r="I66" t="s">
        <v>60</v>
      </c>
      <c r="R66" s="1">
        <v>-32928.85</v>
      </c>
      <c r="S66" s="1"/>
      <c r="T66" s="1"/>
    </row>
    <row r="67" spans="1:20" x14ac:dyDescent="0.2">
      <c r="A67">
        <v>245</v>
      </c>
      <c r="D67" t="s">
        <v>132</v>
      </c>
      <c r="I67" t="s">
        <v>191</v>
      </c>
      <c r="R67">
        <v>-664</v>
      </c>
      <c r="S67" s="1"/>
      <c r="T67" s="1"/>
    </row>
    <row r="68" spans="1:20" x14ac:dyDescent="0.2">
      <c r="A68">
        <v>709</v>
      </c>
      <c r="D68" t="s">
        <v>250</v>
      </c>
      <c r="I68" t="s">
        <v>186</v>
      </c>
      <c r="K68" s="1"/>
      <c r="L68" s="1"/>
      <c r="R68" s="1">
        <v>-1213.96</v>
      </c>
      <c r="S68" s="1"/>
      <c r="T68" s="1"/>
    </row>
    <row r="69" spans="1:20" x14ac:dyDescent="0.2">
      <c r="H69" t="s">
        <v>133</v>
      </c>
      <c r="K69" s="1"/>
      <c r="L69" s="1"/>
      <c r="R69" s="1">
        <v>-93267.69</v>
      </c>
      <c r="S69" s="1"/>
      <c r="T69" s="1"/>
    </row>
    <row r="70" spans="1:20" x14ac:dyDescent="0.2">
      <c r="I70" t="s">
        <v>7</v>
      </c>
      <c r="K70" s="1"/>
      <c r="L70" s="1"/>
      <c r="S70" s="1"/>
      <c r="T70" s="1"/>
    </row>
    <row r="71" spans="1:20" x14ac:dyDescent="0.2">
      <c r="H71" t="s">
        <v>134</v>
      </c>
      <c r="R71" s="1">
        <v>-59805.29</v>
      </c>
      <c r="S71" s="1"/>
      <c r="T71" s="1"/>
    </row>
    <row r="72" spans="1:20" x14ac:dyDescent="0.2">
      <c r="A72">
        <v>180</v>
      </c>
      <c r="D72" t="s">
        <v>135</v>
      </c>
      <c r="I72" t="s">
        <v>52</v>
      </c>
      <c r="K72" s="1"/>
      <c r="L72" s="1"/>
      <c r="R72" s="1">
        <v>-18271.54</v>
      </c>
      <c r="S72" s="1"/>
      <c r="T72" s="1"/>
    </row>
    <row r="73" spans="1:20" x14ac:dyDescent="0.2">
      <c r="A73">
        <v>186</v>
      </c>
      <c r="D73" t="s">
        <v>187</v>
      </c>
      <c r="I73" t="s">
        <v>55</v>
      </c>
      <c r="K73" s="1"/>
      <c r="L73" s="1"/>
      <c r="R73" s="1">
        <v>-6695.87</v>
      </c>
      <c r="S73" s="1"/>
      <c r="T73" s="1"/>
    </row>
    <row r="74" spans="1:20" x14ac:dyDescent="0.2">
      <c r="A74">
        <v>187</v>
      </c>
      <c r="D74" t="s">
        <v>136</v>
      </c>
      <c r="I74" t="s">
        <v>56</v>
      </c>
      <c r="R74" s="1">
        <v>-11244.29</v>
      </c>
      <c r="S74" s="1"/>
      <c r="T74" s="1"/>
    </row>
    <row r="75" spans="1:20" x14ac:dyDescent="0.2">
      <c r="A75">
        <v>189</v>
      </c>
      <c r="D75" t="s">
        <v>137</v>
      </c>
      <c r="I75" t="s">
        <v>138</v>
      </c>
      <c r="R75" s="1">
        <v>-4834</v>
      </c>
      <c r="S75" s="1"/>
      <c r="T75" s="1"/>
    </row>
    <row r="76" spans="1:20" x14ac:dyDescent="0.2">
      <c r="A76">
        <v>190</v>
      </c>
      <c r="D76" t="s">
        <v>139</v>
      </c>
      <c r="I76" t="s">
        <v>140</v>
      </c>
      <c r="R76" s="1">
        <v>-1855.25</v>
      </c>
      <c r="S76" s="1"/>
      <c r="T76" s="1"/>
    </row>
    <row r="77" spans="1:20" x14ac:dyDescent="0.2">
      <c r="A77">
        <v>192</v>
      </c>
      <c r="D77" t="s">
        <v>141</v>
      </c>
      <c r="I77" t="s">
        <v>142</v>
      </c>
      <c r="R77" s="1">
        <v>-3675</v>
      </c>
      <c r="S77" s="1"/>
      <c r="T77" s="1"/>
    </row>
    <row r="78" spans="1:20" x14ac:dyDescent="0.2">
      <c r="A78">
        <v>193</v>
      </c>
      <c r="D78" t="s">
        <v>143</v>
      </c>
      <c r="I78" t="s">
        <v>45</v>
      </c>
      <c r="K78" s="1"/>
      <c r="L78" s="1"/>
      <c r="R78" s="1">
        <v>-117.34</v>
      </c>
      <c r="T78" s="1"/>
    </row>
    <row r="79" spans="1:20" x14ac:dyDescent="0.2">
      <c r="A79">
        <v>195</v>
      </c>
      <c r="D79" t="s">
        <v>144</v>
      </c>
      <c r="I79" t="s">
        <v>145</v>
      </c>
      <c r="R79" s="1">
        <v>-2783.01</v>
      </c>
      <c r="S79" s="1"/>
      <c r="T79" s="1"/>
    </row>
    <row r="80" spans="1:20" x14ac:dyDescent="0.2">
      <c r="A80">
        <v>196</v>
      </c>
      <c r="B80" s="2"/>
      <c r="C80" s="2"/>
      <c r="D80" t="s">
        <v>146</v>
      </c>
      <c r="F80" s="2"/>
      <c r="I80" t="s">
        <v>147</v>
      </c>
      <c r="K80" s="1"/>
      <c r="L80" s="1"/>
      <c r="R80" s="1">
        <v>-830.76</v>
      </c>
      <c r="T80" s="1"/>
    </row>
    <row r="81" spans="1:20" x14ac:dyDescent="0.2">
      <c r="A81">
        <v>197</v>
      </c>
      <c r="D81" t="s">
        <v>148</v>
      </c>
      <c r="I81" t="s">
        <v>149</v>
      </c>
      <c r="K81" s="1"/>
      <c r="L81" s="1"/>
      <c r="R81">
        <v>-103.84</v>
      </c>
      <c r="T81" s="1"/>
    </row>
    <row r="82" spans="1:20" x14ac:dyDescent="0.2">
      <c r="A82">
        <v>200</v>
      </c>
      <c r="D82" t="s">
        <v>150</v>
      </c>
      <c r="I82" t="s">
        <v>15</v>
      </c>
      <c r="K82" s="1"/>
      <c r="L82" s="1"/>
      <c r="R82" s="1">
        <v>-2805.57</v>
      </c>
      <c r="S82" s="1"/>
      <c r="T82" s="1"/>
    </row>
    <row r="83" spans="1:20" x14ac:dyDescent="0.2">
      <c r="A83">
        <v>201</v>
      </c>
      <c r="D83" t="s">
        <v>151</v>
      </c>
      <c r="I83" t="s">
        <v>152</v>
      </c>
      <c r="K83" s="1"/>
      <c r="L83" s="1"/>
      <c r="R83" s="1">
        <v>-762.28</v>
      </c>
      <c r="T83" s="1"/>
    </row>
    <row r="84" spans="1:20" x14ac:dyDescent="0.2">
      <c r="A84">
        <v>202</v>
      </c>
      <c r="D84" t="s">
        <v>153</v>
      </c>
      <c r="I84" t="s">
        <v>16</v>
      </c>
      <c r="R84" s="1">
        <v>-4349.46</v>
      </c>
      <c r="S84" s="1"/>
      <c r="T84" s="1"/>
    </row>
    <row r="85" spans="1:20" x14ac:dyDescent="0.2">
      <c r="A85">
        <v>203</v>
      </c>
      <c r="D85" t="s">
        <v>154</v>
      </c>
      <c r="I85" t="s">
        <v>17</v>
      </c>
      <c r="R85" s="1">
        <v>-1428.08</v>
      </c>
      <c r="S85" s="1"/>
      <c r="T85" s="1"/>
    </row>
    <row r="86" spans="1:20" x14ac:dyDescent="0.2">
      <c r="A86">
        <v>210</v>
      </c>
      <c r="D86" t="s">
        <v>155</v>
      </c>
      <c r="I86" t="s">
        <v>18</v>
      </c>
      <c r="R86" s="1">
        <v>-49</v>
      </c>
      <c r="T86" s="1"/>
    </row>
    <row r="87" spans="1:20" x14ac:dyDescent="0.2">
      <c r="H87" t="s">
        <v>156</v>
      </c>
      <c r="R87" s="1">
        <v>-13818.23</v>
      </c>
      <c r="S87" s="1"/>
      <c r="T87" s="1"/>
    </row>
    <row r="88" spans="1:20" x14ac:dyDescent="0.2">
      <c r="A88">
        <v>229</v>
      </c>
      <c r="D88" t="s">
        <v>157</v>
      </c>
      <c r="I88" t="s">
        <v>28</v>
      </c>
      <c r="R88" s="1">
        <v>-13757.47</v>
      </c>
      <c r="S88" s="1"/>
      <c r="T88" s="1"/>
    </row>
    <row r="89" spans="1:20" x14ac:dyDescent="0.2">
      <c r="A89">
        <v>237</v>
      </c>
      <c r="D89" t="s">
        <v>158</v>
      </c>
      <c r="I89" t="s">
        <v>32</v>
      </c>
      <c r="R89" s="1">
        <v>-60.76</v>
      </c>
      <c r="T89" s="1"/>
    </row>
    <row r="90" spans="1:20" x14ac:dyDescent="0.2">
      <c r="H90" t="s">
        <v>159</v>
      </c>
      <c r="R90" s="1">
        <v>-4519</v>
      </c>
      <c r="S90" s="1"/>
      <c r="T90" s="1"/>
    </row>
    <row r="91" spans="1:20" x14ac:dyDescent="0.2">
      <c r="A91">
        <v>214</v>
      </c>
      <c r="D91" t="s">
        <v>160</v>
      </c>
      <c r="I91" t="s">
        <v>21</v>
      </c>
      <c r="R91" s="1">
        <v>-4519</v>
      </c>
      <c r="S91" s="1"/>
      <c r="T91" s="1"/>
    </row>
    <row r="92" spans="1:20" x14ac:dyDescent="0.2">
      <c r="H92" t="s">
        <v>161</v>
      </c>
      <c r="R92" s="1">
        <v>-1209.98</v>
      </c>
      <c r="S92" s="1"/>
      <c r="T92" s="1"/>
    </row>
    <row r="93" spans="1:20" x14ac:dyDescent="0.2">
      <c r="A93">
        <v>217</v>
      </c>
      <c r="D93" t="s">
        <v>162</v>
      </c>
      <c r="I93" t="s">
        <v>23</v>
      </c>
      <c r="R93" s="1">
        <v>-1209.98</v>
      </c>
      <c r="S93" s="1"/>
      <c r="T93" s="1"/>
    </row>
    <row r="94" spans="1:20" x14ac:dyDescent="0.2">
      <c r="H94" t="s">
        <v>163</v>
      </c>
      <c r="R94" s="1">
        <v>-4273.55</v>
      </c>
      <c r="S94" s="1"/>
      <c r="T94" s="1"/>
    </row>
    <row r="95" spans="1:20" x14ac:dyDescent="0.2">
      <c r="A95">
        <v>219</v>
      </c>
      <c r="D95" t="s">
        <v>194</v>
      </c>
      <c r="I95" t="s">
        <v>49</v>
      </c>
      <c r="R95" s="1">
        <v>-3970.57</v>
      </c>
      <c r="S95" s="1"/>
      <c r="T95" s="1"/>
    </row>
    <row r="96" spans="1:20" x14ac:dyDescent="0.2">
      <c r="A96">
        <v>220</v>
      </c>
      <c r="D96" t="s">
        <v>164</v>
      </c>
      <c r="I96" t="s">
        <v>24</v>
      </c>
      <c r="R96" s="1">
        <v>-153.96</v>
      </c>
      <c r="T96" s="1"/>
    </row>
    <row r="97" spans="1:20" x14ac:dyDescent="0.2">
      <c r="A97">
        <v>233</v>
      </c>
      <c r="D97" t="s">
        <v>195</v>
      </c>
      <c r="I97" t="s">
        <v>50</v>
      </c>
      <c r="R97">
        <v>-149.02000000000001</v>
      </c>
      <c r="T97" s="1"/>
    </row>
    <row r="98" spans="1:20" x14ac:dyDescent="0.2">
      <c r="H98" t="s">
        <v>127</v>
      </c>
      <c r="R98" s="1">
        <v>-3440.82</v>
      </c>
      <c r="S98" s="1"/>
      <c r="T98" s="1"/>
    </row>
    <row r="99" spans="1:20" x14ac:dyDescent="0.2">
      <c r="A99">
        <v>244</v>
      </c>
      <c r="D99" t="s">
        <v>165</v>
      </c>
      <c r="I99" t="s">
        <v>34</v>
      </c>
      <c r="R99" s="1">
        <v>-3440.82</v>
      </c>
      <c r="S99" s="1"/>
      <c r="T99" s="1"/>
    </row>
    <row r="100" spans="1:20" x14ac:dyDescent="0.2">
      <c r="H100" t="s">
        <v>166</v>
      </c>
      <c r="R100" s="1">
        <v>-188.55</v>
      </c>
      <c r="T100" s="1"/>
    </row>
    <row r="101" spans="1:20" x14ac:dyDescent="0.2">
      <c r="A101">
        <v>252</v>
      </c>
      <c r="D101" t="s">
        <v>167</v>
      </c>
      <c r="I101" t="s">
        <v>37</v>
      </c>
      <c r="R101">
        <v>-188.55</v>
      </c>
      <c r="T101" s="1"/>
    </row>
    <row r="102" spans="1:20" x14ac:dyDescent="0.2">
      <c r="H102" t="s">
        <v>129</v>
      </c>
      <c r="R102" s="1">
        <v>-6012.27</v>
      </c>
      <c r="S102" s="1"/>
      <c r="T102" s="1"/>
    </row>
    <row r="103" spans="1:20" x14ac:dyDescent="0.2">
      <c r="A103">
        <v>213</v>
      </c>
      <c r="D103" t="s">
        <v>168</v>
      </c>
      <c r="I103" t="s">
        <v>20</v>
      </c>
      <c r="R103" s="1">
        <v>-984.83</v>
      </c>
      <c r="T103" s="1"/>
    </row>
    <row r="104" spans="1:20" x14ac:dyDescent="0.2">
      <c r="A104">
        <v>216</v>
      </c>
      <c r="D104" t="s">
        <v>169</v>
      </c>
      <c r="I104" t="s">
        <v>22</v>
      </c>
      <c r="R104">
        <v>-12</v>
      </c>
      <c r="T104" s="1"/>
    </row>
    <row r="105" spans="1:20" x14ac:dyDescent="0.2">
      <c r="A105">
        <v>222</v>
      </c>
      <c r="D105" t="s">
        <v>189</v>
      </c>
      <c r="I105" t="s">
        <v>47</v>
      </c>
      <c r="R105">
        <v>150</v>
      </c>
      <c r="T105" s="1"/>
    </row>
    <row r="106" spans="1:20" x14ac:dyDescent="0.2">
      <c r="A106">
        <v>225</v>
      </c>
      <c r="D106" t="s">
        <v>170</v>
      </c>
      <c r="I106" t="s">
        <v>26</v>
      </c>
      <c r="R106">
        <v>-104.13</v>
      </c>
      <c r="T106" s="1"/>
    </row>
    <row r="107" spans="1:20" x14ac:dyDescent="0.2">
      <c r="A107">
        <v>227</v>
      </c>
      <c r="D107" t="s">
        <v>171</v>
      </c>
      <c r="I107" t="s">
        <v>27</v>
      </c>
      <c r="R107">
        <v>-535</v>
      </c>
      <c r="T107" s="1"/>
    </row>
    <row r="108" spans="1:20" x14ac:dyDescent="0.2">
      <c r="A108">
        <v>228</v>
      </c>
      <c r="D108" t="s">
        <v>190</v>
      </c>
      <c r="I108" t="s">
        <v>48</v>
      </c>
      <c r="R108">
        <v>-34.67</v>
      </c>
      <c r="T108" s="1"/>
    </row>
    <row r="109" spans="1:20" x14ac:dyDescent="0.2">
      <c r="A109">
        <v>231</v>
      </c>
      <c r="D109" t="s">
        <v>172</v>
      </c>
      <c r="I109" t="s">
        <v>29</v>
      </c>
      <c r="R109">
        <v>-29.88</v>
      </c>
      <c r="T109" s="1"/>
    </row>
    <row r="110" spans="1:20" x14ac:dyDescent="0.2">
      <c r="A110">
        <v>238</v>
      </c>
      <c r="D110" t="s">
        <v>174</v>
      </c>
      <c r="I110" t="s">
        <v>33</v>
      </c>
      <c r="R110">
        <v>-740.87</v>
      </c>
      <c r="T110" s="1"/>
    </row>
    <row r="111" spans="1:20" x14ac:dyDescent="0.2">
      <c r="A111">
        <v>243</v>
      </c>
      <c r="D111" t="s">
        <v>175</v>
      </c>
      <c r="I111" t="s">
        <v>176</v>
      </c>
      <c r="R111" s="1">
        <v>-2722.23</v>
      </c>
      <c r="S111" s="1"/>
      <c r="T111" s="1"/>
    </row>
    <row r="112" spans="1:20" x14ac:dyDescent="0.2">
      <c r="A112">
        <v>251</v>
      </c>
      <c r="D112" t="s">
        <v>177</v>
      </c>
      <c r="I112" t="s">
        <v>36</v>
      </c>
      <c r="R112" s="1">
        <v>-118.21</v>
      </c>
      <c r="T112" s="1"/>
    </row>
    <row r="113" spans="1:20" x14ac:dyDescent="0.2">
      <c r="A113">
        <v>263</v>
      </c>
      <c r="D113" t="s">
        <v>179</v>
      </c>
      <c r="I113" t="s">
        <v>43</v>
      </c>
      <c r="R113">
        <v>-880.45</v>
      </c>
      <c r="T113" s="1"/>
    </row>
    <row r="114" spans="1:20" x14ac:dyDescent="0.2">
      <c r="H114" t="s">
        <v>180</v>
      </c>
      <c r="R114" s="1">
        <v>37329.57</v>
      </c>
      <c r="S114" s="1"/>
      <c r="T114" s="1"/>
    </row>
    <row r="115" spans="1:20" x14ac:dyDescent="0.2">
      <c r="R115" s="1"/>
      <c r="S115">
        <v>0</v>
      </c>
      <c r="T115" s="1"/>
    </row>
    <row r="116" spans="1:20" x14ac:dyDescent="0.2">
      <c r="T116" s="1"/>
    </row>
    <row r="117" spans="1:20" x14ac:dyDescent="0.2">
      <c r="T117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8"/>
  <sheetViews>
    <sheetView workbookViewId="0">
      <selection sqref="A1:W126"/>
    </sheetView>
  </sheetViews>
  <sheetFormatPr baseColWidth="10" defaultColWidth="8.83203125" defaultRowHeight="15" x14ac:dyDescent="0.2"/>
  <cols>
    <col min="1" max="7" width="9.1640625" customWidth="1"/>
    <col min="11" max="12" width="10.83203125" bestFit="1" customWidth="1"/>
    <col min="18" max="18" width="11" bestFit="1" customWidth="1"/>
    <col min="19" max="20" width="10.83203125" bestFit="1" customWidth="1"/>
  </cols>
  <sheetData>
    <row r="1" spans="1:20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20" ht="15" customHeight="1" x14ac:dyDescent="0.2">
      <c r="A2" s="4"/>
      <c r="H2" t="s">
        <v>67</v>
      </c>
      <c r="K2" s="1"/>
      <c r="L2" s="1"/>
      <c r="R2" s="1">
        <v>388073.88</v>
      </c>
      <c r="S2" s="1"/>
      <c r="T2" s="1"/>
    </row>
    <row r="3" spans="1:20" x14ac:dyDescent="0.2">
      <c r="A3">
        <v>860</v>
      </c>
      <c r="D3" t="s">
        <v>68</v>
      </c>
      <c r="I3" t="s">
        <v>69</v>
      </c>
      <c r="K3" s="1"/>
      <c r="L3" s="1"/>
      <c r="R3" s="1">
        <v>132575.25</v>
      </c>
      <c r="S3" s="1"/>
      <c r="T3" s="1"/>
    </row>
    <row r="4" spans="1:20" ht="15" customHeight="1" x14ac:dyDescent="0.2">
      <c r="A4">
        <v>861</v>
      </c>
      <c r="D4" t="s">
        <v>70</v>
      </c>
      <c r="I4" t="s">
        <v>71</v>
      </c>
      <c r="K4" s="1"/>
      <c r="L4" s="1"/>
      <c r="R4" s="1">
        <v>161518.87</v>
      </c>
      <c r="S4" s="1"/>
      <c r="T4" s="1"/>
    </row>
    <row r="5" spans="1:20" x14ac:dyDescent="0.2">
      <c r="A5">
        <v>862</v>
      </c>
      <c r="D5" t="s">
        <v>184</v>
      </c>
      <c r="I5" t="s">
        <v>185</v>
      </c>
      <c r="K5" s="1"/>
      <c r="L5" s="1"/>
      <c r="R5" s="1">
        <v>1613.05</v>
      </c>
      <c r="S5" s="1"/>
      <c r="T5" s="1"/>
    </row>
    <row r="6" spans="1:20" x14ac:dyDescent="0.2">
      <c r="A6">
        <v>865</v>
      </c>
      <c r="D6" t="s">
        <v>72</v>
      </c>
      <c r="I6" t="s">
        <v>73</v>
      </c>
      <c r="K6" s="1"/>
      <c r="L6" s="1"/>
      <c r="R6" s="1">
        <v>92366.71</v>
      </c>
      <c r="S6" s="1"/>
      <c r="T6" s="1"/>
    </row>
    <row r="7" spans="1:20" ht="15" customHeight="1" x14ac:dyDescent="0.2">
      <c r="H7" t="s">
        <v>74</v>
      </c>
      <c r="K7" s="1"/>
      <c r="L7" s="1"/>
      <c r="R7" s="1">
        <v>22410.2</v>
      </c>
      <c r="S7" s="1"/>
      <c r="T7" s="1"/>
    </row>
    <row r="8" spans="1:20" x14ac:dyDescent="0.2">
      <c r="A8">
        <v>863</v>
      </c>
      <c r="D8" t="s">
        <v>75</v>
      </c>
      <c r="I8" t="s">
        <v>76</v>
      </c>
      <c r="K8" s="1"/>
      <c r="L8" s="1"/>
      <c r="R8" s="1">
        <v>19863</v>
      </c>
      <c r="S8" s="1"/>
      <c r="T8" s="1"/>
    </row>
    <row r="9" spans="1:20" ht="15" customHeight="1" x14ac:dyDescent="0.2">
      <c r="A9">
        <v>864</v>
      </c>
      <c r="D9" t="s">
        <v>77</v>
      </c>
      <c r="I9" t="s">
        <v>78</v>
      </c>
      <c r="R9" s="1">
        <v>2547.1999999999998</v>
      </c>
      <c r="S9" s="1"/>
      <c r="T9" s="1"/>
    </row>
    <row r="10" spans="1:20" ht="15" customHeight="1" x14ac:dyDescent="0.2">
      <c r="H10" t="s">
        <v>79</v>
      </c>
      <c r="K10" s="1"/>
      <c r="L10" s="1"/>
      <c r="R10" s="1">
        <v>410484.08</v>
      </c>
      <c r="S10" s="1"/>
      <c r="T10" s="1"/>
    </row>
    <row r="11" spans="1:20" x14ac:dyDescent="0.2">
      <c r="I11" t="s">
        <v>7</v>
      </c>
      <c r="K11" s="1"/>
      <c r="L11" s="1"/>
      <c r="R11" s="1"/>
      <c r="S11" s="1"/>
      <c r="T11" s="1"/>
    </row>
    <row r="12" spans="1:20" ht="15" customHeight="1" x14ac:dyDescent="0.2">
      <c r="H12" t="s">
        <v>80</v>
      </c>
      <c r="K12" s="1"/>
      <c r="L12" s="1"/>
      <c r="R12" s="1">
        <v>-967.46</v>
      </c>
      <c r="S12" s="1"/>
      <c r="T12" s="1"/>
    </row>
    <row r="13" spans="1:20" ht="15" customHeight="1" x14ac:dyDescent="0.2">
      <c r="A13">
        <v>166</v>
      </c>
      <c r="D13" t="s">
        <v>81</v>
      </c>
      <c r="I13" t="s">
        <v>10</v>
      </c>
      <c r="K13" s="1"/>
      <c r="L13" s="1"/>
      <c r="R13">
        <v>-967.46</v>
      </c>
      <c r="S13" s="1"/>
      <c r="T13" s="1"/>
    </row>
    <row r="14" spans="1:20" ht="15" customHeight="1" x14ac:dyDescent="0.2">
      <c r="H14" t="s">
        <v>83</v>
      </c>
      <c r="K14" s="1"/>
      <c r="L14" s="1"/>
      <c r="R14" s="1">
        <v>409516.62</v>
      </c>
      <c r="S14" s="1"/>
      <c r="T14" s="1"/>
    </row>
    <row r="15" spans="1:20" ht="15" customHeight="1" x14ac:dyDescent="0.2">
      <c r="I15" t="s">
        <v>7</v>
      </c>
      <c r="K15" s="1"/>
      <c r="L15" s="1"/>
      <c r="R15" s="1"/>
      <c r="S15" s="1"/>
      <c r="T15" s="1"/>
    </row>
    <row r="16" spans="1:20" x14ac:dyDescent="0.2">
      <c r="H16" t="s">
        <v>84</v>
      </c>
      <c r="K16" s="1"/>
      <c r="L16" s="1"/>
      <c r="R16" s="1">
        <v>29685.64</v>
      </c>
      <c r="S16" s="1"/>
      <c r="T16" s="1"/>
    </row>
    <row r="17" spans="1:20" ht="15" customHeight="1" x14ac:dyDescent="0.2">
      <c r="A17">
        <v>749</v>
      </c>
      <c r="D17" t="s">
        <v>85</v>
      </c>
      <c r="I17" t="s">
        <v>58</v>
      </c>
      <c r="K17" s="1"/>
      <c r="L17" s="1"/>
      <c r="R17" s="1">
        <v>29685.64</v>
      </c>
      <c r="S17" s="1"/>
      <c r="T17" s="1"/>
    </row>
    <row r="18" spans="1:20" ht="15" customHeight="1" x14ac:dyDescent="0.2">
      <c r="H18" t="s">
        <v>86</v>
      </c>
      <c r="K18" s="1"/>
      <c r="L18" s="1"/>
      <c r="R18" s="1">
        <v>439202.26</v>
      </c>
      <c r="S18" s="1"/>
      <c r="T18" s="1"/>
    </row>
    <row r="19" spans="1:20" ht="15" customHeight="1" x14ac:dyDescent="0.2">
      <c r="I19" t="s">
        <v>7</v>
      </c>
      <c r="K19" s="1"/>
      <c r="L19" s="1"/>
      <c r="R19" s="1"/>
      <c r="S19" s="1"/>
      <c r="T19" s="1"/>
    </row>
    <row r="20" spans="1:20" x14ac:dyDescent="0.2">
      <c r="H20" t="s">
        <v>87</v>
      </c>
      <c r="R20" s="1">
        <v>-216442.65</v>
      </c>
      <c r="S20" s="1"/>
      <c r="T20" s="1"/>
    </row>
    <row r="21" spans="1:20" ht="15" customHeight="1" x14ac:dyDescent="0.2">
      <c r="A21">
        <v>162</v>
      </c>
      <c r="D21" t="s">
        <v>88</v>
      </c>
      <c r="I21" t="s">
        <v>8</v>
      </c>
      <c r="K21" s="1"/>
      <c r="L21" s="1"/>
      <c r="R21" s="1">
        <v>-171775.47</v>
      </c>
      <c r="S21" s="1"/>
      <c r="T21" s="1"/>
    </row>
    <row r="22" spans="1:20" ht="15" customHeight="1" x14ac:dyDescent="0.2">
      <c r="A22">
        <v>165</v>
      </c>
      <c r="D22" t="s">
        <v>89</v>
      </c>
      <c r="I22" t="s">
        <v>9</v>
      </c>
      <c r="R22" s="1">
        <v>-15091.45</v>
      </c>
      <c r="S22" s="1"/>
      <c r="T22" s="1"/>
    </row>
    <row r="23" spans="1:20" ht="15" customHeight="1" x14ac:dyDescent="0.2">
      <c r="A23">
        <v>167</v>
      </c>
      <c r="D23" t="s">
        <v>90</v>
      </c>
      <c r="I23" t="s">
        <v>11</v>
      </c>
      <c r="K23" s="1"/>
      <c r="L23" s="1"/>
      <c r="R23" s="1">
        <v>-2405.33</v>
      </c>
      <c r="S23" s="1"/>
      <c r="T23" s="1"/>
    </row>
    <row r="24" spans="1:20" ht="15" customHeight="1" x14ac:dyDescent="0.2">
      <c r="A24">
        <v>170</v>
      </c>
      <c r="D24" t="s">
        <v>91</v>
      </c>
      <c r="I24" t="s">
        <v>92</v>
      </c>
      <c r="R24" s="1">
        <v>-27170.400000000001</v>
      </c>
      <c r="S24" s="1"/>
      <c r="T24" s="1"/>
    </row>
    <row r="25" spans="1:20" ht="15" customHeight="1" x14ac:dyDescent="0.2">
      <c r="H25" t="s">
        <v>93</v>
      </c>
      <c r="K25" s="1"/>
      <c r="L25" s="1"/>
      <c r="R25" s="1">
        <v>-216442.65</v>
      </c>
      <c r="S25" s="1"/>
      <c r="T25" s="1"/>
    </row>
    <row r="26" spans="1:20" ht="15" customHeight="1" x14ac:dyDescent="0.2">
      <c r="I26" t="s">
        <v>7</v>
      </c>
      <c r="K26" s="1"/>
      <c r="L26" s="1"/>
      <c r="R26" s="1"/>
      <c r="S26" s="1"/>
      <c r="T26" s="1"/>
    </row>
    <row r="27" spans="1:20" x14ac:dyDescent="0.2">
      <c r="H27" t="s">
        <v>197</v>
      </c>
      <c r="K27" s="1"/>
      <c r="L27" s="1"/>
      <c r="R27">
        <v>10.49</v>
      </c>
      <c r="S27" s="1"/>
      <c r="T27" s="1"/>
    </row>
    <row r="28" spans="1:20" ht="15" customHeight="1" x14ac:dyDescent="0.2">
      <c r="A28">
        <v>135</v>
      </c>
      <c r="D28" t="s">
        <v>198</v>
      </c>
      <c r="I28" t="s">
        <v>59</v>
      </c>
      <c r="K28" s="1"/>
      <c r="L28" s="1"/>
      <c r="R28">
        <v>10.49</v>
      </c>
      <c r="S28" s="1"/>
      <c r="T28" s="1"/>
    </row>
    <row r="29" spans="1:20" ht="15" customHeight="1" x14ac:dyDescent="0.2">
      <c r="H29" t="s">
        <v>94</v>
      </c>
      <c r="K29" s="1"/>
      <c r="L29" s="1"/>
      <c r="R29" s="1">
        <v>222770.1</v>
      </c>
      <c r="S29" s="1"/>
      <c r="T29" s="1"/>
    </row>
    <row r="30" spans="1:20" ht="15" customHeight="1" x14ac:dyDescent="0.2">
      <c r="I30" t="s">
        <v>7</v>
      </c>
      <c r="K30" s="1"/>
      <c r="L30" s="1"/>
      <c r="S30" s="1"/>
      <c r="T30" s="1"/>
    </row>
    <row r="31" spans="1:20" x14ac:dyDescent="0.2">
      <c r="H31" t="s">
        <v>95</v>
      </c>
      <c r="K31" s="1"/>
      <c r="L31" s="1"/>
      <c r="R31" s="1">
        <v>-36743.93</v>
      </c>
      <c r="S31" s="1"/>
      <c r="T31" s="1"/>
    </row>
    <row r="32" spans="1:20" ht="15" customHeight="1" x14ac:dyDescent="0.2">
      <c r="A32">
        <v>164</v>
      </c>
      <c r="D32" t="s">
        <v>96</v>
      </c>
      <c r="I32" t="s">
        <v>97</v>
      </c>
      <c r="K32" s="1"/>
      <c r="L32" s="1"/>
      <c r="R32" s="1">
        <v>-31117.68</v>
      </c>
      <c r="S32" s="1"/>
      <c r="T32" s="1"/>
    </row>
    <row r="33" spans="1:20" ht="15" customHeight="1" x14ac:dyDescent="0.2">
      <c r="A33">
        <v>206</v>
      </c>
      <c r="D33" t="s">
        <v>98</v>
      </c>
      <c r="I33" t="s">
        <v>13</v>
      </c>
      <c r="R33" s="1">
        <v>-2657.31</v>
      </c>
      <c r="S33" s="1"/>
      <c r="T33" s="1"/>
    </row>
    <row r="34" spans="1:20" ht="15" customHeight="1" x14ac:dyDescent="0.2">
      <c r="A34">
        <v>212</v>
      </c>
      <c r="D34" t="s">
        <v>99</v>
      </c>
      <c r="I34" t="s">
        <v>19</v>
      </c>
      <c r="K34" s="1"/>
      <c r="L34" s="1"/>
      <c r="R34" s="1">
        <v>-969</v>
      </c>
      <c r="S34" s="1"/>
      <c r="T34" s="1"/>
    </row>
    <row r="35" spans="1:20" ht="15" customHeight="1" x14ac:dyDescent="0.2">
      <c r="A35">
        <v>224</v>
      </c>
      <c r="D35" t="s">
        <v>100</v>
      </c>
      <c r="I35" t="s">
        <v>25</v>
      </c>
      <c r="K35" s="1"/>
      <c r="L35" s="1"/>
      <c r="R35" s="1">
        <v>-1999.94</v>
      </c>
      <c r="S35" s="1"/>
      <c r="T35" s="1"/>
    </row>
    <row r="36" spans="1:20" ht="15" customHeight="1" x14ac:dyDescent="0.2">
      <c r="H36" t="s">
        <v>101</v>
      </c>
      <c r="K36" s="1"/>
      <c r="L36" s="1"/>
      <c r="R36" s="1">
        <v>-12710.26</v>
      </c>
      <c r="S36" s="1"/>
      <c r="T36" s="1"/>
    </row>
    <row r="37" spans="1:20" ht="15" customHeight="1" x14ac:dyDescent="0.2">
      <c r="A37">
        <v>250</v>
      </c>
      <c r="D37" t="s">
        <v>102</v>
      </c>
      <c r="I37" t="s">
        <v>35</v>
      </c>
      <c r="K37" s="1"/>
      <c r="L37" s="1"/>
      <c r="R37" s="1">
        <v>-62.91</v>
      </c>
      <c r="S37" s="1"/>
      <c r="T37" s="1"/>
    </row>
    <row r="38" spans="1:20" ht="15" customHeight="1" x14ac:dyDescent="0.2">
      <c r="A38">
        <v>253</v>
      </c>
      <c r="D38" t="s">
        <v>103</v>
      </c>
      <c r="I38" t="s">
        <v>38</v>
      </c>
      <c r="K38" s="1"/>
      <c r="L38" s="1"/>
      <c r="R38" s="1">
        <v>-719.07</v>
      </c>
      <c r="S38" s="1"/>
      <c r="T38" s="1"/>
    </row>
    <row r="39" spans="1:20" ht="15" customHeight="1" x14ac:dyDescent="0.2">
      <c r="A39">
        <v>651</v>
      </c>
      <c r="D39" t="s">
        <v>104</v>
      </c>
      <c r="I39" t="s">
        <v>39</v>
      </c>
      <c r="K39" s="1"/>
      <c r="L39" s="1"/>
      <c r="R39" s="1">
        <v>-1874.88</v>
      </c>
      <c r="S39" s="1"/>
      <c r="T39" s="1"/>
    </row>
    <row r="40" spans="1:20" ht="15" customHeight="1" x14ac:dyDescent="0.2">
      <c r="A40">
        <v>653</v>
      </c>
      <c r="D40" t="s">
        <v>105</v>
      </c>
      <c r="I40" t="s">
        <v>40</v>
      </c>
      <c r="K40" s="1"/>
      <c r="L40" s="1"/>
      <c r="R40" s="1">
        <v>-70.3</v>
      </c>
      <c r="S40" s="1"/>
      <c r="T40" s="1"/>
    </row>
    <row r="41" spans="1:20" ht="15" customHeight="1" x14ac:dyDescent="0.2">
      <c r="A41">
        <v>654</v>
      </c>
      <c r="D41" t="s">
        <v>106</v>
      </c>
      <c r="I41" t="s">
        <v>41</v>
      </c>
      <c r="K41" s="1"/>
      <c r="L41" s="1"/>
      <c r="R41" s="1">
        <v>-9983.1</v>
      </c>
      <c r="S41" s="1"/>
      <c r="T41" s="1"/>
    </row>
    <row r="42" spans="1:20" ht="15" customHeight="1" x14ac:dyDescent="0.2">
      <c r="H42" t="s">
        <v>107</v>
      </c>
      <c r="R42" s="1">
        <v>-49454.19</v>
      </c>
      <c r="S42" s="1"/>
      <c r="T42" s="1"/>
    </row>
    <row r="43" spans="1:20" ht="15" customHeight="1" x14ac:dyDescent="0.2">
      <c r="I43" t="s">
        <v>7</v>
      </c>
      <c r="K43" s="1"/>
      <c r="L43" s="1"/>
      <c r="S43" s="1"/>
      <c r="T43" s="1"/>
    </row>
    <row r="44" spans="1:20" ht="15" customHeight="1" x14ac:dyDescent="0.2">
      <c r="H44" t="s">
        <v>108</v>
      </c>
      <c r="K44" s="1"/>
      <c r="L44" s="1"/>
      <c r="R44" s="1">
        <v>173315.91</v>
      </c>
      <c r="S44" s="1"/>
      <c r="T44" s="1"/>
    </row>
    <row r="45" spans="1:20" x14ac:dyDescent="0.2">
      <c r="I45" t="s">
        <v>7</v>
      </c>
      <c r="K45" s="1"/>
      <c r="L45" s="1"/>
      <c r="S45" s="1"/>
      <c r="T45" s="1"/>
    </row>
    <row r="46" spans="1:20" ht="15" customHeight="1" x14ac:dyDescent="0.2">
      <c r="H46" t="s">
        <v>109</v>
      </c>
      <c r="K46" s="1"/>
      <c r="L46" s="1"/>
      <c r="R46" s="1">
        <v>-97464.56</v>
      </c>
      <c r="S46" s="1"/>
      <c r="T46" s="1"/>
    </row>
    <row r="47" spans="1:20" x14ac:dyDescent="0.2">
      <c r="I47" t="s">
        <v>7</v>
      </c>
      <c r="K47" s="1"/>
      <c r="L47" s="1"/>
      <c r="S47" s="1"/>
      <c r="T47" s="1"/>
    </row>
    <row r="48" spans="1:20" ht="15" customHeight="1" x14ac:dyDescent="0.2">
      <c r="H48" t="s">
        <v>110</v>
      </c>
      <c r="R48" s="1">
        <v>-97464.56</v>
      </c>
      <c r="S48" s="1"/>
      <c r="T48" s="1"/>
    </row>
    <row r="49" spans="1:20" x14ac:dyDescent="0.2">
      <c r="I49" t="s">
        <v>7</v>
      </c>
      <c r="S49" s="1"/>
      <c r="T49" s="1"/>
    </row>
    <row r="50" spans="1:20" ht="15" customHeight="1" x14ac:dyDescent="0.2">
      <c r="H50" t="s">
        <v>111</v>
      </c>
      <c r="K50" s="1"/>
      <c r="L50" s="1"/>
      <c r="R50" s="1">
        <v>-3214.9</v>
      </c>
      <c r="S50" s="1"/>
      <c r="T50" s="1"/>
    </row>
    <row r="51" spans="1:20" x14ac:dyDescent="0.2">
      <c r="A51">
        <v>182</v>
      </c>
      <c r="D51" t="s">
        <v>112</v>
      </c>
      <c r="I51" t="s">
        <v>54</v>
      </c>
      <c r="R51" s="1">
        <v>-3214.9</v>
      </c>
      <c r="S51" s="1"/>
      <c r="T51" s="1"/>
    </row>
    <row r="52" spans="1:20" ht="15" customHeight="1" x14ac:dyDescent="0.2">
      <c r="H52" t="s">
        <v>113</v>
      </c>
      <c r="R52" s="1">
        <v>-28544.13</v>
      </c>
      <c r="S52" s="1"/>
      <c r="T52" s="1"/>
    </row>
    <row r="53" spans="1:20" ht="15" customHeight="1" x14ac:dyDescent="0.2">
      <c r="A53">
        <v>181</v>
      </c>
      <c r="D53" t="s">
        <v>114</v>
      </c>
      <c r="I53" t="s">
        <v>53</v>
      </c>
      <c r="K53" s="1"/>
      <c r="L53" s="1"/>
      <c r="R53" s="1">
        <v>-13250</v>
      </c>
      <c r="S53" s="1"/>
      <c r="T53" s="1"/>
    </row>
    <row r="54" spans="1:20" ht="15" customHeight="1" x14ac:dyDescent="0.2">
      <c r="A54">
        <v>188</v>
      </c>
      <c r="D54" t="s">
        <v>115</v>
      </c>
      <c r="I54" t="s">
        <v>116</v>
      </c>
      <c r="R54" s="1">
        <v>-8961.1299999999992</v>
      </c>
      <c r="S54" s="1"/>
      <c r="T54" s="1"/>
    </row>
    <row r="55" spans="1:20" ht="15" customHeight="1" x14ac:dyDescent="0.2">
      <c r="A55">
        <v>535</v>
      </c>
      <c r="D55" t="s">
        <v>199</v>
      </c>
      <c r="I55" t="s">
        <v>232</v>
      </c>
      <c r="K55" s="1"/>
      <c r="L55" s="1"/>
      <c r="R55" s="1">
        <v>-4983</v>
      </c>
      <c r="S55" s="1"/>
      <c r="T55" s="1"/>
    </row>
    <row r="56" spans="1:20" ht="15" customHeight="1" x14ac:dyDescent="0.2">
      <c r="A56">
        <v>536</v>
      </c>
      <c r="D56" t="s">
        <v>200</v>
      </c>
      <c r="I56" t="s">
        <v>201</v>
      </c>
      <c r="K56" s="1"/>
      <c r="L56" s="1"/>
      <c r="R56" s="1">
        <v>-1350</v>
      </c>
      <c r="S56" s="1"/>
      <c r="T56" s="1"/>
    </row>
    <row r="57" spans="1:20" ht="15" customHeight="1" x14ac:dyDescent="0.2">
      <c r="H57" t="s">
        <v>73</v>
      </c>
      <c r="R57" s="1">
        <v>-6320</v>
      </c>
      <c r="S57" s="1"/>
      <c r="T57" s="1"/>
    </row>
    <row r="58" spans="1:20" ht="15" customHeight="1" x14ac:dyDescent="0.2">
      <c r="A58">
        <v>184</v>
      </c>
      <c r="D58" t="s">
        <v>117</v>
      </c>
      <c r="I58" t="s">
        <v>57</v>
      </c>
      <c r="R58" s="1">
        <v>-6320</v>
      </c>
      <c r="S58" s="1"/>
      <c r="T58" s="1"/>
    </row>
    <row r="59" spans="1:20" x14ac:dyDescent="0.2">
      <c r="H59" t="s">
        <v>118</v>
      </c>
      <c r="R59" s="1">
        <v>-6934.5</v>
      </c>
      <c r="S59" s="1"/>
      <c r="T59" s="1"/>
    </row>
    <row r="60" spans="1:20" ht="15" customHeight="1" x14ac:dyDescent="0.2">
      <c r="A60">
        <v>502</v>
      </c>
      <c r="D60" t="s">
        <v>119</v>
      </c>
      <c r="I60" t="s">
        <v>120</v>
      </c>
      <c r="K60" s="1"/>
      <c r="L60" s="1"/>
      <c r="R60" s="1">
        <v>-2891.56</v>
      </c>
      <c r="S60" s="1"/>
      <c r="T60" s="1"/>
    </row>
    <row r="61" spans="1:20" ht="15" customHeight="1" x14ac:dyDescent="0.2">
      <c r="A61">
        <v>503</v>
      </c>
      <c r="D61" t="s">
        <v>121</v>
      </c>
      <c r="I61" t="s">
        <v>122</v>
      </c>
      <c r="R61" s="1">
        <v>-644.91</v>
      </c>
      <c r="S61" s="1"/>
      <c r="T61" s="1"/>
    </row>
    <row r="62" spans="1:20" ht="15" customHeight="1" x14ac:dyDescent="0.2">
      <c r="A62">
        <v>504</v>
      </c>
      <c r="D62" t="s">
        <v>123</v>
      </c>
      <c r="I62" t="s">
        <v>124</v>
      </c>
      <c r="K62" s="1"/>
      <c r="L62" s="1"/>
      <c r="R62" s="1">
        <v>-80.61</v>
      </c>
      <c r="S62" s="1"/>
      <c r="T62" s="1"/>
    </row>
    <row r="63" spans="1:20" ht="15" customHeight="1" x14ac:dyDescent="0.2">
      <c r="A63">
        <v>505</v>
      </c>
      <c r="D63" t="s">
        <v>202</v>
      </c>
      <c r="I63" t="s">
        <v>203</v>
      </c>
      <c r="K63" s="1"/>
      <c r="L63" s="1"/>
      <c r="R63" s="1">
        <v>-1335.46</v>
      </c>
      <c r="S63" s="1"/>
      <c r="T63" s="1"/>
    </row>
    <row r="64" spans="1:20" ht="15" customHeight="1" x14ac:dyDescent="0.2">
      <c r="A64">
        <v>506</v>
      </c>
      <c r="D64" t="s">
        <v>204</v>
      </c>
      <c r="I64" t="s">
        <v>205</v>
      </c>
      <c r="R64">
        <v>-398.63</v>
      </c>
      <c r="S64" s="1"/>
      <c r="T64" s="1"/>
    </row>
    <row r="65" spans="1:20" ht="15" customHeight="1" x14ac:dyDescent="0.2">
      <c r="A65">
        <v>508</v>
      </c>
      <c r="D65" t="s">
        <v>206</v>
      </c>
      <c r="I65" t="s">
        <v>207</v>
      </c>
      <c r="R65">
        <v>-49.83</v>
      </c>
      <c r="S65" s="1"/>
      <c r="T65" s="1"/>
    </row>
    <row r="66" spans="1:20" ht="15" customHeight="1" x14ac:dyDescent="0.2">
      <c r="A66">
        <v>527</v>
      </c>
      <c r="D66" t="s">
        <v>208</v>
      </c>
      <c r="I66" t="s">
        <v>209</v>
      </c>
      <c r="K66" s="1"/>
      <c r="L66" s="1"/>
      <c r="R66">
        <v>-361.8</v>
      </c>
      <c r="S66" s="1"/>
      <c r="T66" s="1"/>
    </row>
    <row r="67" spans="1:20" ht="15" customHeight="1" x14ac:dyDescent="0.2">
      <c r="A67">
        <v>528</v>
      </c>
      <c r="D67" t="s">
        <v>210</v>
      </c>
      <c r="I67" t="s">
        <v>211</v>
      </c>
      <c r="K67" s="1"/>
      <c r="L67" s="1"/>
      <c r="R67">
        <v>-108</v>
      </c>
      <c r="S67" s="1"/>
      <c r="T67" s="1"/>
    </row>
    <row r="68" spans="1:20" ht="15" customHeight="1" x14ac:dyDescent="0.2">
      <c r="A68">
        <v>529</v>
      </c>
      <c r="D68" t="s">
        <v>212</v>
      </c>
      <c r="I68" t="s">
        <v>213</v>
      </c>
      <c r="K68" s="1"/>
      <c r="L68" s="1"/>
      <c r="R68">
        <v>-13.5</v>
      </c>
      <c r="S68" s="1"/>
      <c r="T68" s="1"/>
    </row>
    <row r="69" spans="1:20" ht="15" customHeight="1" x14ac:dyDescent="0.2">
      <c r="A69">
        <v>511</v>
      </c>
      <c r="D69" t="s">
        <v>125</v>
      </c>
      <c r="I69" t="s">
        <v>126</v>
      </c>
      <c r="K69" s="1"/>
      <c r="L69" s="1"/>
      <c r="R69" s="1">
        <v>-1050.2</v>
      </c>
      <c r="S69" s="1"/>
      <c r="T69" s="1"/>
    </row>
    <row r="70" spans="1:20" ht="15" customHeight="1" x14ac:dyDescent="0.2">
      <c r="H70" t="s">
        <v>182</v>
      </c>
      <c r="R70" s="1">
        <v>-10740.87</v>
      </c>
      <c r="S70" s="1"/>
      <c r="T70" s="1"/>
    </row>
    <row r="71" spans="1:20" ht="15" customHeight="1" x14ac:dyDescent="0.2">
      <c r="A71">
        <v>710</v>
      </c>
      <c r="D71" t="s">
        <v>128</v>
      </c>
      <c r="I71" t="s">
        <v>183</v>
      </c>
      <c r="K71" s="1"/>
      <c r="L71" s="1"/>
      <c r="R71" s="1">
        <v>-10740.87</v>
      </c>
      <c r="S71" s="1"/>
      <c r="T71" s="1"/>
    </row>
    <row r="72" spans="1:20" ht="15" customHeight="1" x14ac:dyDescent="0.2">
      <c r="H72" t="s">
        <v>130</v>
      </c>
      <c r="R72" s="1">
        <v>-41710.160000000003</v>
      </c>
      <c r="S72" s="1"/>
      <c r="T72" s="1"/>
    </row>
    <row r="73" spans="1:20" ht="15" customHeight="1" x14ac:dyDescent="0.2">
      <c r="A73">
        <v>171</v>
      </c>
      <c r="D73" t="s">
        <v>131</v>
      </c>
      <c r="I73" t="s">
        <v>60</v>
      </c>
      <c r="R73" s="1">
        <v>-39630.35</v>
      </c>
      <c r="S73" s="1"/>
      <c r="T73" s="1"/>
    </row>
    <row r="74" spans="1:20" x14ac:dyDescent="0.2">
      <c r="A74">
        <v>245</v>
      </c>
      <c r="D74" t="s">
        <v>132</v>
      </c>
      <c r="I74" t="s">
        <v>191</v>
      </c>
      <c r="R74" s="1">
        <v>-874.81</v>
      </c>
      <c r="T74" s="1"/>
    </row>
    <row r="75" spans="1:20" ht="15" customHeight="1" x14ac:dyDescent="0.2">
      <c r="A75">
        <v>709</v>
      </c>
      <c r="D75" t="s">
        <v>250</v>
      </c>
      <c r="I75" t="s">
        <v>186</v>
      </c>
      <c r="K75" s="1"/>
      <c r="L75" s="1"/>
      <c r="R75" s="1">
        <v>-1205</v>
      </c>
      <c r="S75" s="1"/>
      <c r="T75" s="1"/>
    </row>
    <row r="76" spans="1:20" ht="15" customHeight="1" x14ac:dyDescent="0.2">
      <c r="H76" t="s">
        <v>133</v>
      </c>
      <c r="R76" s="1">
        <v>-117707.2</v>
      </c>
      <c r="S76" s="1"/>
      <c r="T76" s="1"/>
    </row>
    <row r="77" spans="1:20" ht="15" customHeight="1" x14ac:dyDescent="0.2">
      <c r="I77" t="s">
        <v>7</v>
      </c>
      <c r="K77" s="1"/>
      <c r="L77" s="1"/>
      <c r="R77" s="1"/>
      <c r="S77" s="1"/>
      <c r="T77" s="1"/>
    </row>
    <row r="78" spans="1:20" ht="15" customHeight="1" x14ac:dyDescent="0.2">
      <c r="H78" t="s">
        <v>134</v>
      </c>
      <c r="K78" s="1"/>
      <c r="L78" s="1"/>
      <c r="R78" s="1">
        <v>-78398.39</v>
      </c>
      <c r="S78" s="1"/>
      <c r="T78" s="1"/>
    </row>
    <row r="79" spans="1:20" ht="15" customHeight="1" x14ac:dyDescent="0.2">
      <c r="A79">
        <v>180</v>
      </c>
      <c r="D79" t="s">
        <v>135</v>
      </c>
      <c r="I79" t="s">
        <v>52</v>
      </c>
      <c r="K79" s="1"/>
      <c r="L79" s="1"/>
      <c r="R79" s="1">
        <v>-19141.62</v>
      </c>
      <c r="S79" s="1"/>
      <c r="T79" s="1"/>
    </row>
    <row r="80" spans="1:20" ht="15" customHeight="1" x14ac:dyDescent="0.2">
      <c r="A80">
        <v>186</v>
      </c>
      <c r="B80" s="2"/>
      <c r="C80" s="2"/>
      <c r="D80" s="2" t="s">
        <v>187</v>
      </c>
      <c r="F80" s="2"/>
      <c r="I80" t="s">
        <v>55</v>
      </c>
      <c r="K80" s="1"/>
      <c r="L80" s="1"/>
      <c r="R80" s="1">
        <v>-7500</v>
      </c>
      <c r="S80" s="1"/>
      <c r="T80" s="1"/>
    </row>
    <row r="81" spans="1:20" ht="15" customHeight="1" x14ac:dyDescent="0.2">
      <c r="A81">
        <v>187</v>
      </c>
      <c r="D81" t="s">
        <v>136</v>
      </c>
      <c r="I81" t="s">
        <v>56</v>
      </c>
      <c r="R81" s="1">
        <v>-9224.77</v>
      </c>
      <c r="S81" s="1"/>
      <c r="T81" s="1"/>
    </row>
    <row r="82" spans="1:20" x14ac:dyDescent="0.2">
      <c r="A82">
        <v>189</v>
      </c>
      <c r="D82" t="s">
        <v>137</v>
      </c>
      <c r="I82" t="s">
        <v>138</v>
      </c>
      <c r="R82" s="1">
        <v>-6248.03</v>
      </c>
      <c r="S82" s="1"/>
      <c r="T82" s="1"/>
    </row>
    <row r="83" spans="1:20" ht="15" customHeight="1" x14ac:dyDescent="0.2">
      <c r="A83">
        <v>190</v>
      </c>
      <c r="D83" t="s">
        <v>139</v>
      </c>
      <c r="I83" t="s">
        <v>140</v>
      </c>
      <c r="R83" s="1">
        <v>-3727.12</v>
      </c>
      <c r="S83" s="1"/>
      <c r="T83" s="1"/>
    </row>
    <row r="84" spans="1:20" ht="15" customHeight="1" x14ac:dyDescent="0.2">
      <c r="A84">
        <v>192</v>
      </c>
      <c r="D84" t="s">
        <v>141</v>
      </c>
      <c r="I84" t="s">
        <v>142</v>
      </c>
      <c r="R84" s="1">
        <v>-3675</v>
      </c>
      <c r="S84" s="1"/>
      <c r="T84" s="1"/>
    </row>
    <row r="85" spans="1:20" ht="15" customHeight="1" x14ac:dyDescent="0.2">
      <c r="A85">
        <v>193</v>
      </c>
      <c r="D85" t="s">
        <v>143</v>
      </c>
      <c r="I85" t="s">
        <v>45</v>
      </c>
      <c r="R85" s="1">
        <v>-104.77</v>
      </c>
      <c r="S85" s="1"/>
      <c r="T85" s="1"/>
    </row>
    <row r="86" spans="1:20" ht="15" customHeight="1" x14ac:dyDescent="0.2">
      <c r="A86">
        <v>530</v>
      </c>
      <c r="D86" t="s">
        <v>214</v>
      </c>
      <c r="I86" t="s">
        <v>215</v>
      </c>
      <c r="R86" s="1">
        <v>-9075.0300000000007</v>
      </c>
      <c r="S86" s="1"/>
      <c r="T86" s="1"/>
    </row>
    <row r="87" spans="1:20" ht="15" customHeight="1" x14ac:dyDescent="0.2">
      <c r="A87">
        <v>531</v>
      </c>
      <c r="D87" t="s">
        <v>216</v>
      </c>
      <c r="I87" t="s">
        <v>217</v>
      </c>
      <c r="R87" s="1">
        <v>-2495.9299999999998</v>
      </c>
      <c r="S87" s="1"/>
      <c r="T87" s="1"/>
    </row>
    <row r="88" spans="1:20" ht="15" customHeight="1" x14ac:dyDescent="0.2">
      <c r="A88">
        <v>195</v>
      </c>
      <c r="D88" t="s">
        <v>144</v>
      </c>
      <c r="I88" t="s">
        <v>145</v>
      </c>
      <c r="R88" s="1">
        <v>-1915.68</v>
      </c>
      <c r="S88" s="1"/>
      <c r="T88" s="1"/>
    </row>
    <row r="89" spans="1:20" ht="15" customHeight="1" x14ac:dyDescent="0.2">
      <c r="A89">
        <v>196</v>
      </c>
      <c r="D89" t="s">
        <v>146</v>
      </c>
      <c r="I89" t="s">
        <v>147</v>
      </c>
      <c r="R89" s="1">
        <v>-790.09</v>
      </c>
      <c r="S89" s="1"/>
      <c r="T89" s="1"/>
    </row>
    <row r="90" spans="1:20" ht="15" customHeight="1" x14ac:dyDescent="0.2">
      <c r="A90">
        <v>197</v>
      </c>
      <c r="D90" t="s">
        <v>148</v>
      </c>
      <c r="I90" t="s">
        <v>149</v>
      </c>
      <c r="R90">
        <v>-98.76</v>
      </c>
      <c r="S90" s="1"/>
      <c r="T90" s="1"/>
    </row>
    <row r="91" spans="1:20" x14ac:dyDescent="0.2">
      <c r="A91">
        <v>499</v>
      </c>
      <c r="D91" t="s">
        <v>218</v>
      </c>
      <c r="I91" t="s">
        <v>219</v>
      </c>
      <c r="R91">
        <v>-90.74</v>
      </c>
      <c r="S91" s="1"/>
      <c r="T91" s="1"/>
    </row>
    <row r="92" spans="1:20" ht="15" customHeight="1" x14ac:dyDescent="0.2">
      <c r="A92">
        <v>500</v>
      </c>
      <c r="D92" t="s">
        <v>220</v>
      </c>
      <c r="I92" t="s">
        <v>221</v>
      </c>
      <c r="R92" s="1">
        <v>-2432.09</v>
      </c>
      <c r="S92" s="1"/>
      <c r="T92" s="1"/>
    </row>
    <row r="93" spans="1:20" ht="15" customHeight="1" x14ac:dyDescent="0.2">
      <c r="A93">
        <v>501</v>
      </c>
      <c r="D93" t="s">
        <v>222</v>
      </c>
      <c r="I93" t="s">
        <v>223</v>
      </c>
      <c r="R93" s="1">
        <v>-725.98</v>
      </c>
      <c r="T93" s="1"/>
    </row>
    <row r="94" spans="1:20" ht="15" customHeight="1" x14ac:dyDescent="0.2">
      <c r="A94">
        <v>522</v>
      </c>
      <c r="D94" t="s">
        <v>224</v>
      </c>
      <c r="I94" t="s">
        <v>225</v>
      </c>
      <c r="R94">
        <v>-668.93</v>
      </c>
      <c r="T94" s="1"/>
    </row>
    <row r="95" spans="1:20" ht="15" customHeight="1" x14ac:dyDescent="0.2">
      <c r="A95">
        <v>523</v>
      </c>
      <c r="D95" t="s">
        <v>226</v>
      </c>
      <c r="I95" t="s">
        <v>227</v>
      </c>
      <c r="R95">
        <v>-199.67</v>
      </c>
      <c r="T95" s="1"/>
    </row>
    <row r="96" spans="1:20" ht="15" customHeight="1" x14ac:dyDescent="0.2">
      <c r="A96">
        <v>524</v>
      </c>
      <c r="D96" t="s">
        <v>228</v>
      </c>
      <c r="I96" t="s">
        <v>229</v>
      </c>
      <c r="R96">
        <v>-24.96</v>
      </c>
      <c r="T96" s="1"/>
    </row>
    <row r="97" spans="1:20" ht="15" customHeight="1" x14ac:dyDescent="0.2">
      <c r="A97">
        <v>200</v>
      </c>
      <c r="D97" t="s">
        <v>150</v>
      </c>
      <c r="I97" t="s">
        <v>15</v>
      </c>
      <c r="R97" s="1">
        <v>-3420.4</v>
      </c>
      <c r="S97" s="1"/>
      <c r="T97" s="1"/>
    </row>
    <row r="98" spans="1:20" ht="15" customHeight="1" x14ac:dyDescent="0.2">
      <c r="A98">
        <v>201</v>
      </c>
      <c r="D98" t="s">
        <v>151</v>
      </c>
      <c r="I98" t="s">
        <v>152</v>
      </c>
      <c r="R98" s="1">
        <v>-1197.5999999999999</v>
      </c>
      <c r="S98" s="1"/>
      <c r="T98" s="1"/>
    </row>
    <row r="99" spans="1:20" ht="15" customHeight="1" x14ac:dyDescent="0.2">
      <c r="A99">
        <v>202</v>
      </c>
      <c r="D99" t="s">
        <v>153</v>
      </c>
      <c r="I99" t="s">
        <v>16</v>
      </c>
      <c r="R99" s="1">
        <v>-3491.82</v>
      </c>
      <c r="S99" s="1"/>
      <c r="T99" s="1"/>
    </row>
    <row r="100" spans="1:20" ht="15" customHeight="1" x14ac:dyDescent="0.2">
      <c r="A100">
        <v>203</v>
      </c>
      <c r="D100" t="s">
        <v>154</v>
      </c>
      <c r="I100" t="s">
        <v>17</v>
      </c>
      <c r="R100" s="1">
        <v>-1220.4000000000001</v>
      </c>
      <c r="S100" s="1"/>
      <c r="T100" s="1"/>
    </row>
    <row r="101" spans="1:20" ht="15" customHeight="1" x14ac:dyDescent="0.2">
      <c r="A101">
        <v>210</v>
      </c>
      <c r="D101" t="s">
        <v>155</v>
      </c>
      <c r="I101" t="s">
        <v>18</v>
      </c>
      <c r="R101" s="1">
        <v>-929</v>
      </c>
      <c r="T101" s="1"/>
    </row>
    <row r="102" spans="1:20" ht="15" customHeight="1" x14ac:dyDescent="0.2">
      <c r="H102" t="s">
        <v>156</v>
      </c>
      <c r="R102" s="1">
        <v>-13526.65</v>
      </c>
      <c r="S102" s="1"/>
      <c r="T102" s="1"/>
    </row>
    <row r="103" spans="1:20" ht="15" customHeight="1" x14ac:dyDescent="0.2">
      <c r="A103">
        <v>229</v>
      </c>
      <c r="D103" t="s">
        <v>157</v>
      </c>
      <c r="I103" t="s">
        <v>28</v>
      </c>
      <c r="R103" s="1">
        <v>-13496.98</v>
      </c>
      <c r="S103" s="1"/>
      <c r="T103" s="1"/>
    </row>
    <row r="104" spans="1:20" ht="15" customHeight="1" x14ac:dyDescent="0.2">
      <c r="A104">
        <v>237</v>
      </c>
      <c r="D104" t="s">
        <v>158</v>
      </c>
      <c r="I104" t="s">
        <v>32</v>
      </c>
      <c r="R104" s="1">
        <v>-29.67</v>
      </c>
      <c r="S104" s="1"/>
      <c r="T104" s="1"/>
    </row>
    <row r="105" spans="1:20" ht="15" customHeight="1" x14ac:dyDescent="0.2">
      <c r="H105" t="s">
        <v>159</v>
      </c>
      <c r="R105" s="1">
        <v>-4915</v>
      </c>
      <c r="S105" s="1"/>
      <c r="T105" s="1"/>
    </row>
    <row r="106" spans="1:20" ht="15" customHeight="1" x14ac:dyDescent="0.2">
      <c r="A106">
        <v>214</v>
      </c>
      <c r="D106" t="s">
        <v>160</v>
      </c>
      <c r="I106" t="s">
        <v>21</v>
      </c>
      <c r="R106" s="1">
        <v>-4915</v>
      </c>
      <c r="S106" s="1"/>
      <c r="T106" s="1"/>
    </row>
    <row r="107" spans="1:20" ht="15" customHeight="1" x14ac:dyDescent="0.2">
      <c r="H107" t="s">
        <v>161</v>
      </c>
      <c r="R107" s="1">
        <v>-5483.69</v>
      </c>
      <c r="S107" s="1"/>
      <c r="T107" s="1"/>
    </row>
    <row r="108" spans="1:20" ht="15" customHeight="1" x14ac:dyDescent="0.2">
      <c r="A108">
        <v>217</v>
      </c>
      <c r="D108" t="s">
        <v>162</v>
      </c>
      <c r="I108" t="s">
        <v>23</v>
      </c>
      <c r="R108" s="1">
        <v>-5483.69</v>
      </c>
      <c r="T108" s="1"/>
    </row>
    <row r="109" spans="1:20" x14ac:dyDescent="0.2">
      <c r="H109" t="s">
        <v>163</v>
      </c>
      <c r="R109" s="1">
        <v>-666.66</v>
      </c>
      <c r="T109" s="1"/>
    </row>
    <row r="110" spans="1:20" ht="15" customHeight="1" x14ac:dyDescent="0.2">
      <c r="A110">
        <v>219</v>
      </c>
      <c r="D110" t="s">
        <v>194</v>
      </c>
      <c r="I110" t="s">
        <v>49</v>
      </c>
      <c r="R110" s="1">
        <v>-133.91999999999999</v>
      </c>
      <c r="T110" s="1"/>
    </row>
    <row r="111" spans="1:20" ht="15" customHeight="1" x14ac:dyDescent="0.2">
      <c r="A111">
        <v>220</v>
      </c>
      <c r="D111" t="s">
        <v>164</v>
      </c>
      <c r="I111" t="s">
        <v>24</v>
      </c>
      <c r="R111" s="1">
        <v>-184.07</v>
      </c>
      <c r="T111" s="1"/>
    </row>
    <row r="112" spans="1:20" ht="15" customHeight="1" x14ac:dyDescent="0.2">
      <c r="A112">
        <v>233</v>
      </c>
      <c r="D112" t="s">
        <v>195</v>
      </c>
      <c r="I112" t="s">
        <v>50</v>
      </c>
      <c r="R112" s="1">
        <v>-348.67</v>
      </c>
      <c r="S112" s="1"/>
      <c r="T112" s="1"/>
    </row>
    <row r="113" spans="1:20" ht="15" customHeight="1" x14ac:dyDescent="0.2">
      <c r="H113" t="s">
        <v>127</v>
      </c>
      <c r="R113" s="1">
        <v>-5542.39</v>
      </c>
      <c r="S113" s="1"/>
      <c r="T113" s="1"/>
    </row>
    <row r="114" spans="1:20" ht="15" customHeight="1" x14ac:dyDescent="0.2">
      <c r="A114">
        <v>244</v>
      </c>
      <c r="D114" t="s">
        <v>165</v>
      </c>
      <c r="I114" t="s">
        <v>34</v>
      </c>
      <c r="R114" s="1">
        <v>-5542.39</v>
      </c>
      <c r="T114" s="1"/>
    </row>
    <row r="115" spans="1:20" ht="15" customHeight="1" x14ac:dyDescent="0.2">
      <c r="H115" t="s">
        <v>166</v>
      </c>
      <c r="R115" s="1">
        <v>-859.85</v>
      </c>
      <c r="T115" s="1"/>
    </row>
    <row r="116" spans="1:20" ht="15" customHeight="1" x14ac:dyDescent="0.2">
      <c r="A116">
        <v>252</v>
      </c>
      <c r="D116" t="s">
        <v>167</v>
      </c>
      <c r="I116" t="s">
        <v>37</v>
      </c>
      <c r="R116" s="1">
        <v>-859.85</v>
      </c>
      <c r="S116" s="1"/>
      <c r="T116" s="1"/>
    </row>
    <row r="117" spans="1:20" ht="15" customHeight="1" x14ac:dyDescent="0.2">
      <c r="H117" t="s">
        <v>129</v>
      </c>
      <c r="R117" s="1">
        <v>-8314.57</v>
      </c>
      <c r="T117" s="1"/>
    </row>
    <row r="118" spans="1:20" ht="15" customHeight="1" x14ac:dyDescent="0.2">
      <c r="A118">
        <v>213</v>
      </c>
      <c r="D118" t="s">
        <v>168</v>
      </c>
      <c r="I118" t="s">
        <v>20</v>
      </c>
      <c r="R118">
        <v>-667.92</v>
      </c>
      <c r="T118" s="1"/>
    </row>
    <row r="119" spans="1:20" x14ac:dyDescent="0.2">
      <c r="A119">
        <v>215</v>
      </c>
      <c r="D119" t="s">
        <v>230</v>
      </c>
      <c r="I119" t="s">
        <v>61</v>
      </c>
      <c r="R119" s="1">
        <v>-65.97</v>
      </c>
      <c r="T119" s="1"/>
    </row>
    <row r="120" spans="1:20" ht="15" customHeight="1" x14ac:dyDescent="0.2">
      <c r="A120">
        <v>225</v>
      </c>
      <c r="D120" t="s">
        <v>170</v>
      </c>
      <c r="I120" t="s">
        <v>26</v>
      </c>
      <c r="R120" s="1">
        <v>-47.74</v>
      </c>
      <c r="T120" s="1"/>
    </row>
    <row r="121" spans="1:20" ht="15" customHeight="1" x14ac:dyDescent="0.2">
      <c r="A121">
        <v>231</v>
      </c>
      <c r="D121" t="s">
        <v>172</v>
      </c>
      <c r="I121" t="s">
        <v>29</v>
      </c>
      <c r="R121" s="1">
        <v>-2029.81</v>
      </c>
      <c r="T121" s="1"/>
    </row>
    <row r="122" spans="1:20" ht="15" customHeight="1" x14ac:dyDescent="0.2">
      <c r="A122">
        <v>234</v>
      </c>
      <c r="D122" t="s">
        <v>231</v>
      </c>
      <c r="I122" t="s">
        <v>63</v>
      </c>
      <c r="R122" s="1">
        <v>-166</v>
      </c>
      <c r="S122" s="1"/>
      <c r="T122" s="1"/>
    </row>
    <row r="123" spans="1:20" ht="15" customHeight="1" x14ac:dyDescent="0.2">
      <c r="A123">
        <v>238</v>
      </c>
      <c r="D123" t="s">
        <v>174</v>
      </c>
      <c r="I123" t="s">
        <v>33</v>
      </c>
      <c r="R123" s="1">
        <v>-1027.3599999999999</v>
      </c>
      <c r="S123" s="1"/>
      <c r="T123" s="1"/>
    </row>
    <row r="124" spans="1:20" x14ac:dyDescent="0.2">
      <c r="A124">
        <v>243</v>
      </c>
      <c r="D124" t="s">
        <v>175</v>
      </c>
      <c r="I124" t="s">
        <v>176</v>
      </c>
      <c r="R124" s="1">
        <v>-2796.72</v>
      </c>
      <c r="S124" s="1"/>
      <c r="T124" s="1"/>
    </row>
    <row r="125" spans="1:20" ht="15" customHeight="1" x14ac:dyDescent="0.2">
      <c r="A125">
        <v>263</v>
      </c>
      <c r="D125" t="s">
        <v>179</v>
      </c>
      <c r="I125" t="s">
        <v>43</v>
      </c>
      <c r="R125" s="1">
        <v>-1513.05</v>
      </c>
      <c r="S125" s="1"/>
      <c r="T125" s="1"/>
    </row>
    <row r="126" spans="1:20" ht="15" customHeight="1" x14ac:dyDescent="0.2">
      <c r="H126" t="s">
        <v>196</v>
      </c>
      <c r="R126" s="1">
        <v>-41855.85</v>
      </c>
      <c r="S126" s="1"/>
      <c r="T126" s="1"/>
    </row>
    <row r="127" spans="1:20" ht="15" customHeight="1" x14ac:dyDescent="0.2">
      <c r="R127" s="1"/>
      <c r="T127" s="1"/>
    </row>
    <row r="128" spans="1:20" x14ac:dyDescent="0.2">
      <c r="R128" s="1"/>
      <c r="T128" s="1"/>
    </row>
    <row r="129" spans="2:20" ht="15" customHeight="1" x14ac:dyDescent="0.2">
      <c r="B129" s="2"/>
      <c r="L129" s="2"/>
      <c r="T129" s="1"/>
    </row>
    <row r="130" spans="2:20" ht="15" customHeight="1" x14ac:dyDescent="0.2">
      <c r="T130" s="1"/>
    </row>
    <row r="131" spans="2:20" ht="15" customHeight="1" x14ac:dyDescent="0.2">
      <c r="R131" s="1"/>
      <c r="T131" s="1"/>
    </row>
    <row r="132" spans="2:20" x14ac:dyDescent="0.2">
      <c r="T132" s="1">
        <f t="shared" ref="T132:T168" si="0">+R132-S132</f>
        <v>0</v>
      </c>
    </row>
    <row r="133" spans="2:20" ht="15" customHeight="1" x14ac:dyDescent="0.2">
      <c r="T133" s="1">
        <f t="shared" si="0"/>
        <v>0</v>
      </c>
    </row>
    <row r="134" spans="2:20" ht="15" customHeight="1" x14ac:dyDescent="0.2">
      <c r="T134" s="1">
        <f t="shared" si="0"/>
        <v>0</v>
      </c>
    </row>
    <row r="135" spans="2:20" ht="15" customHeight="1" x14ac:dyDescent="0.2">
      <c r="T135" s="1">
        <f t="shared" si="0"/>
        <v>0</v>
      </c>
    </row>
    <row r="136" spans="2:20" ht="15" customHeight="1" x14ac:dyDescent="0.2">
      <c r="T136" s="1">
        <f t="shared" si="0"/>
        <v>0</v>
      </c>
    </row>
    <row r="137" spans="2:20" ht="15" customHeight="1" x14ac:dyDescent="0.2">
      <c r="T137" s="1">
        <f t="shared" si="0"/>
        <v>0</v>
      </c>
    </row>
    <row r="138" spans="2:20" ht="15" customHeight="1" x14ac:dyDescent="0.2">
      <c r="T138" s="1">
        <f t="shared" si="0"/>
        <v>0</v>
      </c>
    </row>
    <row r="139" spans="2:20" ht="15" customHeight="1" x14ac:dyDescent="0.2">
      <c r="T139" s="1">
        <f t="shared" si="0"/>
        <v>0</v>
      </c>
    </row>
    <row r="140" spans="2:20" x14ac:dyDescent="0.2">
      <c r="T140" s="1">
        <f t="shared" si="0"/>
        <v>0</v>
      </c>
    </row>
    <row r="141" spans="2:20" x14ac:dyDescent="0.2">
      <c r="T141" s="1">
        <f t="shared" si="0"/>
        <v>0</v>
      </c>
    </row>
    <row r="142" spans="2:20" x14ac:dyDescent="0.2">
      <c r="T142" s="1">
        <f t="shared" si="0"/>
        <v>0</v>
      </c>
    </row>
    <row r="143" spans="2:20" x14ac:dyDescent="0.2">
      <c r="T143" s="1">
        <f t="shared" si="0"/>
        <v>0</v>
      </c>
    </row>
    <row r="144" spans="2:20" x14ac:dyDescent="0.2">
      <c r="T144" s="1">
        <f t="shared" si="0"/>
        <v>0</v>
      </c>
    </row>
    <row r="145" spans="20:20" x14ac:dyDescent="0.2">
      <c r="T145" s="1">
        <f t="shared" si="0"/>
        <v>0</v>
      </c>
    </row>
    <row r="146" spans="20:20" x14ac:dyDescent="0.2">
      <c r="T146" s="1">
        <f t="shared" si="0"/>
        <v>0</v>
      </c>
    </row>
    <row r="147" spans="20:20" x14ac:dyDescent="0.2">
      <c r="T147" s="1">
        <f t="shared" si="0"/>
        <v>0</v>
      </c>
    </row>
    <row r="148" spans="20:20" x14ac:dyDescent="0.2">
      <c r="T148" s="1">
        <f t="shared" si="0"/>
        <v>0</v>
      </c>
    </row>
    <row r="149" spans="20:20" x14ac:dyDescent="0.2">
      <c r="T149" s="1">
        <f t="shared" si="0"/>
        <v>0</v>
      </c>
    </row>
    <row r="150" spans="20:20" x14ac:dyDescent="0.2">
      <c r="T150" s="1">
        <f t="shared" si="0"/>
        <v>0</v>
      </c>
    </row>
    <row r="151" spans="20:20" x14ac:dyDescent="0.2">
      <c r="T151" s="1">
        <f t="shared" si="0"/>
        <v>0</v>
      </c>
    </row>
    <row r="152" spans="20:20" x14ac:dyDescent="0.2">
      <c r="T152" s="1">
        <f t="shared" si="0"/>
        <v>0</v>
      </c>
    </row>
    <row r="153" spans="20:20" x14ac:dyDescent="0.2">
      <c r="T153" s="1">
        <f t="shared" si="0"/>
        <v>0</v>
      </c>
    </row>
    <row r="154" spans="20:20" x14ac:dyDescent="0.2">
      <c r="T154" s="1">
        <f t="shared" si="0"/>
        <v>0</v>
      </c>
    </row>
    <row r="155" spans="20:20" x14ac:dyDescent="0.2">
      <c r="T155" s="1">
        <f t="shared" si="0"/>
        <v>0</v>
      </c>
    </row>
    <row r="156" spans="20:20" x14ac:dyDescent="0.2">
      <c r="T156" s="1">
        <f t="shared" si="0"/>
        <v>0</v>
      </c>
    </row>
    <row r="157" spans="20:20" x14ac:dyDescent="0.2">
      <c r="T157" s="1">
        <f t="shared" si="0"/>
        <v>0</v>
      </c>
    </row>
    <row r="158" spans="20:20" x14ac:dyDescent="0.2">
      <c r="T158" s="1">
        <f t="shared" si="0"/>
        <v>0</v>
      </c>
    </row>
    <row r="159" spans="20:20" x14ac:dyDescent="0.2">
      <c r="T159" s="1">
        <f t="shared" si="0"/>
        <v>0</v>
      </c>
    </row>
    <row r="160" spans="20:20" x14ac:dyDescent="0.2">
      <c r="T160" s="1">
        <f t="shared" si="0"/>
        <v>0</v>
      </c>
    </row>
    <row r="161" spans="20:20" x14ac:dyDescent="0.2">
      <c r="T161" s="1">
        <f t="shared" si="0"/>
        <v>0</v>
      </c>
    </row>
    <row r="162" spans="20:20" x14ac:dyDescent="0.2">
      <c r="T162" s="1">
        <f t="shared" si="0"/>
        <v>0</v>
      </c>
    </row>
    <row r="163" spans="20:20" x14ac:dyDescent="0.2">
      <c r="T163" s="1">
        <f t="shared" si="0"/>
        <v>0</v>
      </c>
    </row>
    <row r="164" spans="20:20" x14ac:dyDescent="0.2">
      <c r="T164" s="1">
        <f t="shared" si="0"/>
        <v>0</v>
      </c>
    </row>
    <row r="165" spans="20:20" x14ac:dyDescent="0.2">
      <c r="T165" s="1">
        <f t="shared" si="0"/>
        <v>0</v>
      </c>
    </row>
    <row r="166" spans="20:20" x14ac:dyDescent="0.2">
      <c r="T166" s="1">
        <f t="shared" si="0"/>
        <v>0</v>
      </c>
    </row>
    <row r="167" spans="20:20" x14ac:dyDescent="0.2">
      <c r="T167" s="1">
        <f t="shared" si="0"/>
        <v>0</v>
      </c>
    </row>
    <row r="168" spans="20:20" x14ac:dyDescent="0.2">
      <c r="T168" s="1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8"/>
  <sheetViews>
    <sheetView workbookViewId="0">
      <selection sqref="A1:W124"/>
    </sheetView>
  </sheetViews>
  <sheetFormatPr baseColWidth="10" defaultColWidth="8.83203125" defaultRowHeight="15" x14ac:dyDescent="0.2"/>
  <cols>
    <col min="18" max="18" width="11" bestFit="1" customWidth="1"/>
    <col min="19" max="20" width="10.83203125" bestFit="1" customWidth="1"/>
  </cols>
  <sheetData>
    <row r="1" spans="1:20" x14ac:dyDescent="0.2">
      <c r="A1" t="s">
        <v>65</v>
      </c>
      <c r="D1" t="s">
        <v>66</v>
      </c>
      <c r="H1" t="s">
        <v>5</v>
      </c>
      <c r="R1" t="s">
        <v>6</v>
      </c>
    </row>
    <row r="2" spans="1:20" x14ac:dyDescent="0.2">
      <c r="H2" t="s">
        <v>67</v>
      </c>
      <c r="R2" s="1">
        <v>503039.55</v>
      </c>
      <c r="S2" s="1"/>
      <c r="T2" s="1"/>
    </row>
    <row r="3" spans="1:20" x14ac:dyDescent="0.2">
      <c r="A3">
        <v>860</v>
      </c>
      <c r="D3" t="s">
        <v>68</v>
      </c>
      <c r="I3" t="s">
        <v>69</v>
      </c>
      <c r="R3" s="1">
        <v>219556.41</v>
      </c>
      <c r="S3" s="1"/>
      <c r="T3" s="1"/>
    </row>
    <row r="4" spans="1:20" x14ac:dyDescent="0.2">
      <c r="A4">
        <v>861</v>
      </c>
      <c r="D4" t="s">
        <v>70</v>
      </c>
      <c r="I4" t="s">
        <v>71</v>
      </c>
      <c r="R4" s="1">
        <v>167517.93</v>
      </c>
      <c r="S4" s="1"/>
      <c r="T4" s="1"/>
    </row>
    <row r="5" spans="1:20" x14ac:dyDescent="0.2">
      <c r="A5">
        <v>862</v>
      </c>
      <c r="D5" t="s">
        <v>184</v>
      </c>
      <c r="I5" t="s">
        <v>185</v>
      </c>
      <c r="R5" s="1">
        <v>2953.61</v>
      </c>
      <c r="S5" s="1"/>
      <c r="T5" s="1"/>
    </row>
    <row r="6" spans="1:20" x14ac:dyDescent="0.2">
      <c r="A6">
        <v>865</v>
      </c>
      <c r="D6" t="s">
        <v>72</v>
      </c>
      <c r="I6" t="s">
        <v>73</v>
      </c>
      <c r="R6" s="1">
        <v>113011.6</v>
      </c>
      <c r="S6" s="1"/>
      <c r="T6" s="1"/>
    </row>
    <row r="7" spans="1:20" x14ac:dyDescent="0.2">
      <c r="H7" t="s">
        <v>74</v>
      </c>
      <c r="R7" s="1">
        <v>14548.79</v>
      </c>
      <c r="S7" s="1"/>
      <c r="T7" s="1"/>
    </row>
    <row r="8" spans="1:20" x14ac:dyDescent="0.2">
      <c r="A8">
        <v>863</v>
      </c>
      <c r="D8" t="s">
        <v>75</v>
      </c>
      <c r="I8" t="s">
        <v>76</v>
      </c>
      <c r="R8" s="1">
        <v>11019.65</v>
      </c>
      <c r="S8" s="1"/>
      <c r="T8" s="1"/>
    </row>
    <row r="9" spans="1:20" x14ac:dyDescent="0.2">
      <c r="A9">
        <v>864</v>
      </c>
      <c r="D9" t="s">
        <v>77</v>
      </c>
      <c r="I9" t="s">
        <v>78</v>
      </c>
      <c r="R9" s="1">
        <v>3529.14</v>
      </c>
      <c r="S9" s="1"/>
      <c r="T9" s="1"/>
    </row>
    <row r="10" spans="1:20" x14ac:dyDescent="0.2">
      <c r="H10" t="s">
        <v>79</v>
      </c>
      <c r="R10" s="1">
        <v>517588.34</v>
      </c>
      <c r="S10" s="1"/>
      <c r="T10" s="1"/>
    </row>
    <row r="11" spans="1:20" x14ac:dyDescent="0.2">
      <c r="I11" t="s">
        <v>7</v>
      </c>
      <c r="T11" s="1"/>
    </row>
    <row r="12" spans="1:20" x14ac:dyDescent="0.2">
      <c r="H12" t="s">
        <v>80</v>
      </c>
      <c r="R12">
        <v>-569.79999999999995</v>
      </c>
      <c r="T12" s="1"/>
    </row>
    <row r="13" spans="1:20" x14ac:dyDescent="0.2">
      <c r="A13">
        <v>166</v>
      </c>
      <c r="D13" t="s">
        <v>81</v>
      </c>
      <c r="I13" t="s">
        <v>10</v>
      </c>
      <c r="R13">
        <v>-569.79999999999995</v>
      </c>
      <c r="T13" s="1"/>
    </row>
    <row r="14" spans="1:20" x14ac:dyDescent="0.2">
      <c r="H14" t="s">
        <v>83</v>
      </c>
      <c r="R14" s="1">
        <v>517018.54</v>
      </c>
      <c r="S14" s="1"/>
      <c r="T14" s="1"/>
    </row>
    <row r="15" spans="1:20" x14ac:dyDescent="0.2">
      <c r="I15" t="s">
        <v>7</v>
      </c>
      <c r="T15" s="1"/>
    </row>
    <row r="16" spans="1:20" x14ac:dyDescent="0.2">
      <c r="H16" t="s">
        <v>84</v>
      </c>
      <c r="R16" s="1">
        <v>34698.870000000003</v>
      </c>
      <c r="S16" s="1"/>
      <c r="T16" s="1"/>
    </row>
    <row r="17" spans="1:20" x14ac:dyDescent="0.2">
      <c r="A17">
        <v>749</v>
      </c>
      <c r="D17" t="s">
        <v>85</v>
      </c>
      <c r="I17" t="s">
        <v>58</v>
      </c>
      <c r="R17" s="1">
        <v>34698.870000000003</v>
      </c>
      <c r="S17" s="1"/>
      <c r="T17" s="1"/>
    </row>
    <row r="18" spans="1:20" x14ac:dyDescent="0.2">
      <c r="H18" t="s">
        <v>86</v>
      </c>
      <c r="R18" s="1">
        <v>551717.41</v>
      </c>
      <c r="S18" s="1"/>
      <c r="T18" s="1"/>
    </row>
    <row r="19" spans="1:20" x14ac:dyDescent="0.2">
      <c r="I19" t="s">
        <v>7</v>
      </c>
      <c r="T19" s="1"/>
    </row>
    <row r="20" spans="1:20" x14ac:dyDescent="0.2">
      <c r="H20" t="s">
        <v>87</v>
      </c>
      <c r="R20" s="1">
        <v>-316722.03000000003</v>
      </c>
      <c r="S20" s="1"/>
      <c r="T20" s="1"/>
    </row>
    <row r="21" spans="1:20" x14ac:dyDescent="0.2">
      <c r="A21">
        <v>162</v>
      </c>
      <c r="D21" t="s">
        <v>88</v>
      </c>
      <c r="I21" t="s">
        <v>8</v>
      </c>
      <c r="R21" s="1">
        <v>-216281.18</v>
      </c>
      <c r="S21" s="1"/>
      <c r="T21" s="1"/>
    </row>
    <row r="22" spans="1:20" x14ac:dyDescent="0.2">
      <c r="A22">
        <v>165</v>
      </c>
      <c r="D22" t="s">
        <v>89</v>
      </c>
      <c r="I22" t="s">
        <v>9</v>
      </c>
      <c r="R22" s="1">
        <v>-20504.68</v>
      </c>
      <c r="S22" s="1"/>
      <c r="T22" s="1"/>
    </row>
    <row r="23" spans="1:20" x14ac:dyDescent="0.2">
      <c r="A23">
        <v>167</v>
      </c>
      <c r="D23" t="s">
        <v>90</v>
      </c>
      <c r="I23" t="s">
        <v>11</v>
      </c>
      <c r="R23">
        <v>-281.7</v>
      </c>
      <c r="T23" s="1"/>
    </row>
    <row r="24" spans="1:20" x14ac:dyDescent="0.2">
      <c r="A24">
        <v>170</v>
      </c>
      <c r="D24" t="s">
        <v>91</v>
      </c>
      <c r="I24" t="s">
        <v>92</v>
      </c>
      <c r="R24" s="1">
        <v>-79654.47</v>
      </c>
      <c r="S24" s="1"/>
      <c r="T24" s="1"/>
    </row>
    <row r="25" spans="1:20" x14ac:dyDescent="0.2">
      <c r="H25" t="s">
        <v>93</v>
      </c>
      <c r="R25" s="1">
        <v>-316722.03000000003</v>
      </c>
      <c r="S25" s="1"/>
      <c r="T25" s="1"/>
    </row>
    <row r="26" spans="1:20" x14ac:dyDescent="0.2">
      <c r="I26" t="s">
        <v>7</v>
      </c>
      <c r="T26" s="1"/>
    </row>
    <row r="27" spans="1:20" x14ac:dyDescent="0.2">
      <c r="H27" t="s">
        <v>94</v>
      </c>
      <c r="R27" s="1">
        <v>234995.38</v>
      </c>
      <c r="S27" s="1"/>
      <c r="T27" s="1"/>
    </row>
    <row r="28" spans="1:20" x14ac:dyDescent="0.2">
      <c r="I28" t="s">
        <v>7</v>
      </c>
      <c r="T28" s="1"/>
    </row>
    <row r="29" spans="1:20" x14ac:dyDescent="0.2">
      <c r="H29" t="s">
        <v>95</v>
      </c>
      <c r="R29" s="1">
        <v>-46248.31</v>
      </c>
      <c r="S29" s="1"/>
      <c r="T29" s="1"/>
    </row>
    <row r="30" spans="1:20" x14ac:dyDescent="0.2">
      <c r="A30">
        <v>164</v>
      </c>
      <c r="D30" t="s">
        <v>96</v>
      </c>
      <c r="I30" t="s">
        <v>97</v>
      </c>
      <c r="R30" s="1">
        <v>-39597.870000000003</v>
      </c>
      <c r="S30" s="1"/>
      <c r="T30" s="1"/>
    </row>
    <row r="31" spans="1:20" x14ac:dyDescent="0.2">
      <c r="A31">
        <v>206</v>
      </c>
      <c r="D31" t="s">
        <v>98</v>
      </c>
      <c r="I31" t="s">
        <v>13</v>
      </c>
      <c r="R31" s="1">
        <v>-3650.44</v>
      </c>
      <c r="S31" s="1"/>
      <c r="T31" s="1"/>
    </row>
    <row r="32" spans="1:20" x14ac:dyDescent="0.2">
      <c r="A32">
        <v>207</v>
      </c>
      <c r="D32" t="s">
        <v>192</v>
      </c>
      <c r="I32" t="s">
        <v>14</v>
      </c>
      <c r="R32" s="1">
        <v>-3000</v>
      </c>
      <c r="S32" s="1"/>
      <c r="T32" s="1"/>
    </row>
    <row r="33" spans="1:20" x14ac:dyDescent="0.2">
      <c r="H33" t="s">
        <v>101</v>
      </c>
      <c r="R33" s="1">
        <v>-10745.85</v>
      </c>
      <c r="S33" s="1"/>
      <c r="T33" s="1"/>
    </row>
    <row r="34" spans="1:20" x14ac:dyDescent="0.2">
      <c r="A34">
        <v>250</v>
      </c>
      <c r="D34" t="s">
        <v>102</v>
      </c>
      <c r="I34" t="s">
        <v>35</v>
      </c>
      <c r="R34">
        <v>-114.26</v>
      </c>
      <c r="T34" s="1"/>
    </row>
    <row r="35" spans="1:20" x14ac:dyDescent="0.2">
      <c r="A35">
        <v>253</v>
      </c>
      <c r="D35" t="s">
        <v>103</v>
      </c>
      <c r="I35" t="s">
        <v>38</v>
      </c>
      <c r="R35" s="1">
        <v>-1200.21</v>
      </c>
      <c r="T35" s="1"/>
    </row>
    <row r="36" spans="1:20" x14ac:dyDescent="0.2">
      <c r="A36">
        <v>651</v>
      </c>
      <c r="D36" t="s">
        <v>104</v>
      </c>
      <c r="I36" t="s">
        <v>39</v>
      </c>
      <c r="R36">
        <v>-104.59</v>
      </c>
      <c r="T36" s="1"/>
    </row>
    <row r="37" spans="1:20" x14ac:dyDescent="0.2">
      <c r="A37">
        <v>653</v>
      </c>
      <c r="D37" t="s">
        <v>105</v>
      </c>
      <c r="I37" t="s">
        <v>40</v>
      </c>
      <c r="R37">
        <v>-61.8</v>
      </c>
      <c r="T37" s="1"/>
    </row>
    <row r="38" spans="1:20" x14ac:dyDescent="0.2">
      <c r="A38">
        <v>654</v>
      </c>
      <c r="D38" t="s">
        <v>106</v>
      </c>
      <c r="I38" t="s">
        <v>41</v>
      </c>
      <c r="R38" s="1">
        <v>-9264.99</v>
      </c>
      <c r="S38" s="1"/>
      <c r="T38" s="1"/>
    </row>
    <row r="39" spans="1:20" x14ac:dyDescent="0.2">
      <c r="H39" t="s">
        <v>107</v>
      </c>
      <c r="R39" s="1">
        <v>-56994.16</v>
      </c>
      <c r="S39" s="1"/>
      <c r="T39" s="1"/>
    </row>
    <row r="40" spans="1:20" x14ac:dyDescent="0.2">
      <c r="I40" t="s">
        <v>7</v>
      </c>
      <c r="T40" s="1"/>
    </row>
    <row r="41" spans="1:20" x14ac:dyDescent="0.2">
      <c r="H41" t="s">
        <v>108</v>
      </c>
      <c r="R41" s="1">
        <v>178001.22</v>
      </c>
      <c r="S41" s="1"/>
      <c r="T41" s="1"/>
    </row>
    <row r="42" spans="1:20" x14ac:dyDescent="0.2">
      <c r="I42" t="s">
        <v>7</v>
      </c>
      <c r="T42" s="1"/>
    </row>
    <row r="43" spans="1:20" x14ac:dyDescent="0.2">
      <c r="H43" t="s">
        <v>109</v>
      </c>
      <c r="R43" s="1">
        <v>-83740.92</v>
      </c>
      <c r="S43" s="1"/>
      <c r="T43" s="1"/>
    </row>
    <row r="44" spans="1:20" x14ac:dyDescent="0.2">
      <c r="I44" t="s">
        <v>7</v>
      </c>
      <c r="T44" s="1"/>
    </row>
    <row r="45" spans="1:20" x14ac:dyDescent="0.2">
      <c r="H45" t="s">
        <v>110</v>
      </c>
      <c r="R45" s="1">
        <v>-83740.92</v>
      </c>
      <c r="S45" s="1"/>
      <c r="T45" s="1"/>
    </row>
    <row r="46" spans="1:20" x14ac:dyDescent="0.2">
      <c r="I46" t="s">
        <v>7</v>
      </c>
      <c r="T46" s="1"/>
    </row>
    <row r="47" spans="1:20" x14ac:dyDescent="0.2">
      <c r="H47" t="s">
        <v>111</v>
      </c>
      <c r="R47" s="1">
        <v>-3214.9</v>
      </c>
      <c r="S47" s="1"/>
      <c r="T47" s="1"/>
    </row>
    <row r="48" spans="1:20" x14ac:dyDescent="0.2">
      <c r="A48">
        <v>182</v>
      </c>
      <c r="D48" t="s">
        <v>112</v>
      </c>
      <c r="I48" t="s">
        <v>54</v>
      </c>
      <c r="R48" s="1">
        <v>-3214.9</v>
      </c>
      <c r="S48" s="1"/>
      <c r="T48" s="1"/>
    </row>
    <row r="49" spans="1:20" x14ac:dyDescent="0.2">
      <c r="H49" t="s">
        <v>113</v>
      </c>
      <c r="R49" s="1">
        <v>-25711.19</v>
      </c>
      <c r="S49" s="1"/>
      <c r="T49" s="1"/>
    </row>
    <row r="50" spans="1:20" x14ac:dyDescent="0.2">
      <c r="A50">
        <v>181</v>
      </c>
      <c r="D50" t="s">
        <v>114</v>
      </c>
      <c r="I50" t="s">
        <v>53</v>
      </c>
      <c r="R50" s="1">
        <v>-14410</v>
      </c>
      <c r="S50" s="1"/>
      <c r="T50" s="1"/>
    </row>
    <row r="51" spans="1:20" x14ac:dyDescent="0.2">
      <c r="A51">
        <v>188</v>
      </c>
      <c r="D51" t="s">
        <v>115</v>
      </c>
      <c r="I51" t="s">
        <v>116</v>
      </c>
      <c r="R51" s="1">
        <v>-9698.2900000000009</v>
      </c>
      <c r="T51" s="1"/>
    </row>
    <row r="52" spans="1:20" x14ac:dyDescent="0.2">
      <c r="A52">
        <v>535</v>
      </c>
      <c r="D52" t="s">
        <v>199</v>
      </c>
      <c r="I52" t="s">
        <v>232</v>
      </c>
      <c r="R52" s="1">
        <v>-1089.1500000000001</v>
      </c>
      <c r="S52" s="1"/>
      <c r="T52" s="1"/>
    </row>
    <row r="53" spans="1:20" x14ac:dyDescent="0.2">
      <c r="A53">
        <v>536</v>
      </c>
      <c r="D53" t="s">
        <v>200</v>
      </c>
      <c r="I53" t="s">
        <v>201</v>
      </c>
      <c r="R53" s="1">
        <v>-513.75</v>
      </c>
      <c r="S53" s="1"/>
      <c r="T53" s="1"/>
    </row>
    <row r="54" spans="1:20" x14ac:dyDescent="0.2">
      <c r="H54" t="s">
        <v>73</v>
      </c>
      <c r="R54" s="1">
        <v>-6830</v>
      </c>
      <c r="S54" s="1"/>
      <c r="T54" s="1"/>
    </row>
    <row r="55" spans="1:20" x14ac:dyDescent="0.2">
      <c r="A55">
        <v>184</v>
      </c>
      <c r="D55" t="s">
        <v>117</v>
      </c>
      <c r="I55" t="s">
        <v>57</v>
      </c>
      <c r="R55" s="1">
        <v>-6830</v>
      </c>
      <c r="S55" s="1"/>
      <c r="T55" s="1"/>
    </row>
    <row r="56" spans="1:20" x14ac:dyDescent="0.2">
      <c r="H56" t="s">
        <v>118</v>
      </c>
      <c r="R56" s="1">
        <v>-2673.5</v>
      </c>
      <c r="T56" s="1"/>
    </row>
    <row r="57" spans="1:20" x14ac:dyDescent="0.2">
      <c r="A57">
        <v>502</v>
      </c>
      <c r="D57" t="s">
        <v>119</v>
      </c>
      <c r="I57" t="s">
        <v>120</v>
      </c>
      <c r="R57" s="1">
        <v>-1571.82</v>
      </c>
      <c r="T57" s="1"/>
    </row>
    <row r="58" spans="1:20" x14ac:dyDescent="0.2">
      <c r="A58">
        <v>503</v>
      </c>
      <c r="D58" t="s">
        <v>121</v>
      </c>
      <c r="I58" t="s">
        <v>122</v>
      </c>
      <c r="R58">
        <v>-469.2</v>
      </c>
      <c r="T58" s="1"/>
    </row>
    <row r="59" spans="1:20" x14ac:dyDescent="0.2">
      <c r="A59">
        <v>504</v>
      </c>
      <c r="D59" t="s">
        <v>123</v>
      </c>
      <c r="I59" t="s">
        <v>124</v>
      </c>
      <c r="R59">
        <v>-58.65</v>
      </c>
      <c r="T59" s="1"/>
    </row>
    <row r="60" spans="1:20" x14ac:dyDescent="0.2">
      <c r="A60">
        <v>505</v>
      </c>
      <c r="D60" t="s">
        <v>202</v>
      </c>
      <c r="I60" t="s">
        <v>203</v>
      </c>
      <c r="R60">
        <v>-291.86</v>
      </c>
      <c r="T60" s="1"/>
    </row>
    <row r="61" spans="1:20" x14ac:dyDescent="0.2">
      <c r="A61">
        <v>506</v>
      </c>
      <c r="D61" t="s">
        <v>204</v>
      </c>
      <c r="I61" t="s">
        <v>205</v>
      </c>
      <c r="R61" s="1">
        <v>-87.14</v>
      </c>
      <c r="T61" s="1"/>
    </row>
    <row r="62" spans="1:20" x14ac:dyDescent="0.2">
      <c r="A62">
        <v>508</v>
      </c>
      <c r="D62" t="s">
        <v>206</v>
      </c>
      <c r="I62" t="s">
        <v>207</v>
      </c>
      <c r="R62" s="1">
        <v>-10.89</v>
      </c>
      <c r="T62" s="1"/>
    </row>
    <row r="63" spans="1:20" x14ac:dyDescent="0.2">
      <c r="A63">
        <v>527</v>
      </c>
      <c r="D63" t="s">
        <v>208</v>
      </c>
      <c r="I63" t="s">
        <v>209</v>
      </c>
      <c r="R63" s="1">
        <v>-137.69999999999999</v>
      </c>
      <c r="T63" s="1"/>
    </row>
    <row r="64" spans="1:20" x14ac:dyDescent="0.2">
      <c r="A64">
        <v>528</v>
      </c>
      <c r="D64" t="s">
        <v>210</v>
      </c>
      <c r="I64" t="s">
        <v>211</v>
      </c>
      <c r="R64" s="1">
        <v>-41.1</v>
      </c>
      <c r="S64" s="1"/>
      <c r="T64" s="1"/>
    </row>
    <row r="65" spans="1:20" x14ac:dyDescent="0.2">
      <c r="A65">
        <v>529</v>
      </c>
      <c r="D65" t="s">
        <v>212</v>
      </c>
      <c r="I65" t="s">
        <v>213</v>
      </c>
      <c r="R65" s="1">
        <v>-5.14</v>
      </c>
      <c r="S65" s="1"/>
      <c r="T65" s="1"/>
    </row>
    <row r="66" spans="1:20" x14ac:dyDescent="0.2">
      <c r="H66" t="s">
        <v>182</v>
      </c>
      <c r="R66" s="1">
        <v>-4464.7299999999996</v>
      </c>
      <c r="S66" s="1"/>
      <c r="T66" s="1"/>
    </row>
    <row r="67" spans="1:20" x14ac:dyDescent="0.2">
      <c r="A67">
        <v>710</v>
      </c>
      <c r="D67" t="s">
        <v>128</v>
      </c>
      <c r="I67" t="s">
        <v>183</v>
      </c>
      <c r="R67" s="1">
        <v>-4464.7299999999996</v>
      </c>
      <c r="S67" s="1"/>
      <c r="T67" s="1"/>
    </row>
    <row r="68" spans="1:20" x14ac:dyDescent="0.2">
      <c r="H68" t="s">
        <v>130</v>
      </c>
      <c r="R68" s="1">
        <v>-40846.6</v>
      </c>
      <c r="S68" s="1"/>
      <c r="T68" s="1"/>
    </row>
    <row r="69" spans="1:20" x14ac:dyDescent="0.2">
      <c r="A69">
        <v>171</v>
      </c>
      <c r="D69" t="s">
        <v>131</v>
      </c>
      <c r="I69" t="s">
        <v>60</v>
      </c>
      <c r="R69" s="1">
        <v>-38181.25</v>
      </c>
      <c r="T69" s="1"/>
    </row>
    <row r="70" spans="1:20" x14ac:dyDescent="0.2">
      <c r="A70">
        <v>245</v>
      </c>
      <c r="D70" t="s">
        <v>132</v>
      </c>
      <c r="I70" t="s">
        <v>191</v>
      </c>
      <c r="R70" s="1">
        <v>-2611.4499999999998</v>
      </c>
      <c r="S70" s="1"/>
      <c r="T70" s="1"/>
    </row>
    <row r="71" spans="1:20" x14ac:dyDescent="0.2">
      <c r="A71">
        <v>709</v>
      </c>
      <c r="D71" t="s">
        <v>250</v>
      </c>
      <c r="I71" t="s">
        <v>186</v>
      </c>
      <c r="R71" s="1">
        <v>-53.9</v>
      </c>
      <c r="T71" s="1"/>
    </row>
    <row r="72" spans="1:20" x14ac:dyDescent="0.2">
      <c r="H72" t="s">
        <v>133</v>
      </c>
      <c r="R72" s="1">
        <v>-114758.28</v>
      </c>
      <c r="S72" s="1"/>
      <c r="T72" s="1"/>
    </row>
    <row r="73" spans="1:20" x14ac:dyDescent="0.2">
      <c r="I73" t="s">
        <v>7</v>
      </c>
      <c r="R73" s="1"/>
      <c r="S73" s="1"/>
      <c r="T73" s="1"/>
    </row>
    <row r="74" spans="1:20" x14ac:dyDescent="0.2">
      <c r="H74" t="s">
        <v>134</v>
      </c>
      <c r="R74" s="1">
        <v>-77333.490000000005</v>
      </c>
      <c r="S74" s="1"/>
      <c r="T74" s="1"/>
    </row>
    <row r="75" spans="1:20" x14ac:dyDescent="0.2">
      <c r="A75">
        <v>179</v>
      </c>
      <c r="D75" t="s">
        <v>233</v>
      </c>
      <c r="I75" t="s">
        <v>234</v>
      </c>
      <c r="R75" s="1">
        <v>-3509.67</v>
      </c>
      <c r="S75" s="1"/>
      <c r="T75" s="1"/>
    </row>
    <row r="76" spans="1:20" x14ac:dyDescent="0.2">
      <c r="A76">
        <v>180</v>
      </c>
      <c r="D76" t="s">
        <v>135</v>
      </c>
      <c r="I76" t="s">
        <v>52</v>
      </c>
      <c r="R76" s="1">
        <v>-19141.62</v>
      </c>
      <c r="S76" s="1"/>
      <c r="T76" s="1"/>
    </row>
    <row r="77" spans="1:20" x14ac:dyDescent="0.2">
      <c r="A77">
        <v>186</v>
      </c>
      <c r="D77" t="s">
        <v>187</v>
      </c>
      <c r="I77" t="s">
        <v>55</v>
      </c>
      <c r="R77" s="1">
        <v>-9450</v>
      </c>
      <c r="S77" s="1"/>
      <c r="T77" s="1"/>
    </row>
    <row r="78" spans="1:20" x14ac:dyDescent="0.2">
      <c r="A78">
        <v>187</v>
      </c>
      <c r="D78" t="s">
        <v>136</v>
      </c>
      <c r="I78" t="s">
        <v>56</v>
      </c>
      <c r="R78" s="1">
        <v>-9278.67</v>
      </c>
      <c r="S78" s="1"/>
      <c r="T78" s="1"/>
    </row>
    <row r="79" spans="1:20" x14ac:dyDescent="0.2">
      <c r="A79">
        <v>189</v>
      </c>
      <c r="D79" t="s">
        <v>137</v>
      </c>
      <c r="I79" t="s">
        <v>138</v>
      </c>
      <c r="R79" s="1">
        <v>-1102.18</v>
      </c>
      <c r="T79" s="1"/>
    </row>
    <row r="80" spans="1:20" x14ac:dyDescent="0.2">
      <c r="A80">
        <v>190</v>
      </c>
      <c r="D80" t="s">
        <v>139</v>
      </c>
      <c r="I80" t="s">
        <v>140</v>
      </c>
      <c r="R80" s="1">
        <v>-291.83999999999997</v>
      </c>
      <c r="S80" s="1"/>
      <c r="T80" s="1"/>
    </row>
    <row r="81" spans="1:20" x14ac:dyDescent="0.2">
      <c r="A81">
        <v>192</v>
      </c>
      <c r="D81" t="s">
        <v>141</v>
      </c>
      <c r="I81" t="s">
        <v>142</v>
      </c>
      <c r="R81" s="1">
        <v>-2981.04</v>
      </c>
      <c r="T81" s="1"/>
    </row>
    <row r="82" spans="1:20" x14ac:dyDescent="0.2">
      <c r="A82">
        <v>193</v>
      </c>
      <c r="D82" t="s">
        <v>143</v>
      </c>
      <c r="I82" t="s">
        <v>45</v>
      </c>
      <c r="R82" s="1">
        <v>-104.77</v>
      </c>
      <c r="S82" s="1"/>
      <c r="T82" s="1"/>
    </row>
    <row r="83" spans="1:20" x14ac:dyDescent="0.2">
      <c r="A83">
        <v>530</v>
      </c>
      <c r="D83" t="s">
        <v>214</v>
      </c>
      <c r="I83" t="s">
        <v>215</v>
      </c>
      <c r="R83" s="1">
        <v>-1356.59</v>
      </c>
      <c r="T83" s="1"/>
    </row>
    <row r="84" spans="1:20" x14ac:dyDescent="0.2">
      <c r="A84">
        <v>531</v>
      </c>
      <c r="D84" t="s">
        <v>216</v>
      </c>
      <c r="I84" t="s">
        <v>217</v>
      </c>
      <c r="R84" s="1">
        <v>-394.31</v>
      </c>
      <c r="S84" s="1"/>
      <c r="T84" s="1"/>
    </row>
    <row r="85" spans="1:20" x14ac:dyDescent="0.2">
      <c r="A85">
        <v>195</v>
      </c>
      <c r="D85" t="s">
        <v>144</v>
      </c>
      <c r="I85" t="s">
        <v>145</v>
      </c>
      <c r="R85" s="1">
        <v>-2563.71</v>
      </c>
      <c r="T85" s="1"/>
    </row>
    <row r="86" spans="1:20" x14ac:dyDescent="0.2">
      <c r="A86">
        <v>196</v>
      </c>
      <c r="D86" t="s">
        <v>146</v>
      </c>
      <c r="I86" t="s">
        <v>147</v>
      </c>
      <c r="R86" s="1">
        <v>-765.26</v>
      </c>
      <c r="T86" s="1"/>
    </row>
    <row r="87" spans="1:20" x14ac:dyDescent="0.2">
      <c r="A87">
        <v>197</v>
      </c>
      <c r="D87" t="s">
        <v>148</v>
      </c>
      <c r="I87" t="s">
        <v>149</v>
      </c>
      <c r="R87">
        <v>-95.68</v>
      </c>
      <c r="T87" s="1"/>
    </row>
    <row r="88" spans="1:20" x14ac:dyDescent="0.2">
      <c r="A88">
        <v>198</v>
      </c>
      <c r="D88" t="s">
        <v>236</v>
      </c>
      <c r="I88" t="s">
        <v>237</v>
      </c>
      <c r="R88">
        <v>-16.399999999999999</v>
      </c>
      <c r="T88" s="1"/>
    </row>
    <row r="89" spans="1:20" x14ac:dyDescent="0.2">
      <c r="A89">
        <v>499</v>
      </c>
      <c r="D89" t="s">
        <v>218</v>
      </c>
      <c r="I89" t="s">
        <v>219</v>
      </c>
      <c r="R89" s="1">
        <v>-8.9600000000000009</v>
      </c>
      <c r="S89" s="1"/>
      <c r="T89" s="1"/>
    </row>
    <row r="90" spans="1:20" x14ac:dyDescent="0.2">
      <c r="A90">
        <v>500</v>
      </c>
      <c r="D90" t="s">
        <v>220</v>
      </c>
      <c r="I90" t="s">
        <v>221</v>
      </c>
      <c r="R90" s="1">
        <v>1208.3399999999999</v>
      </c>
      <c r="T90" s="1"/>
    </row>
    <row r="91" spans="1:20" x14ac:dyDescent="0.2">
      <c r="A91">
        <v>501</v>
      </c>
      <c r="D91" t="s">
        <v>222</v>
      </c>
      <c r="I91" t="s">
        <v>223</v>
      </c>
      <c r="R91" s="1">
        <v>360.69</v>
      </c>
      <c r="T91" s="1"/>
    </row>
    <row r="92" spans="1:20" x14ac:dyDescent="0.2">
      <c r="A92">
        <v>522</v>
      </c>
      <c r="D92" t="s">
        <v>224</v>
      </c>
      <c r="I92" t="s">
        <v>225</v>
      </c>
      <c r="R92">
        <v>-105.67</v>
      </c>
      <c r="T92" s="1"/>
    </row>
    <row r="93" spans="1:20" x14ac:dyDescent="0.2">
      <c r="A93">
        <v>523</v>
      </c>
      <c r="D93" t="s">
        <v>226</v>
      </c>
      <c r="I93" t="s">
        <v>227</v>
      </c>
      <c r="R93" s="1">
        <v>-31.54</v>
      </c>
      <c r="T93" s="1"/>
    </row>
    <row r="94" spans="1:20" x14ac:dyDescent="0.2">
      <c r="A94">
        <v>524</v>
      </c>
      <c r="D94" t="s">
        <v>228</v>
      </c>
      <c r="I94" t="s">
        <v>229</v>
      </c>
      <c r="R94" s="1">
        <v>-3.94</v>
      </c>
      <c r="S94" s="1"/>
      <c r="T94" s="1"/>
    </row>
    <row r="95" spans="1:20" x14ac:dyDescent="0.2">
      <c r="A95">
        <v>200</v>
      </c>
      <c r="D95" t="s">
        <v>150</v>
      </c>
      <c r="I95" t="s">
        <v>15</v>
      </c>
      <c r="R95" s="1">
        <v>-2127.42</v>
      </c>
      <c r="T95" s="1"/>
    </row>
    <row r="96" spans="1:20" x14ac:dyDescent="0.2">
      <c r="A96">
        <v>201</v>
      </c>
      <c r="D96" t="s">
        <v>151</v>
      </c>
      <c r="I96" t="s">
        <v>152</v>
      </c>
      <c r="R96" s="1">
        <v>-1195.8800000000001</v>
      </c>
      <c r="S96" s="1"/>
      <c r="T96" s="1"/>
    </row>
    <row r="97" spans="1:20" x14ac:dyDescent="0.2">
      <c r="A97">
        <v>202</v>
      </c>
      <c r="D97" t="s">
        <v>153</v>
      </c>
      <c r="I97" t="s">
        <v>16</v>
      </c>
      <c r="R97" s="1">
        <v>-2876.37</v>
      </c>
      <c r="S97" s="1"/>
      <c r="T97" s="1"/>
    </row>
    <row r="98" spans="1:20" x14ac:dyDescent="0.2">
      <c r="A98">
        <v>203</v>
      </c>
      <c r="D98" t="s">
        <v>154</v>
      </c>
      <c r="I98" t="s">
        <v>17</v>
      </c>
      <c r="R98" s="1">
        <v>-1022.4</v>
      </c>
      <c r="S98" s="1"/>
      <c r="T98" s="1"/>
    </row>
    <row r="99" spans="1:20" x14ac:dyDescent="0.2">
      <c r="A99">
        <v>210</v>
      </c>
      <c r="D99" t="s">
        <v>155</v>
      </c>
      <c r="I99" t="s">
        <v>18</v>
      </c>
      <c r="R99" s="1">
        <v>-20478.599999999999</v>
      </c>
      <c r="S99" s="1"/>
      <c r="T99" s="1"/>
    </row>
    <row r="100" spans="1:20" x14ac:dyDescent="0.2">
      <c r="H100" t="s">
        <v>156</v>
      </c>
      <c r="R100" s="1">
        <v>-10029.67</v>
      </c>
      <c r="S100" s="1"/>
      <c r="T100" s="1"/>
    </row>
    <row r="101" spans="1:20" x14ac:dyDescent="0.2">
      <c r="A101">
        <v>229</v>
      </c>
      <c r="D101" t="s">
        <v>157</v>
      </c>
      <c r="I101" t="s">
        <v>28</v>
      </c>
      <c r="R101" s="1">
        <v>-10000</v>
      </c>
      <c r="S101" s="1"/>
      <c r="T101" s="1"/>
    </row>
    <row r="102" spans="1:20" x14ac:dyDescent="0.2">
      <c r="A102">
        <v>237</v>
      </c>
      <c r="D102" t="s">
        <v>158</v>
      </c>
      <c r="I102" t="s">
        <v>32</v>
      </c>
      <c r="R102" s="1">
        <v>-29.67</v>
      </c>
      <c r="S102" s="1"/>
      <c r="T102" s="1"/>
    </row>
    <row r="103" spans="1:20" x14ac:dyDescent="0.2">
      <c r="H103" t="s">
        <v>159</v>
      </c>
      <c r="R103" s="1">
        <v>-4519</v>
      </c>
      <c r="S103" s="1"/>
      <c r="T103" s="1"/>
    </row>
    <row r="104" spans="1:20" x14ac:dyDescent="0.2">
      <c r="A104">
        <v>214</v>
      </c>
      <c r="D104" t="s">
        <v>160</v>
      </c>
      <c r="I104" t="s">
        <v>21</v>
      </c>
      <c r="R104" s="1">
        <v>-4519</v>
      </c>
      <c r="S104" s="1"/>
      <c r="T104" s="1"/>
    </row>
    <row r="105" spans="1:20" x14ac:dyDescent="0.2">
      <c r="H105" t="s">
        <v>161</v>
      </c>
      <c r="R105" s="1">
        <v>-2954.27</v>
      </c>
      <c r="S105" s="1"/>
      <c r="T105" s="1"/>
    </row>
    <row r="106" spans="1:20" x14ac:dyDescent="0.2">
      <c r="A106">
        <v>217</v>
      </c>
      <c r="D106" t="s">
        <v>162</v>
      </c>
      <c r="I106" t="s">
        <v>23</v>
      </c>
      <c r="R106" s="1">
        <v>-2954.27</v>
      </c>
      <c r="S106" s="1"/>
      <c r="T106" s="1"/>
    </row>
    <row r="107" spans="1:20" x14ac:dyDescent="0.2">
      <c r="H107" t="s">
        <v>163</v>
      </c>
      <c r="R107" s="1">
        <v>-2435.4699999999998</v>
      </c>
      <c r="S107" s="1"/>
      <c r="T107" s="1"/>
    </row>
    <row r="108" spans="1:20" x14ac:dyDescent="0.2">
      <c r="A108">
        <v>233</v>
      </c>
      <c r="D108" t="s">
        <v>195</v>
      </c>
      <c r="I108" t="s">
        <v>50</v>
      </c>
      <c r="R108" s="1">
        <v>-2435.4699999999998</v>
      </c>
      <c r="S108" s="1"/>
      <c r="T108" s="1"/>
    </row>
    <row r="109" spans="1:20" x14ac:dyDescent="0.2">
      <c r="H109" t="s">
        <v>127</v>
      </c>
      <c r="R109" s="1">
        <v>-8517.58</v>
      </c>
      <c r="T109" s="1"/>
    </row>
    <row r="110" spans="1:20" x14ac:dyDescent="0.2">
      <c r="A110">
        <v>244</v>
      </c>
      <c r="D110" t="s">
        <v>165</v>
      </c>
      <c r="I110" t="s">
        <v>34</v>
      </c>
      <c r="R110" s="1">
        <v>-8517.58</v>
      </c>
      <c r="T110" s="1"/>
    </row>
    <row r="111" spans="1:20" x14ac:dyDescent="0.2">
      <c r="H111" t="s">
        <v>166</v>
      </c>
      <c r="R111" s="1">
        <v>-434.36</v>
      </c>
      <c r="S111" s="1"/>
      <c r="T111" s="1"/>
    </row>
    <row r="112" spans="1:20" x14ac:dyDescent="0.2">
      <c r="A112">
        <v>252</v>
      </c>
      <c r="D112" t="s">
        <v>167</v>
      </c>
      <c r="I112" t="s">
        <v>37</v>
      </c>
      <c r="R112" s="1">
        <v>-434.36</v>
      </c>
      <c r="T112" s="1"/>
    </row>
    <row r="113" spans="1:20" x14ac:dyDescent="0.2">
      <c r="H113" t="s">
        <v>129</v>
      </c>
      <c r="R113" s="1">
        <v>-8534.44</v>
      </c>
      <c r="T113" s="1"/>
    </row>
    <row r="114" spans="1:20" x14ac:dyDescent="0.2">
      <c r="A114">
        <v>213</v>
      </c>
      <c r="D114" t="s">
        <v>168</v>
      </c>
      <c r="I114" t="s">
        <v>20</v>
      </c>
      <c r="R114">
        <v>-886.08</v>
      </c>
      <c r="T114" s="1"/>
    </row>
    <row r="115" spans="1:20" x14ac:dyDescent="0.2">
      <c r="A115">
        <v>225</v>
      </c>
      <c r="D115" t="s">
        <v>170</v>
      </c>
      <c r="I115" t="s">
        <v>26</v>
      </c>
      <c r="R115">
        <v>-194.63</v>
      </c>
      <c r="T115" s="1"/>
    </row>
    <row r="116" spans="1:20" x14ac:dyDescent="0.2">
      <c r="A116">
        <v>227</v>
      </c>
      <c r="D116" t="s">
        <v>171</v>
      </c>
      <c r="I116" t="s">
        <v>27</v>
      </c>
      <c r="R116" s="1">
        <v>-483.78</v>
      </c>
      <c r="T116" s="1"/>
    </row>
    <row r="117" spans="1:20" x14ac:dyDescent="0.2">
      <c r="A117">
        <v>228</v>
      </c>
      <c r="D117" t="s">
        <v>190</v>
      </c>
      <c r="I117" t="s">
        <v>48</v>
      </c>
      <c r="R117" s="1">
        <v>-65.09</v>
      </c>
      <c r="T117" s="1"/>
    </row>
    <row r="118" spans="1:20" x14ac:dyDescent="0.2">
      <c r="A118">
        <v>231</v>
      </c>
      <c r="D118" t="s">
        <v>172</v>
      </c>
      <c r="I118" t="s">
        <v>29</v>
      </c>
      <c r="R118" s="1">
        <v>-1341.41</v>
      </c>
      <c r="S118" s="1"/>
      <c r="T118" s="1"/>
    </row>
    <row r="119" spans="1:20" x14ac:dyDescent="0.2">
      <c r="A119">
        <v>236</v>
      </c>
      <c r="D119" t="s">
        <v>173</v>
      </c>
      <c r="I119" t="s">
        <v>31</v>
      </c>
      <c r="R119" s="1">
        <v>-63.04</v>
      </c>
      <c r="S119" s="1"/>
      <c r="T119" s="1"/>
    </row>
    <row r="120" spans="1:20" x14ac:dyDescent="0.2">
      <c r="A120">
        <v>238</v>
      </c>
      <c r="D120" t="s">
        <v>174</v>
      </c>
      <c r="I120" t="s">
        <v>33</v>
      </c>
      <c r="R120" s="1">
        <v>-375</v>
      </c>
      <c r="T120" s="1"/>
    </row>
    <row r="121" spans="1:20" x14ac:dyDescent="0.2">
      <c r="A121">
        <v>243</v>
      </c>
      <c r="D121" t="s">
        <v>175</v>
      </c>
      <c r="I121" t="s">
        <v>176</v>
      </c>
      <c r="R121" s="1">
        <v>-2813.87</v>
      </c>
      <c r="S121" s="1"/>
      <c r="T121" s="1"/>
    </row>
    <row r="122" spans="1:20" x14ac:dyDescent="0.2">
      <c r="A122">
        <v>251</v>
      </c>
      <c r="D122" t="s">
        <v>177</v>
      </c>
      <c r="I122" t="s">
        <v>36</v>
      </c>
      <c r="R122" s="1">
        <v>-4.38</v>
      </c>
      <c r="S122" s="1"/>
      <c r="T122" s="1"/>
    </row>
    <row r="123" spans="1:20" x14ac:dyDescent="0.2">
      <c r="A123">
        <v>263</v>
      </c>
      <c r="D123" t="s">
        <v>179</v>
      </c>
      <c r="I123" t="s">
        <v>43</v>
      </c>
      <c r="R123" s="1">
        <v>-2307.16</v>
      </c>
      <c r="T123" s="1"/>
    </row>
    <row r="124" spans="1:20" x14ac:dyDescent="0.2">
      <c r="H124" t="s">
        <v>196</v>
      </c>
      <c r="R124" s="1">
        <v>-20497.98</v>
      </c>
      <c r="T124" s="1"/>
    </row>
    <row r="125" spans="1:20" x14ac:dyDescent="0.2">
      <c r="T125" s="1"/>
    </row>
    <row r="126" spans="1:20" x14ac:dyDescent="0.2">
      <c r="T126" s="1"/>
    </row>
    <row r="127" spans="1:20" x14ac:dyDescent="0.2">
      <c r="T127" s="1"/>
    </row>
    <row r="128" spans="1:20" x14ac:dyDescent="0.2">
      <c r="T128" s="1"/>
    </row>
    <row r="129" spans="20:20" x14ac:dyDescent="0.2">
      <c r="T129" s="1"/>
    </row>
    <row r="130" spans="20:20" x14ac:dyDescent="0.2">
      <c r="T130" s="1"/>
    </row>
    <row r="131" spans="20:20" x14ac:dyDescent="0.2">
      <c r="T131" s="1"/>
    </row>
    <row r="132" spans="20:20" x14ac:dyDescent="0.2">
      <c r="T132" s="1"/>
    </row>
    <row r="133" spans="20:20" x14ac:dyDescent="0.2">
      <c r="T133" s="1"/>
    </row>
    <row r="134" spans="20:20" x14ac:dyDescent="0.2">
      <c r="T134" s="1"/>
    </row>
    <row r="135" spans="20:20" x14ac:dyDescent="0.2">
      <c r="T135" s="1"/>
    </row>
    <row r="136" spans="20:20" x14ac:dyDescent="0.2">
      <c r="T136" s="1"/>
    </row>
    <row r="137" spans="20:20" x14ac:dyDescent="0.2">
      <c r="T137" s="1"/>
    </row>
    <row r="138" spans="20:20" x14ac:dyDescent="0.2">
      <c r="T138" s="1"/>
    </row>
    <row r="139" spans="20:20" x14ac:dyDescent="0.2">
      <c r="T139" s="1"/>
    </row>
    <row r="140" spans="20:20" x14ac:dyDescent="0.2">
      <c r="T140" s="1"/>
    </row>
    <row r="141" spans="20:20" x14ac:dyDescent="0.2">
      <c r="T141" s="1"/>
    </row>
    <row r="142" spans="20:20" x14ac:dyDescent="0.2">
      <c r="T142" s="1"/>
    </row>
    <row r="143" spans="20:20" x14ac:dyDescent="0.2">
      <c r="T143" s="1"/>
    </row>
    <row r="144" spans="20:20" x14ac:dyDescent="0.2">
      <c r="T144" s="1"/>
    </row>
    <row r="145" spans="20:20" x14ac:dyDescent="0.2">
      <c r="T145" s="1"/>
    </row>
    <row r="146" spans="20:20" x14ac:dyDescent="0.2">
      <c r="T146" s="1"/>
    </row>
    <row r="147" spans="20:20" x14ac:dyDescent="0.2">
      <c r="T147" s="1"/>
    </row>
    <row r="148" spans="20:20" x14ac:dyDescent="0.2">
      <c r="T148" s="1"/>
    </row>
    <row r="149" spans="20:20" x14ac:dyDescent="0.2">
      <c r="T149" s="1"/>
    </row>
    <row r="150" spans="20:20" x14ac:dyDescent="0.2">
      <c r="T150" s="1"/>
    </row>
    <row r="151" spans="20:20" x14ac:dyDescent="0.2">
      <c r="T151" s="1"/>
    </row>
    <row r="152" spans="20:20" x14ac:dyDescent="0.2">
      <c r="T152" s="1"/>
    </row>
    <row r="153" spans="20:20" x14ac:dyDescent="0.2">
      <c r="T153" s="1"/>
    </row>
    <row r="154" spans="20:20" x14ac:dyDescent="0.2">
      <c r="T154" s="1"/>
    </row>
    <row r="155" spans="20:20" x14ac:dyDescent="0.2">
      <c r="T155" s="1"/>
    </row>
    <row r="156" spans="20:20" x14ac:dyDescent="0.2">
      <c r="T156" s="1"/>
    </row>
    <row r="157" spans="20:20" x14ac:dyDescent="0.2">
      <c r="T157" s="1"/>
    </row>
    <row r="158" spans="20:20" x14ac:dyDescent="0.2">
      <c r="T158" s="1"/>
    </row>
    <row r="159" spans="20:20" x14ac:dyDescent="0.2">
      <c r="T159" s="1"/>
    </row>
    <row r="160" spans="20:20" x14ac:dyDescent="0.2">
      <c r="T160" s="1"/>
    </row>
    <row r="161" spans="20:20" x14ac:dyDescent="0.2">
      <c r="T161" s="1"/>
    </row>
    <row r="162" spans="20:20" x14ac:dyDescent="0.2">
      <c r="T162" s="1"/>
    </row>
    <row r="163" spans="20:20" x14ac:dyDescent="0.2">
      <c r="T163" s="1"/>
    </row>
    <row r="164" spans="20:20" x14ac:dyDescent="0.2">
      <c r="T164" s="1"/>
    </row>
    <row r="165" spans="20:20" x14ac:dyDescent="0.2">
      <c r="T165" s="1"/>
    </row>
    <row r="166" spans="20:20" x14ac:dyDescent="0.2">
      <c r="T166" s="1"/>
    </row>
    <row r="167" spans="20:20" x14ac:dyDescent="0.2">
      <c r="T167" s="1"/>
    </row>
    <row r="168" spans="20:20" x14ac:dyDescent="0.2">
      <c r="T168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2"/>
  <sheetViews>
    <sheetView workbookViewId="0">
      <selection sqref="A1:W127"/>
    </sheetView>
  </sheetViews>
  <sheetFormatPr baseColWidth="10" defaultColWidth="8.83203125" defaultRowHeight="15" x14ac:dyDescent="0.2"/>
  <cols>
    <col min="18" max="18" width="11" bestFit="1" customWidth="1"/>
  </cols>
  <sheetData>
    <row r="1" spans="1:18" x14ac:dyDescent="0.2">
      <c r="A1" t="s">
        <v>65</v>
      </c>
      <c r="D1" t="s">
        <v>66</v>
      </c>
      <c r="H1" t="s">
        <v>5</v>
      </c>
      <c r="R1" t="s">
        <v>6</v>
      </c>
    </row>
    <row r="2" spans="1:18" x14ac:dyDescent="0.2">
      <c r="H2" t="s">
        <v>67</v>
      </c>
      <c r="R2" s="1">
        <v>347333.52</v>
      </c>
    </row>
    <row r="3" spans="1:18" x14ac:dyDescent="0.2">
      <c r="A3">
        <v>860</v>
      </c>
      <c r="D3" t="s">
        <v>68</v>
      </c>
      <c r="I3" t="s">
        <v>69</v>
      </c>
      <c r="R3" s="1">
        <v>60852.57</v>
      </c>
    </row>
    <row r="4" spans="1:18" x14ac:dyDescent="0.2">
      <c r="A4">
        <v>861</v>
      </c>
      <c r="D4" t="s">
        <v>70</v>
      </c>
      <c r="I4" t="s">
        <v>71</v>
      </c>
      <c r="R4" s="1">
        <v>173821.57</v>
      </c>
    </row>
    <row r="5" spans="1:18" x14ac:dyDescent="0.2">
      <c r="A5">
        <v>862</v>
      </c>
      <c r="D5" t="s">
        <v>184</v>
      </c>
      <c r="I5" t="s">
        <v>185</v>
      </c>
      <c r="R5" s="1">
        <v>4466.5</v>
      </c>
    </row>
    <row r="6" spans="1:18" x14ac:dyDescent="0.2">
      <c r="A6">
        <v>865</v>
      </c>
      <c r="D6" t="s">
        <v>72</v>
      </c>
      <c r="I6" t="s">
        <v>73</v>
      </c>
      <c r="R6" s="1">
        <v>108192.88</v>
      </c>
    </row>
    <row r="7" spans="1:18" x14ac:dyDescent="0.2">
      <c r="H7" t="s">
        <v>74</v>
      </c>
      <c r="R7" s="1">
        <v>32617.49</v>
      </c>
    </row>
    <row r="8" spans="1:18" x14ac:dyDescent="0.2">
      <c r="A8">
        <v>863</v>
      </c>
      <c r="D8" t="s">
        <v>75</v>
      </c>
      <c r="I8" t="s">
        <v>76</v>
      </c>
      <c r="R8" s="1">
        <v>11271.66</v>
      </c>
    </row>
    <row r="9" spans="1:18" x14ac:dyDescent="0.2">
      <c r="A9">
        <v>864</v>
      </c>
      <c r="D9" t="s">
        <v>77</v>
      </c>
      <c r="I9" t="s">
        <v>78</v>
      </c>
      <c r="R9" s="1">
        <v>18965.25</v>
      </c>
    </row>
    <row r="10" spans="1:18" x14ac:dyDescent="0.2">
      <c r="A10">
        <v>866</v>
      </c>
      <c r="D10" t="s">
        <v>238</v>
      </c>
      <c r="I10" t="s">
        <v>239</v>
      </c>
      <c r="R10" s="1">
        <v>2281.66</v>
      </c>
    </row>
    <row r="11" spans="1:18" x14ac:dyDescent="0.2">
      <c r="A11">
        <v>867</v>
      </c>
      <c r="D11" t="s">
        <v>240</v>
      </c>
      <c r="I11" t="s">
        <v>241</v>
      </c>
      <c r="R11">
        <v>98.92</v>
      </c>
    </row>
    <row r="12" spans="1:18" x14ac:dyDescent="0.2">
      <c r="H12" t="s">
        <v>79</v>
      </c>
      <c r="R12" s="1">
        <v>379951.01</v>
      </c>
    </row>
    <row r="13" spans="1:18" x14ac:dyDescent="0.2">
      <c r="I13" t="s">
        <v>7</v>
      </c>
    </row>
    <row r="14" spans="1:18" x14ac:dyDescent="0.2">
      <c r="H14" t="s">
        <v>80</v>
      </c>
      <c r="R14" s="1">
        <v>-1607.93</v>
      </c>
    </row>
    <row r="15" spans="1:18" x14ac:dyDescent="0.2">
      <c r="A15">
        <v>166</v>
      </c>
      <c r="D15" t="s">
        <v>81</v>
      </c>
      <c r="I15" t="s">
        <v>10</v>
      </c>
      <c r="R15" s="1">
        <v>-1607.93</v>
      </c>
    </row>
    <row r="16" spans="1:18" x14ac:dyDescent="0.2">
      <c r="H16" t="s">
        <v>83</v>
      </c>
      <c r="R16" s="1">
        <v>378343.08</v>
      </c>
    </row>
    <row r="17" spans="1:18" x14ac:dyDescent="0.2">
      <c r="I17" t="s">
        <v>7</v>
      </c>
    </row>
    <row r="18" spans="1:18" x14ac:dyDescent="0.2">
      <c r="H18" t="s">
        <v>84</v>
      </c>
      <c r="R18" s="1">
        <v>26661.5</v>
      </c>
    </row>
    <row r="19" spans="1:18" x14ac:dyDescent="0.2">
      <c r="A19">
        <v>749</v>
      </c>
      <c r="D19" t="s">
        <v>85</v>
      </c>
      <c r="I19" t="s">
        <v>58</v>
      </c>
      <c r="R19" s="1">
        <v>26661.5</v>
      </c>
    </row>
    <row r="20" spans="1:18" x14ac:dyDescent="0.2">
      <c r="H20" t="s">
        <v>86</v>
      </c>
      <c r="R20" s="1">
        <v>405004.58</v>
      </c>
    </row>
    <row r="21" spans="1:18" x14ac:dyDescent="0.2">
      <c r="I21" t="s">
        <v>7</v>
      </c>
    </row>
    <row r="22" spans="1:18" x14ac:dyDescent="0.2">
      <c r="H22" t="s">
        <v>87</v>
      </c>
      <c r="R22" s="1">
        <v>-128709.05</v>
      </c>
    </row>
    <row r="23" spans="1:18" x14ac:dyDescent="0.2">
      <c r="A23">
        <v>162</v>
      </c>
      <c r="D23" t="s">
        <v>88</v>
      </c>
      <c r="I23" t="s">
        <v>8</v>
      </c>
      <c r="R23" s="1">
        <v>-126681.55</v>
      </c>
    </row>
    <row r="24" spans="1:18" x14ac:dyDescent="0.2">
      <c r="A24">
        <v>165</v>
      </c>
      <c r="D24" t="s">
        <v>89</v>
      </c>
      <c r="I24" t="s">
        <v>9</v>
      </c>
      <c r="R24" s="1">
        <v>-1895.08</v>
      </c>
    </row>
    <row r="25" spans="1:18" x14ac:dyDescent="0.2">
      <c r="A25">
        <v>170</v>
      </c>
      <c r="D25" t="s">
        <v>91</v>
      </c>
      <c r="I25" t="s">
        <v>92</v>
      </c>
      <c r="R25">
        <v>-132.41999999999999</v>
      </c>
    </row>
    <row r="26" spans="1:18" x14ac:dyDescent="0.2">
      <c r="H26" t="s">
        <v>93</v>
      </c>
      <c r="R26" s="1">
        <v>-128709.05</v>
      </c>
    </row>
    <row r="27" spans="1:18" x14ac:dyDescent="0.2">
      <c r="I27" t="s">
        <v>7</v>
      </c>
    </row>
    <row r="28" spans="1:18" x14ac:dyDescent="0.2">
      <c r="H28" t="s">
        <v>197</v>
      </c>
      <c r="R28">
        <v>4.16</v>
      </c>
    </row>
    <row r="29" spans="1:18" x14ac:dyDescent="0.2">
      <c r="A29">
        <v>135</v>
      </c>
      <c r="D29" t="s">
        <v>198</v>
      </c>
      <c r="I29" t="s">
        <v>59</v>
      </c>
      <c r="R29">
        <v>4.16</v>
      </c>
    </row>
    <row r="30" spans="1:18" x14ac:dyDescent="0.2">
      <c r="H30" t="s">
        <v>252</v>
      </c>
      <c r="R30" s="1">
        <v>8.9</v>
      </c>
    </row>
    <row r="31" spans="1:18" x14ac:dyDescent="0.2">
      <c r="A31">
        <v>159</v>
      </c>
      <c r="D31" t="s">
        <v>253</v>
      </c>
      <c r="I31" t="s">
        <v>252</v>
      </c>
      <c r="R31">
        <v>8.9</v>
      </c>
    </row>
    <row r="32" spans="1:18" x14ac:dyDescent="0.2">
      <c r="H32" t="s">
        <v>94</v>
      </c>
      <c r="R32" s="1">
        <v>276308.59000000003</v>
      </c>
    </row>
    <row r="33" spans="1:18" x14ac:dyDescent="0.2">
      <c r="I33" t="s">
        <v>7</v>
      </c>
      <c r="R33" s="1"/>
    </row>
    <row r="34" spans="1:18" x14ac:dyDescent="0.2">
      <c r="H34" t="s">
        <v>95</v>
      </c>
      <c r="R34" s="1">
        <v>-33737.160000000003</v>
      </c>
    </row>
    <row r="35" spans="1:18" x14ac:dyDescent="0.2">
      <c r="A35">
        <v>164</v>
      </c>
      <c r="D35" t="s">
        <v>96</v>
      </c>
      <c r="I35" t="s">
        <v>97</v>
      </c>
      <c r="R35" s="1">
        <v>-27086.720000000001</v>
      </c>
    </row>
    <row r="36" spans="1:18" x14ac:dyDescent="0.2">
      <c r="A36">
        <v>206</v>
      </c>
      <c r="D36" t="s">
        <v>98</v>
      </c>
      <c r="I36" t="s">
        <v>13</v>
      </c>
      <c r="R36" s="1">
        <v>-3650.44</v>
      </c>
    </row>
    <row r="37" spans="1:18" x14ac:dyDescent="0.2">
      <c r="A37">
        <v>207</v>
      </c>
      <c r="D37" t="s">
        <v>192</v>
      </c>
      <c r="I37" t="s">
        <v>14</v>
      </c>
      <c r="R37" s="1">
        <v>-3000</v>
      </c>
    </row>
    <row r="38" spans="1:18" x14ac:dyDescent="0.2">
      <c r="H38" t="s">
        <v>101</v>
      </c>
      <c r="R38" s="1">
        <v>-17952.990000000002</v>
      </c>
    </row>
    <row r="39" spans="1:18" x14ac:dyDescent="0.2">
      <c r="A39">
        <v>250</v>
      </c>
      <c r="D39" t="s">
        <v>102</v>
      </c>
      <c r="I39" t="s">
        <v>35</v>
      </c>
      <c r="R39">
        <v>-23.94</v>
      </c>
    </row>
    <row r="40" spans="1:18" x14ac:dyDescent="0.2">
      <c r="A40">
        <v>253</v>
      </c>
      <c r="D40" t="s">
        <v>103</v>
      </c>
      <c r="I40" t="s">
        <v>38</v>
      </c>
      <c r="R40" s="1">
        <v>-9031.48</v>
      </c>
    </row>
    <row r="41" spans="1:18" x14ac:dyDescent="0.2">
      <c r="A41">
        <v>651</v>
      </c>
      <c r="D41" t="s">
        <v>104</v>
      </c>
      <c r="I41" t="s">
        <v>39</v>
      </c>
      <c r="R41" s="1">
        <v>-822.32</v>
      </c>
    </row>
    <row r="42" spans="1:18" x14ac:dyDescent="0.2">
      <c r="A42">
        <v>653</v>
      </c>
      <c r="D42" t="s">
        <v>105</v>
      </c>
      <c r="I42" t="s">
        <v>40</v>
      </c>
      <c r="R42" s="1">
        <v>-53.09</v>
      </c>
    </row>
    <row r="43" spans="1:18" x14ac:dyDescent="0.2">
      <c r="A43">
        <v>654</v>
      </c>
      <c r="D43" t="s">
        <v>106</v>
      </c>
      <c r="I43" t="s">
        <v>41</v>
      </c>
      <c r="R43" s="1">
        <v>-8022.16</v>
      </c>
    </row>
    <row r="44" spans="1:18" x14ac:dyDescent="0.2">
      <c r="H44" t="s">
        <v>107</v>
      </c>
      <c r="R44" s="1">
        <v>-51690.15</v>
      </c>
    </row>
    <row r="45" spans="1:18" x14ac:dyDescent="0.2">
      <c r="I45" t="s">
        <v>7</v>
      </c>
    </row>
    <row r="46" spans="1:18" x14ac:dyDescent="0.2">
      <c r="H46" t="s">
        <v>108</v>
      </c>
      <c r="R46" s="1">
        <v>224618.44</v>
      </c>
    </row>
    <row r="47" spans="1:18" x14ac:dyDescent="0.2">
      <c r="I47" t="s">
        <v>7</v>
      </c>
    </row>
    <row r="48" spans="1:18" x14ac:dyDescent="0.2">
      <c r="H48" t="s">
        <v>109</v>
      </c>
      <c r="R48" s="1">
        <v>-88444.47</v>
      </c>
    </row>
    <row r="49" spans="1:18" x14ac:dyDescent="0.2">
      <c r="I49" t="s">
        <v>7</v>
      </c>
    </row>
    <row r="50" spans="1:18" x14ac:dyDescent="0.2">
      <c r="H50" t="s">
        <v>110</v>
      </c>
      <c r="R50" s="1">
        <v>-88444.47</v>
      </c>
    </row>
    <row r="51" spans="1:18" x14ac:dyDescent="0.2">
      <c r="I51" t="s">
        <v>7</v>
      </c>
      <c r="R51" s="1"/>
    </row>
    <row r="52" spans="1:18" x14ac:dyDescent="0.2">
      <c r="H52" t="s">
        <v>111</v>
      </c>
      <c r="R52" s="1">
        <v>-3214.9</v>
      </c>
    </row>
    <row r="53" spans="1:18" x14ac:dyDescent="0.2">
      <c r="A53">
        <v>182</v>
      </c>
      <c r="D53" t="s">
        <v>112</v>
      </c>
      <c r="I53" t="s">
        <v>54</v>
      </c>
      <c r="R53" s="1">
        <v>-3214.9</v>
      </c>
    </row>
    <row r="54" spans="1:18" x14ac:dyDescent="0.2">
      <c r="H54" t="s">
        <v>113</v>
      </c>
      <c r="R54" s="1">
        <v>-17126.060000000001</v>
      </c>
    </row>
    <row r="55" spans="1:18" x14ac:dyDescent="0.2">
      <c r="A55">
        <v>181</v>
      </c>
      <c r="D55" t="s">
        <v>114</v>
      </c>
      <c r="I55" t="s">
        <v>53</v>
      </c>
      <c r="R55" s="1">
        <v>-12626.8</v>
      </c>
    </row>
    <row r="56" spans="1:18" x14ac:dyDescent="0.2">
      <c r="A56">
        <v>188</v>
      </c>
      <c r="D56" t="s">
        <v>115</v>
      </c>
      <c r="I56" t="s">
        <v>116</v>
      </c>
      <c r="R56" s="1">
        <v>-8095.16</v>
      </c>
    </row>
    <row r="57" spans="1:18" x14ac:dyDescent="0.2">
      <c r="A57">
        <v>535</v>
      </c>
      <c r="D57" t="s">
        <v>199</v>
      </c>
      <c r="I57" t="s">
        <v>232</v>
      </c>
      <c r="R57" s="1">
        <v>4042.15</v>
      </c>
    </row>
    <row r="58" spans="1:18" x14ac:dyDescent="0.2">
      <c r="A58">
        <v>536</v>
      </c>
      <c r="D58" t="s">
        <v>200</v>
      </c>
      <c r="I58" t="s">
        <v>201</v>
      </c>
      <c r="R58" s="1">
        <v>-446.25</v>
      </c>
    </row>
    <row r="59" spans="1:18" x14ac:dyDescent="0.2">
      <c r="H59" t="s">
        <v>73</v>
      </c>
      <c r="R59" s="1">
        <v>-9887.76</v>
      </c>
    </row>
    <row r="60" spans="1:18" x14ac:dyDescent="0.2">
      <c r="A60">
        <v>184</v>
      </c>
      <c r="D60" t="s">
        <v>117</v>
      </c>
      <c r="I60" t="s">
        <v>57</v>
      </c>
      <c r="R60" s="1">
        <v>-9887.76</v>
      </c>
    </row>
    <row r="61" spans="1:18" x14ac:dyDescent="0.2">
      <c r="H61" t="s">
        <v>118</v>
      </c>
      <c r="R61" s="1">
        <v>-852.12</v>
      </c>
    </row>
    <row r="62" spans="1:18" x14ac:dyDescent="0.2">
      <c r="A62">
        <v>502</v>
      </c>
      <c r="D62" t="s">
        <v>119</v>
      </c>
      <c r="I62" t="s">
        <v>120</v>
      </c>
      <c r="R62" s="1">
        <v>-1601.59</v>
      </c>
    </row>
    <row r="63" spans="1:18" x14ac:dyDescent="0.2">
      <c r="A63">
        <v>503</v>
      </c>
      <c r="D63" t="s">
        <v>121</v>
      </c>
      <c r="I63" t="s">
        <v>122</v>
      </c>
      <c r="R63" s="1">
        <v>-478.08</v>
      </c>
    </row>
    <row r="64" spans="1:18" x14ac:dyDescent="0.2">
      <c r="A64">
        <v>504</v>
      </c>
      <c r="D64" t="s">
        <v>123</v>
      </c>
      <c r="I64" t="s">
        <v>124</v>
      </c>
      <c r="R64">
        <v>-59.76</v>
      </c>
    </row>
    <row r="65" spans="1:18" x14ac:dyDescent="0.2">
      <c r="A65">
        <v>505</v>
      </c>
      <c r="D65" t="s">
        <v>202</v>
      </c>
      <c r="I65" t="s">
        <v>203</v>
      </c>
      <c r="R65" s="1">
        <v>1083.28</v>
      </c>
    </row>
    <row r="66" spans="1:18" x14ac:dyDescent="0.2">
      <c r="A66">
        <v>506</v>
      </c>
      <c r="D66" t="s">
        <v>204</v>
      </c>
      <c r="I66" t="s">
        <v>205</v>
      </c>
      <c r="R66">
        <v>323.37</v>
      </c>
    </row>
    <row r="67" spans="1:18" x14ac:dyDescent="0.2">
      <c r="A67">
        <v>508</v>
      </c>
      <c r="D67" t="s">
        <v>206</v>
      </c>
      <c r="I67" t="s">
        <v>207</v>
      </c>
      <c r="R67" s="1">
        <v>40.42</v>
      </c>
    </row>
    <row r="68" spans="1:18" x14ac:dyDescent="0.2">
      <c r="A68">
        <v>527</v>
      </c>
      <c r="D68" t="s">
        <v>208</v>
      </c>
      <c r="I68" t="s">
        <v>209</v>
      </c>
      <c r="R68" s="1">
        <v>-119.6</v>
      </c>
    </row>
    <row r="69" spans="1:18" x14ac:dyDescent="0.2">
      <c r="A69">
        <v>528</v>
      </c>
      <c r="D69" t="s">
        <v>210</v>
      </c>
      <c r="I69" t="s">
        <v>211</v>
      </c>
      <c r="R69" s="1">
        <v>-35.700000000000003</v>
      </c>
    </row>
    <row r="70" spans="1:18" x14ac:dyDescent="0.2">
      <c r="A70">
        <v>529</v>
      </c>
      <c r="D70" t="s">
        <v>212</v>
      </c>
      <c r="I70" t="s">
        <v>213</v>
      </c>
      <c r="R70" s="1">
        <v>-4.46</v>
      </c>
    </row>
    <row r="71" spans="1:18" x14ac:dyDescent="0.2">
      <c r="H71" t="s">
        <v>182</v>
      </c>
      <c r="R71" s="1">
        <v>-7709.03</v>
      </c>
    </row>
    <row r="72" spans="1:18" x14ac:dyDescent="0.2">
      <c r="A72">
        <v>710</v>
      </c>
      <c r="D72" t="s">
        <v>128</v>
      </c>
      <c r="I72" t="s">
        <v>183</v>
      </c>
      <c r="R72" s="1">
        <v>-7709.03</v>
      </c>
    </row>
    <row r="73" spans="1:18" x14ac:dyDescent="0.2">
      <c r="H73" t="s">
        <v>181</v>
      </c>
      <c r="R73" s="1">
        <v>-26.8</v>
      </c>
    </row>
    <row r="74" spans="1:18" x14ac:dyDescent="0.2">
      <c r="A74">
        <v>711</v>
      </c>
      <c r="D74" t="s">
        <v>249</v>
      </c>
      <c r="I74" t="s">
        <v>30</v>
      </c>
      <c r="R74" s="1">
        <v>-26.8</v>
      </c>
    </row>
    <row r="75" spans="1:18" x14ac:dyDescent="0.2">
      <c r="H75" t="s">
        <v>130</v>
      </c>
      <c r="R75" s="1">
        <v>-49627.8</v>
      </c>
    </row>
    <row r="76" spans="1:18" x14ac:dyDescent="0.2">
      <c r="A76">
        <v>171</v>
      </c>
      <c r="D76" t="s">
        <v>131</v>
      </c>
      <c r="I76" t="s">
        <v>60</v>
      </c>
      <c r="R76" s="1">
        <v>-49627.8</v>
      </c>
    </row>
    <row r="77" spans="1:18" x14ac:dyDescent="0.2">
      <c r="H77" t="s">
        <v>133</v>
      </c>
      <c r="R77" s="1">
        <v>-99594.14</v>
      </c>
    </row>
    <row r="78" spans="1:18" x14ac:dyDescent="0.2">
      <c r="I78" t="s">
        <v>7</v>
      </c>
      <c r="R78" s="1"/>
    </row>
    <row r="79" spans="1:18" x14ac:dyDescent="0.2">
      <c r="H79" t="s">
        <v>134</v>
      </c>
      <c r="R79" s="1">
        <v>-63887.87</v>
      </c>
    </row>
    <row r="80" spans="1:18" x14ac:dyDescent="0.2">
      <c r="A80">
        <v>179</v>
      </c>
      <c r="D80" t="s">
        <v>233</v>
      </c>
      <c r="I80" t="s">
        <v>234</v>
      </c>
      <c r="R80" s="1">
        <v>-6750</v>
      </c>
    </row>
    <row r="81" spans="1:18" x14ac:dyDescent="0.2">
      <c r="A81">
        <v>180</v>
      </c>
      <c r="D81" t="s">
        <v>135</v>
      </c>
      <c r="I81" t="s">
        <v>52</v>
      </c>
      <c r="R81" s="1">
        <v>-19141.62</v>
      </c>
    </row>
    <row r="82" spans="1:18" x14ac:dyDescent="0.2">
      <c r="A82">
        <v>186</v>
      </c>
      <c r="D82" t="s">
        <v>187</v>
      </c>
      <c r="I82" t="s">
        <v>55</v>
      </c>
      <c r="R82" s="1">
        <v>-9900</v>
      </c>
    </row>
    <row r="83" spans="1:18" x14ac:dyDescent="0.2">
      <c r="A83">
        <v>187</v>
      </c>
      <c r="D83" t="s">
        <v>136</v>
      </c>
      <c r="I83" t="s">
        <v>56</v>
      </c>
      <c r="R83" s="1">
        <v>-9224.77</v>
      </c>
    </row>
    <row r="84" spans="1:18" x14ac:dyDescent="0.2">
      <c r="A84">
        <v>189</v>
      </c>
      <c r="D84" t="s">
        <v>137</v>
      </c>
      <c r="I84" t="s">
        <v>138</v>
      </c>
      <c r="R84" s="1">
        <v>-3822.34</v>
      </c>
    </row>
    <row r="85" spans="1:18" x14ac:dyDescent="0.2">
      <c r="A85">
        <v>190</v>
      </c>
      <c r="D85" t="s">
        <v>139</v>
      </c>
      <c r="I85" t="s">
        <v>140</v>
      </c>
      <c r="R85" s="1">
        <v>-1984.5</v>
      </c>
    </row>
    <row r="86" spans="1:18" x14ac:dyDescent="0.2">
      <c r="A86">
        <v>193</v>
      </c>
      <c r="D86" t="s">
        <v>143</v>
      </c>
      <c r="I86" t="s">
        <v>45</v>
      </c>
      <c r="R86" s="1">
        <v>-104.77</v>
      </c>
    </row>
    <row r="87" spans="1:18" x14ac:dyDescent="0.2">
      <c r="A87">
        <v>530</v>
      </c>
      <c r="D87" t="s">
        <v>214</v>
      </c>
      <c r="I87" t="s">
        <v>215</v>
      </c>
      <c r="R87" s="1">
        <v>-674.34</v>
      </c>
    </row>
    <row r="88" spans="1:18" x14ac:dyDescent="0.2">
      <c r="A88">
        <v>531</v>
      </c>
      <c r="D88" t="s">
        <v>216</v>
      </c>
      <c r="I88" t="s">
        <v>217</v>
      </c>
      <c r="R88" s="1">
        <v>-505.74</v>
      </c>
    </row>
    <row r="89" spans="1:18" x14ac:dyDescent="0.2">
      <c r="A89">
        <v>195</v>
      </c>
      <c r="D89" t="s">
        <v>144</v>
      </c>
      <c r="I89" t="s">
        <v>145</v>
      </c>
      <c r="R89" s="1">
        <v>-1674.48</v>
      </c>
    </row>
    <row r="90" spans="1:18" x14ac:dyDescent="0.2">
      <c r="A90">
        <v>196</v>
      </c>
      <c r="D90" t="s">
        <v>146</v>
      </c>
      <c r="I90" t="s">
        <v>147</v>
      </c>
      <c r="R90">
        <v>-499.85</v>
      </c>
    </row>
    <row r="91" spans="1:18" x14ac:dyDescent="0.2">
      <c r="A91">
        <v>197</v>
      </c>
      <c r="D91" t="s">
        <v>148</v>
      </c>
      <c r="I91" t="s">
        <v>149</v>
      </c>
      <c r="R91">
        <v>-62.49</v>
      </c>
    </row>
    <row r="92" spans="1:18" x14ac:dyDescent="0.2">
      <c r="A92">
        <v>499</v>
      </c>
      <c r="D92" t="s">
        <v>218</v>
      </c>
      <c r="I92" t="s">
        <v>219</v>
      </c>
      <c r="R92">
        <v>-6.75</v>
      </c>
    </row>
    <row r="93" spans="1:18" x14ac:dyDescent="0.2">
      <c r="A93">
        <v>500</v>
      </c>
      <c r="D93" t="s">
        <v>220</v>
      </c>
      <c r="I93" t="s">
        <v>221</v>
      </c>
      <c r="R93">
        <v>-180.72</v>
      </c>
    </row>
    <row r="94" spans="1:18" x14ac:dyDescent="0.2">
      <c r="A94">
        <v>501</v>
      </c>
      <c r="D94" t="s">
        <v>222</v>
      </c>
      <c r="I94" t="s">
        <v>223</v>
      </c>
      <c r="R94" s="1">
        <v>-53.94</v>
      </c>
    </row>
    <row r="95" spans="1:18" x14ac:dyDescent="0.2">
      <c r="A95">
        <v>522</v>
      </c>
      <c r="D95" t="s">
        <v>224</v>
      </c>
      <c r="I95" t="s">
        <v>225</v>
      </c>
      <c r="R95" s="1">
        <v>-135.55000000000001</v>
      </c>
    </row>
    <row r="96" spans="1:18" x14ac:dyDescent="0.2">
      <c r="A96">
        <v>523</v>
      </c>
      <c r="D96" t="s">
        <v>226</v>
      </c>
      <c r="I96" t="s">
        <v>227</v>
      </c>
      <c r="R96" s="1">
        <v>-40.46</v>
      </c>
    </row>
    <row r="97" spans="1:18" x14ac:dyDescent="0.2">
      <c r="A97">
        <v>524</v>
      </c>
      <c r="D97" t="s">
        <v>228</v>
      </c>
      <c r="I97" t="s">
        <v>229</v>
      </c>
      <c r="R97" s="1">
        <v>-5.0599999999999996</v>
      </c>
    </row>
    <row r="98" spans="1:18" x14ac:dyDescent="0.2">
      <c r="A98">
        <v>200</v>
      </c>
      <c r="D98" t="s">
        <v>150</v>
      </c>
      <c r="I98" t="s">
        <v>15</v>
      </c>
      <c r="R98" s="1">
        <v>-1750.78</v>
      </c>
    </row>
    <row r="99" spans="1:18" x14ac:dyDescent="0.2">
      <c r="A99">
        <v>201</v>
      </c>
      <c r="D99" t="s">
        <v>151</v>
      </c>
      <c r="I99" t="s">
        <v>152</v>
      </c>
      <c r="R99" s="1">
        <v>-2043.71</v>
      </c>
    </row>
    <row r="100" spans="1:18" x14ac:dyDescent="0.2">
      <c r="A100">
        <v>202</v>
      </c>
      <c r="D100" t="s">
        <v>153</v>
      </c>
      <c r="I100" t="s">
        <v>16</v>
      </c>
      <c r="R100" s="1">
        <v>-4896</v>
      </c>
    </row>
    <row r="101" spans="1:18" x14ac:dyDescent="0.2">
      <c r="A101">
        <v>203</v>
      </c>
      <c r="D101" t="s">
        <v>154</v>
      </c>
      <c r="I101" t="s">
        <v>17</v>
      </c>
      <c r="R101" s="1">
        <v>-430</v>
      </c>
    </row>
    <row r="102" spans="1:18" x14ac:dyDescent="0.2">
      <c r="H102" t="s">
        <v>156</v>
      </c>
      <c r="R102" s="1">
        <v>-10029.67</v>
      </c>
    </row>
    <row r="103" spans="1:18" x14ac:dyDescent="0.2">
      <c r="A103">
        <v>229</v>
      </c>
      <c r="D103" t="s">
        <v>157</v>
      </c>
      <c r="I103" t="s">
        <v>28</v>
      </c>
      <c r="R103" s="1">
        <v>-10000</v>
      </c>
    </row>
    <row r="104" spans="1:18" x14ac:dyDescent="0.2">
      <c r="A104">
        <v>237</v>
      </c>
      <c r="D104" t="s">
        <v>158</v>
      </c>
      <c r="I104" t="s">
        <v>32</v>
      </c>
      <c r="R104" s="1">
        <v>-29.67</v>
      </c>
    </row>
    <row r="105" spans="1:18" x14ac:dyDescent="0.2">
      <c r="H105" t="s">
        <v>159</v>
      </c>
      <c r="R105" s="1">
        <v>-4519</v>
      </c>
    </row>
    <row r="106" spans="1:18" x14ac:dyDescent="0.2">
      <c r="A106">
        <v>214</v>
      </c>
      <c r="D106" t="s">
        <v>160</v>
      </c>
      <c r="I106" t="s">
        <v>21</v>
      </c>
      <c r="R106" s="1">
        <v>-4519</v>
      </c>
    </row>
    <row r="107" spans="1:18" x14ac:dyDescent="0.2">
      <c r="H107" t="s">
        <v>161</v>
      </c>
      <c r="R107" s="1">
        <v>-360.59</v>
      </c>
    </row>
    <row r="108" spans="1:18" x14ac:dyDescent="0.2">
      <c r="A108">
        <v>217</v>
      </c>
      <c r="D108" t="s">
        <v>162</v>
      </c>
      <c r="I108" t="s">
        <v>23</v>
      </c>
      <c r="R108" s="1">
        <v>-360.59</v>
      </c>
    </row>
    <row r="109" spans="1:18" x14ac:dyDescent="0.2">
      <c r="H109" t="s">
        <v>163</v>
      </c>
      <c r="R109" s="1">
        <v>-3427.01</v>
      </c>
    </row>
    <row r="110" spans="1:18" x14ac:dyDescent="0.2">
      <c r="A110">
        <v>219</v>
      </c>
      <c r="D110" t="s">
        <v>194</v>
      </c>
      <c r="I110" t="s">
        <v>49</v>
      </c>
      <c r="R110" s="1">
        <v>-3133.06</v>
      </c>
    </row>
    <row r="111" spans="1:18" x14ac:dyDescent="0.2">
      <c r="A111">
        <v>220</v>
      </c>
      <c r="D111" t="s">
        <v>164</v>
      </c>
      <c r="I111" t="s">
        <v>24</v>
      </c>
      <c r="R111" s="1">
        <v>-153.96</v>
      </c>
    </row>
    <row r="112" spans="1:18" x14ac:dyDescent="0.2">
      <c r="A112">
        <v>233</v>
      </c>
      <c r="D112" t="s">
        <v>195</v>
      </c>
      <c r="I112" t="s">
        <v>50</v>
      </c>
      <c r="R112" s="1">
        <v>-139.99</v>
      </c>
    </row>
    <row r="113" spans="1:18" x14ac:dyDescent="0.2">
      <c r="H113" t="s">
        <v>127</v>
      </c>
      <c r="R113" s="1">
        <v>-10535.89</v>
      </c>
    </row>
    <row r="114" spans="1:18" x14ac:dyDescent="0.2">
      <c r="A114">
        <v>244</v>
      </c>
      <c r="D114" t="s">
        <v>165</v>
      </c>
      <c r="I114" t="s">
        <v>34</v>
      </c>
      <c r="R114" s="1">
        <v>-10535.89</v>
      </c>
    </row>
    <row r="115" spans="1:18" x14ac:dyDescent="0.2">
      <c r="H115" t="s">
        <v>166</v>
      </c>
      <c r="R115" s="1">
        <v>-406.88</v>
      </c>
    </row>
    <row r="116" spans="1:18" x14ac:dyDescent="0.2">
      <c r="A116">
        <v>252</v>
      </c>
      <c r="D116" t="s">
        <v>167</v>
      </c>
      <c r="I116" t="s">
        <v>37</v>
      </c>
      <c r="R116">
        <v>-406.88</v>
      </c>
    </row>
    <row r="117" spans="1:18" x14ac:dyDescent="0.2">
      <c r="H117" t="s">
        <v>129</v>
      </c>
      <c r="R117" s="1">
        <v>-6427.23</v>
      </c>
    </row>
    <row r="118" spans="1:18" x14ac:dyDescent="0.2">
      <c r="A118">
        <v>225</v>
      </c>
      <c r="D118" t="s">
        <v>170</v>
      </c>
      <c r="I118" t="s">
        <v>26</v>
      </c>
      <c r="R118" s="1">
        <v>-76.69</v>
      </c>
    </row>
    <row r="119" spans="1:18" x14ac:dyDescent="0.2">
      <c r="A119">
        <v>226</v>
      </c>
      <c r="D119" t="s">
        <v>242</v>
      </c>
      <c r="I119" t="s">
        <v>243</v>
      </c>
      <c r="R119" s="1">
        <v>-133</v>
      </c>
    </row>
    <row r="120" spans="1:18" x14ac:dyDescent="0.2">
      <c r="A120">
        <v>227</v>
      </c>
      <c r="D120" t="s">
        <v>171</v>
      </c>
      <c r="I120" t="s">
        <v>27</v>
      </c>
      <c r="R120" s="1">
        <v>-520</v>
      </c>
    </row>
    <row r="121" spans="1:18" x14ac:dyDescent="0.2">
      <c r="A121">
        <v>231</v>
      </c>
      <c r="D121" t="s">
        <v>172</v>
      </c>
      <c r="I121" t="s">
        <v>29</v>
      </c>
      <c r="R121" s="1">
        <v>-158.69999999999999</v>
      </c>
    </row>
    <row r="122" spans="1:18" x14ac:dyDescent="0.2">
      <c r="A122">
        <v>238</v>
      </c>
      <c r="D122" t="s">
        <v>174</v>
      </c>
      <c r="I122" t="s">
        <v>33</v>
      </c>
      <c r="R122" s="1">
        <v>-184.59</v>
      </c>
    </row>
    <row r="123" spans="1:18" x14ac:dyDescent="0.2">
      <c r="A123">
        <v>243</v>
      </c>
      <c r="D123" t="s">
        <v>175</v>
      </c>
      <c r="I123" t="s">
        <v>176</v>
      </c>
      <c r="R123" s="1">
        <v>-2845.12</v>
      </c>
    </row>
    <row r="124" spans="1:18" x14ac:dyDescent="0.2">
      <c r="A124">
        <v>251</v>
      </c>
      <c r="D124" t="s">
        <v>177</v>
      </c>
      <c r="I124" t="s">
        <v>36</v>
      </c>
      <c r="R124" s="1">
        <v>-51.17</v>
      </c>
    </row>
    <row r="125" spans="1:18" x14ac:dyDescent="0.2">
      <c r="A125">
        <v>255</v>
      </c>
      <c r="D125" t="s">
        <v>178</v>
      </c>
      <c r="I125" t="s">
        <v>42</v>
      </c>
      <c r="R125" s="1">
        <v>-2058.63</v>
      </c>
    </row>
    <row r="126" spans="1:18" x14ac:dyDescent="0.2">
      <c r="A126">
        <v>263</v>
      </c>
      <c r="D126" t="s">
        <v>179</v>
      </c>
      <c r="I126" t="s">
        <v>43</v>
      </c>
      <c r="R126" s="1">
        <v>-399.33</v>
      </c>
    </row>
    <row r="127" spans="1:18" x14ac:dyDescent="0.2">
      <c r="H127" t="s">
        <v>180</v>
      </c>
      <c r="R127" s="1">
        <v>36579.83</v>
      </c>
    </row>
    <row r="129" spans="18:18" x14ac:dyDescent="0.2">
      <c r="R129" s="1"/>
    </row>
    <row r="131" spans="18:18" x14ac:dyDescent="0.2">
      <c r="R131" s="1"/>
    </row>
    <row r="132" spans="18:18" x14ac:dyDescent="0.2">
      <c r="R132" s="1"/>
    </row>
    <row r="133" spans="18:18" x14ac:dyDescent="0.2">
      <c r="R133" s="1"/>
    </row>
    <row r="135" spans="18:18" x14ac:dyDescent="0.2">
      <c r="R135" s="1"/>
    </row>
    <row r="136" spans="18:18" x14ac:dyDescent="0.2">
      <c r="R136" s="1"/>
    </row>
    <row r="137" spans="18:18" x14ac:dyDescent="0.2">
      <c r="R137" s="1"/>
    </row>
    <row r="139" spans="18:18" x14ac:dyDescent="0.2">
      <c r="R139" s="1"/>
    </row>
    <row r="140" spans="18:18" x14ac:dyDescent="0.2">
      <c r="R140" s="1"/>
    </row>
    <row r="143" spans="18:18" x14ac:dyDescent="0.2">
      <c r="R143" s="1"/>
    </row>
    <row r="147" spans="18:18" x14ac:dyDescent="0.2">
      <c r="R147" s="1"/>
    </row>
    <row r="149" spans="18:18" x14ac:dyDescent="0.2">
      <c r="R149" s="1"/>
    </row>
    <row r="150" spans="18:18" x14ac:dyDescent="0.2">
      <c r="R150" s="1"/>
    </row>
    <row r="151" spans="18:18" x14ac:dyDescent="0.2">
      <c r="R151" s="1"/>
    </row>
    <row r="152" spans="18:18" x14ac:dyDescent="0.2">
      <c r="R152" s="1"/>
    </row>
    <row r="153" spans="18:18" x14ac:dyDescent="0.2">
      <c r="R153" s="1"/>
    </row>
    <row r="158" spans="18:18" x14ac:dyDescent="0.2">
      <c r="R158" s="1"/>
    </row>
    <row r="159" spans="18:18" x14ac:dyDescent="0.2">
      <c r="R159" s="1"/>
    </row>
    <row r="161" spans="18:18" x14ac:dyDescent="0.2">
      <c r="R161" s="1"/>
    </row>
    <row r="163" spans="18:18" x14ac:dyDescent="0.2">
      <c r="R163" s="1"/>
    </row>
    <row r="165" spans="18:18" x14ac:dyDescent="0.2">
      <c r="R165" s="1"/>
    </row>
    <row r="167" spans="18:18" x14ac:dyDescent="0.2">
      <c r="R167" s="1"/>
    </row>
    <row r="168" spans="18:18" x14ac:dyDescent="0.2">
      <c r="R168" s="1"/>
    </row>
    <row r="169" spans="18:18" x14ac:dyDescent="0.2">
      <c r="R169" s="1"/>
    </row>
    <row r="170" spans="18:18" x14ac:dyDescent="0.2">
      <c r="R170" s="1"/>
    </row>
    <row r="171" spans="18:18" x14ac:dyDescent="0.2">
      <c r="R171" s="1"/>
    </row>
    <row r="172" spans="18:18" x14ac:dyDescent="0.2">
      <c r="R172" s="1"/>
    </row>
    <row r="174" spans="18:18" x14ac:dyDescent="0.2">
      <c r="R174" s="1"/>
    </row>
    <row r="175" spans="18:18" x14ac:dyDescent="0.2">
      <c r="R175" s="1"/>
    </row>
    <row r="177" spans="18:18" x14ac:dyDescent="0.2">
      <c r="R177" s="1"/>
    </row>
    <row r="180" spans="18:18" x14ac:dyDescent="0.2">
      <c r="R180" s="1"/>
    </row>
    <row r="186" spans="18:18" x14ac:dyDescent="0.2">
      <c r="R186" s="1"/>
    </row>
    <row r="187" spans="18:18" x14ac:dyDescent="0.2">
      <c r="R187" s="1"/>
    </row>
    <row r="190" spans="18:18" x14ac:dyDescent="0.2">
      <c r="R190" s="1"/>
    </row>
    <row r="191" spans="18:18" x14ac:dyDescent="0.2">
      <c r="R191" s="1"/>
    </row>
    <row r="192" spans="18:18" x14ac:dyDescent="0.2">
      <c r="R192" s="1"/>
    </row>
    <row r="194" spans="18:18" x14ac:dyDescent="0.2">
      <c r="R194" s="1"/>
    </row>
    <row r="195" spans="18:18" x14ac:dyDescent="0.2">
      <c r="R195" s="1"/>
    </row>
    <row r="196" spans="18:18" x14ac:dyDescent="0.2">
      <c r="R196" s="1"/>
    </row>
    <row r="197" spans="18:18" x14ac:dyDescent="0.2">
      <c r="R197" s="1"/>
    </row>
    <row r="198" spans="18:18" x14ac:dyDescent="0.2">
      <c r="R198" s="1"/>
    </row>
    <row r="199" spans="18:18" x14ac:dyDescent="0.2">
      <c r="R199" s="1"/>
    </row>
    <row r="200" spans="18:18" x14ac:dyDescent="0.2">
      <c r="R200" s="1"/>
    </row>
    <row r="201" spans="18:18" x14ac:dyDescent="0.2">
      <c r="R201" s="1"/>
    </row>
    <row r="205" spans="18:18" x14ac:dyDescent="0.2">
      <c r="R205" s="1"/>
    </row>
    <row r="214" spans="18:18" x14ac:dyDescent="0.2">
      <c r="R214" s="1"/>
    </row>
    <row r="215" spans="18:18" x14ac:dyDescent="0.2">
      <c r="R215" s="1"/>
    </row>
    <row r="216" spans="18:18" x14ac:dyDescent="0.2">
      <c r="R216" s="1"/>
    </row>
    <row r="218" spans="18:18" x14ac:dyDescent="0.2">
      <c r="R218" s="1"/>
    </row>
    <row r="219" spans="18:18" x14ac:dyDescent="0.2">
      <c r="R219" s="1"/>
    </row>
    <row r="220" spans="18:18" x14ac:dyDescent="0.2">
      <c r="R220" s="1"/>
    </row>
    <row r="221" spans="18:18" x14ac:dyDescent="0.2">
      <c r="R221" s="1"/>
    </row>
    <row r="224" spans="18:18" x14ac:dyDescent="0.2">
      <c r="R224" s="1"/>
    </row>
    <row r="225" spans="18:18" x14ac:dyDescent="0.2">
      <c r="R225" s="1"/>
    </row>
    <row r="228" spans="18:18" x14ac:dyDescent="0.2">
      <c r="R228" s="1"/>
    </row>
    <row r="229" spans="18:18" x14ac:dyDescent="0.2">
      <c r="R229" s="1"/>
    </row>
    <row r="232" spans="18:18" x14ac:dyDescent="0.2">
      <c r="R232" s="1"/>
    </row>
    <row r="238" spans="18:18" x14ac:dyDescent="0.2">
      <c r="R238" s="1"/>
    </row>
    <row r="240" spans="18:18" x14ac:dyDescent="0.2">
      <c r="R240" s="1"/>
    </row>
    <row r="242" spans="18:18" x14ac:dyDescent="0.2">
      <c r="R242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2"/>
  <sheetViews>
    <sheetView workbookViewId="0">
      <selection sqref="A1:W132"/>
    </sheetView>
  </sheetViews>
  <sheetFormatPr baseColWidth="10" defaultColWidth="8.83203125" defaultRowHeight="15" x14ac:dyDescent="0.2"/>
  <cols>
    <col min="18" max="18" width="11" bestFit="1" customWidth="1"/>
  </cols>
  <sheetData>
    <row r="1" spans="1:18" ht="14.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18" ht="14.5" customHeight="1" x14ac:dyDescent="0.2">
      <c r="H2" t="s">
        <v>67</v>
      </c>
      <c r="R2" s="1">
        <v>316622.52</v>
      </c>
    </row>
    <row r="3" spans="1:18" x14ac:dyDescent="0.2">
      <c r="A3">
        <v>860</v>
      </c>
      <c r="D3" t="s">
        <v>68</v>
      </c>
      <c r="I3" t="s">
        <v>69</v>
      </c>
      <c r="R3" s="1">
        <v>60934.28</v>
      </c>
    </row>
    <row r="4" spans="1:18" ht="15" customHeight="1" x14ac:dyDescent="0.2">
      <c r="A4">
        <v>861</v>
      </c>
      <c r="D4" t="s">
        <v>70</v>
      </c>
      <c r="I4" t="s">
        <v>71</v>
      </c>
      <c r="R4" s="1">
        <v>158614.03</v>
      </c>
    </row>
    <row r="5" spans="1:18" x14ac:dyDescent="0.2">
      <c r="A5">
        <v>862</v>
      </c>
      <c r="D5" t="s">
        <v>184</v>
      </c>
      <c r="I5" t="s">
        <v>185</v>
      </c>
      <c r="R5" s="1">
        <v>193.79</v>
      </c>
    </row>
    <row r="6" spans="1:18" x14ac:dyDescent="0.2">
      <c r="A6">
        <v>865</v>
      </c>
      <c r="D6" t="s">
        <v>72</v>
      </c>
      <c r="I6" t="s">
        <v>73</v>
      </c>
      <c r="R6" s="1">
        <v>96573.67</v>
      </c>
    </row>
    <row r="7" spans="1:18" ht="15" customHeight="1" x14ac:dyDescent="0.2">
      <c r="A7">
        <v>868</v>
      </c>
      <c r="D7" t="s">
        <v>244</v>
      </c>
      <c r="I7" t="s">
        <v>245</v>
      </c>
      <c r="R7" s="1">
        <v>306.75</v>
      </c>
    </row>
    <row r="8" spans="1:18" ht="14.5" customHeight="1" x14ac:dyDescent="0.2">
      <c r="H8" t="s">
        <v>74</v>
      </c>
      <c r="R8" s="1">
        <v>52521.49</v>
      </c>
    </row>
    <row r="9" spans="1:18" x14ac:dyDescent="0.2">
      <c r="A9">
        <v>863</v>
      </c>
      <c r="D9" t="s">
        <v>75</v>
      </c>
      <c r="I9" t="s">
        <v>76</v>
      </c>
      <c r="R9" s="1">
        <v>5295.83</v>
      </c>
    </row>
    <row r="10" spans="1:18" ht="14.5" customHeight="1" x14ac:dyDescent="0.2">
      <c r="A10">
        <v>864</v>
      </c>
      <c r="D10" t="s">
        <v>77</v>
      </c>
      <c r="I10" t="s">
        <v>78</v>
      </c>
      <c r="R10" s="1">
        <v>26286.41</v>
      </c>
    </row>
    <row r="11" spans="1:18" x14ac:dyDescent="0.2">
      <c r="A11">
        <v>866</v>
      </c>
      <c r="D11" t="s">
        <v>238</v>
      </c>
      <c r="I11" t="s">
        <v>239</v>
      </c>
      <c r="R11" s="1">
        <v>20939.25</v>
      </c>
    </row>
    <row r="12" spans="1:18" ht="14.5" customHeight="1" x14ac:dyDescent="0.2">
      <c r="H12" t="s">
        <v>79</v>
      </c>
      <c r="R12" s="1">
        <v>369144.01</v>
      </c>
    </row>
    <row r="13" spans="1:18" x14ac:dyDescent="0.2">
      <c r="I13" t="s">
        <v>7</v>
      </c>
    </row>
    <row r="14" spans="1:18" ht="14.5" customHeight="1" x14ac:dyDescent="0.2">
      <c r="H14" t="s">
        <v>80</v>
      </c>
      <c r="R14" s="1">
        <v>-3996.41</v>
      </c>
    </row>
    <row r="15" spans="1:18" ht="14.5" customHeight="1" x14ac:dyDescent="0.2">
      <c r="A15">
        <v>166</v>
      </c>
      <c r="D15" t="s">
        <v>81</v>
      </c>
      <c r="I15" t="s">
        <v>10</v>
      </c>
      <c r="R15" s="1">
        <v>-3996.41</v>
      </c>
    </row>
    <row r="16" spans="1:18" ht="14.5" customHeight="1" x14ac:dyDescent="0.2">
      <c r="H16" t="s">
        <v>83</v>
      </c>
      <c r="R16" s="1">
        <v>365147.6</v>
      </c>
    </row>
    <row r="17" spans="1:18" x14ac:dyDescent="0.2">
      <c r="I17" t="s">
        <v>7</v>
      </c>
    </row>
    <row r="18" spans="1:18" ht="14.5" customHeight="1" x14ac:dyDescent="0.2">
      <c r="H18" t="s">
        <v>84</v>
      </c>
      <c r="R18" s="1">
        <v>25319.27</v>
      </c>
    </row>
    <row r="19" spans="1:18" ht="14.5" customHeight="1" x14ac:dyDescent="0.2">
      <c r="A19">
        <v>749</v>
      </c>
      <c r="D19" t="s">
        <v>85</v>
      </c>
      <c r="I19" t="s">
        <v>58</v>
      </c>
      <c r="R19" s="1">
        <v>25319.27</v>
      </c>
    </row>
    <row r="20" spans="1:18" ht="14.5" customHeight="1" x14ac:dyDescent="0.2">
      <c r="H20" t="s">
        <v>86</v>
      </c>
      <c r="R20" s="1">
        <v>390466.87</v>
      </c>
    </row>
    <row r="21" spans="1:18" x14ac:dyDescent="0.2">
      <c r="I21" t="s">
        <v>7</v>
      </c>
    </row>
    <row r="22" spans="1:18" ht="14.5" customHeight="1" x14ac:dyDescent="0.2">
      <c r="H22" t="s">
        <v>87</v>
      </c>
      <c r="R22" s="1">
        <v>-119343.78</v>
      </c>
    </row>
    <row r="23" spans="1:18" ht="14.5" customHeight="1" x14ac:dyDescent="0.2">
      <c r="A23">
        <v>162</v>
      </c>
      <c r="D23" t="s">
        <v>88</v>
      </c>
      <c r="I23" t="s">
        <v>8</v>
      </c>
      <c r="R23" s="1">
        <v>-116012.28</v>
      </c>
    </row>
    <row r="24" spans="1:18" ht="14.5" customHeight="1" x14ac:dyDescent="0.2">
      <c r="A24">
        <v>165</v>
      </c>
      <c r="D24" t="s">
        <v>89</v>
      </c>
      <c r="I24" t="s">
        <v>9</v>
      </c>
      <c r="R24" s="1">
        <v>-2867.37</v>
      </c>
    </row>
    <row r="25" spans="1:18" ht="14.5" customHeight="1" x14ac:dyDescent="0.2">
      <c r="A25">
        <v>170</v>
      </c>
      <c r="D25" t="s">
        <v>91</v>
      </c>
      <c r="I25" t="s">
        <v>92</v>
      </c>
      <c r="R25" s="1">
        <v>-464.13</v>
      </c>
    </row>
    <row r="26" spans="1:18" ht="15" customHeight="1" x14ac:dyDescent="0.2">
      <c r="H26" t="s">
        <v>93</v>
      </c>
      <c r="R26" s="1">
        <v>-119343.78</v>
      </c>
    </row>
    <row r="27" spans="1:18" ht="14.5" customHeight="1" x14ac:dyDescent="0.2">
      <c r="I27" t="s">
        <v>7</v>
      </c>
    </row>
    <row r="28" spans="1:18" ht="14.5" customHeight="1" x14ac:dyDescent="0.2">
      <c r="H28" t="s">
        <v>197</v>
      </c>
      <c r="R28">
        <v>0.76</v>
      </c>
    </row>
    <row r="29" spans="1:18" ht="14.5" customHeight="1" x14ac:dyDescent="0.2">
      <c r="A29">
        <v>135</v>
      </c>
      <c r="D29" t="s">
        <v>198</v>
      </c>
      <c r="I29" t="s">
        <v>59</v>
      </c>
      <c r="R29" s="1">
        <v>0.76</v>
      </c>
    </row>
    <row r="30" spans="1:18" ht="15" customHeight="1" x14ac:dyDescent="0.2">
      <c r="H30" t="s">
        <v>252</v>
      </c>
      <c r="R30" s="1">
        <v>78.94</v>
      </c>
    </row>
    <row r="31" spans="1:18" ht="14.5" customHeight="1" x14ac:dyDescent="0.2">
      <c r="A31">
        <v>159</v>
      </c>
      <c r="D31" t="s">
        <v>253</v>
      </c>
      <c r="I31" t="s">
        <v>252</v>
      </c>
      <c r="R31" s="1">
        <v>78.94</v>
      </c>
    </row>
    <row r="32" spans="1:18" ht="14.5" customHeight="1" x14ac:dyDescent="0.2">
      <c r="H32" t="s">
        <v>94</v>
      </c>
      <c r="R32" s="1">
        <v>271202.78999999998</v>
      </c>
    </row>
    <row r="33" spans="1:18" ht="14.5" customHeight="1" x14ac:dyDescent="0.2">
      <c r="I33" t="s">
        <v>7</v>
      </c>
      <c r="R33" s="1"/>
    </row>
    <row r="34" spans="1:18" ht="14.5" customHeight="1" x14ac:dyDescent="0.2">
      <c r="H34" t="s">
        <v>95</v>
      </c>
      <c r="R34" s="1">
        <v>-29155.49</v>
      </c>
    </row>
    <row r="35" spans="1:18" ht="14.5" customHeight="1" x14ac:dyDescent="0.2">
      <c r="A35">
        <v>164</v>
      </c>
      <c r="D35" t="s">
        <v>96</v>
      </c>
      <c r="I35" t="s">
        <v>97</v>
      </c>
      <c r="R35" s="1">
        <v>-25733.24</v>
      </c>
    </row>
    <row r="36" spans="1:18" ht="14.5" customHeight="1" x14ac:dyDescent="0.2">
      <c r="A36">
        <v>206</v>
      </c>
      <c r="D36" t="s">
        <v>98</v>
      </c>
      <c r="I36" t="s">
        <v>13</v>
      </c>
      <c r="R36" s="1">
        <v>-104.79</v>
      </c>
    </row>
    <row r="37" spans="1:18" ht="14.5" customHeight="1" x14ac:dyDescent="0.2">
      <c r="A37">
        <v>207</v>
      </c>
      <c r="D37" t="s">
        <v>192</v>
      </c>
      <c r="I37" t="s">
        <v>14</v>
      </c>
      <c r="R37" s="1">
        <v>-750</v>
      </c>
    </row>
    <row r="38" spans="1:18" ht="14.5" customHeight="1" x14ac:dyDescent="0.2">
      <c r="A38">
        <v>224</v>
      </c>
      <c r="D38" t="s">
        <v>100</v>
      </c>
      <c r="I38" t="s">
        <v>25</v>
      </c>
      <c r="R38" s="1">
        <v>-2567.46</v>
      </c>
    </row>
    <row r="39" spans="1:18" ht="14.5" customHeight="1" x14ac:dyDescent="0.2">
      <c r="H39" t="s">
        <v>101</v>
      </c>
      <c r="R39" s="1">
        <v>-26613.38</v>
      </c>
    </row>
    <row r="40" spans="1:18" ht="14.5" customHeight="1" x14ac:dyDescent="0.2">
      <c r="A40">
        <v>250</v>
      </c>
      <c r="D40" t="s">
        <v>102</v>
      </c>
      <c r="I40" t="s">
        <v>35</v>
      </c>
      <c r="R40" s="1">
        <v>-8.06</v>
      </c>
    </row>
    <row r="41" spans="1:18" ht="14.5" customHeight="1" x14ac:dyDescent="0.2">
      <c r="A41">
        <v>253</v>
      </c>
      <c r="D41" t="s">
        <v>103</v>
      </c>
      <c r="I41" t="s">
        <v>38</v>
      </c>
      <c r="R41" s="1">
        <v>-19449.37</v>
      </c>
    </row>
    <row r="42" spans="1:18" ht="15" customHeight="1" x14ac:dyDescent="0.2">
      <c r="A42">
        <v>651</v>
      </c>
      <c r="D42" t="s">
        <v>104</v>
      </c>
      <c r="I42" t="s">
        <v>39</v>
      </c>
      <c r="R42" s="1">
        <v>-359.72</v>
      </c>
    </row>
    <row r="43" spans="1:18" ht="14.5" customHeight="1" x14ac:dyDescent="0.2">
      <c r="A43">
        <v>653</v>
      </c>
      <c r="D43" t="s">
        <v>105</v>
      </c>
      <c r="I43" t="s">
        <v>40</v>
      </c>
      <c r="R43" s="1">
        <v>-60.02</v>
      </c>
    </row>
    <row r="44" spans="1:18" ht="15" customHeight="1" x14ac:dyDescent="0.2">
      <c r="A44">
        <v>654</v>
      </c>
      <c r="D44" t="s">
        <v>106</v>
      </c>
      <c r="I44" t="s">
        <v>41</v>
      </c>
      <c r="R44" s="1">
        <v>-6736.21</v>
      </c>
    </row>
    <row r="45" spans="1:18" ht="14.5" customHeight="1" x14ac:dyDescent="0.2">
      <c r="H45" t="s">
        <v>107</v>
      </c>
      <c r="R45" s="1">
        <v>-55768.87</v>
      </c>
    </row>
    <row r="46" spans="1:18" ht="15" customHeight="1" x14ac:dyDescent="0.2">
      <c r="I46" t="s">
        <v>7</v>
      </c>
      <c r="R46" s="1"/>
    </row>
    <row r="47" spans="1:18" ht="14.5" customHeight="1" x14ac:dyDescent="0.2">
      <c r="H47" t="s">
        <v>108</v>
      </c>
      <c r="R47" s="1">
        <v>215433.92</v>
      </c>
    </row>
    <row r="48" spans="1:18" ht="15" customHeight="1" x14ac:dyDescent="0.2">
      <c r="I48" t="s">
        <v>7</v>
      </c>
      <c r="R48" s="1"/>
    </row>
    <row r="49" spans="1:18" ht="14.5" customHeight="1" x14ac:dyDescent="0.2">
      <c r="H49" t="s">
        <v>109</v>
      </c>
      <c r="R49" s="1">
        <v>-82166.97</v>
      </c>
    </row>
    <row r="50" spans="1:18" ht="14.5" customHeight="1" x14ac:dyDescent="0.2">
      <c r="I50" t="s">
        <v>7</v>
      </c>
      <c r="R50" s="1"/>
    </row>
    <row r="51" spans="1:18" ht="14.5" customHeight="1" x14ac:dyDescent="0.2">
      <c r="H51" t="s">
        <v>110</v>
      </c>
      <c r="R51" s="1">
        <v>-82166.97</v>
      </c>
    </row>
    <row r="52" spans="1:18" ht="14.5" customHeight="1" x14ac:dyDescent="0.2">
      <c r="I52" t="s">
        <v>7</v>
      </c>
      <c r="R52" s="1"/>
    </row>
    <row r="53" spans="1:18" ht="14.5" customHeight="1" x14ac:dyDescent="0.2">
      <c r="H53" t="s">
        <v>111</v>
      </c>
      <c r="R53" s="1">
        <v>-1951.3</v>
      </c>
    </row>
    <row r="54" spans="1:18" ht="14.5" customHeight="1" x14ac:dyDescent="0.2">
      <c r="A54">
        <v>182</v>
      </c>
      <c r="D54" t="s">
        <v>112</v>
      </c>
      <c r="I54" t="s">
        <v>54</v>
      </c>
      <c r="R54" s="1">
        <v>-1951.3</v>
      </c>
    </row>
    <row r="55" spans="1:18" ht="14.5" customHeight="1" x14ac:dyDescent="0.2">
      <c r="H55" t="s">
        <v>113</v>
      </c>
      <c r="R55" s="1">
        <v>-18460.04</v>
      </c>
    </row>
    <row r="56" spans="1:18" ht="15" customHeight="1" x14ac:dyDescent="0.2">
      <c r="A56">
        <v>181</v>
      </c>
      <c r="D56" t="s">
        <v>114</v>
      </c>
      <c r="I56" t="s">
        <v>53</v>
      </c>
      <c r="R56" s="1">
        <v>-12266.8</v>
      </c>
    </row>
    <row r="57" spans="1:18" x14ac:dyDescent="0.2">
      <c r="A57">
        <v>188</v>
      </c>
      <c r="D57" t="s">
        <v>115</v>
      </c>
      <c r="I57" t="s">
        <v>116</v>
      </c>
      <c r="R57" s="1">
        <v>-4906.99</v>
      </c>
    </row>
    <row r="58" spans="1:18" ht="14.5" customHeight="1" x14ac:dyDescent="0.2">
      <c r="A58">
        <v>535</v>
      </c>
      <c r="D58" t="s">
        <v>199</v>
      </c>
      <c r="I58" t="s">
        <v>232</v>
      </c>
      <c r="R58" s="1">
        <v>-840</v>
      </c>
    </row>
    <row r="59" spans="1:18" ht="14.5" customHeight="1" x14ac:dyDescent="0.2">
      <c r="A59">
        <v>536</v>
      </c>
      <c r="D59" t="s">
        <v>200</v>
      </c>
      <c r="I59" t="s">
        <v>201</v>
      </c>
      <c r="R59" s="1">
        <v>-446.25</v>
      </c>
    </row>
    <row r="60" spans="1:18" ht="14.5" customHeight="1" x14ac:dyDescent="0.2">
      <c r="H60" t="s">
        <v>73</v>
      </c>
      <c r="R60" s="1">
        <v>-6270</v>
      </c>
    </row>
    <row r="61" spans="1:18" ht="14.5" customHeight="1" x14ac:dyDescent="0.2">
      <c r="A61">
        <v>184</v>
      </c>
      <c r="D61" t="s">
        <v>117</v>
      </c>
      <c r="I61" t="s">
        <v>57</v>
      </c>
      <c r="R61" s="1">
        <v>-6270</v>
      </c>
    </row>
    <row r="62" spans="1:18" ht="14.5" customHeight="1" x14ac:dyDescent="0.2">
      <c r="H62" t="s">
        <v>118</v>
      </c>
      <c r="R62" s="1">
        <v>-2451.69</v>
      </c>
    </row>
    <row r="63" spans="1:18" ht="14.5" customHeight="1" x14ac:dyDescent="0.2">
      <c r="A63">
        <v>502</v>
      </c>
      <c r="D63" t="s">
        <v>119</v>
      </c>
      <c r="I63" t="s">
        <v>120</v>
      </c>
      <c r="R63" s="1">
        <v>-1490.62</v>
      </c>
    </row>
    <row r="64" spans="1:18" ht="14.5" customHeight="1" x14ac:dyDescent="0.2">
      <c r="A64">
        <v>503</v>
      </c>
      <c r="D64" t="s">
        <v>121</v>
      </c>
      <c r="I64" t="s">
        <v>122</v>
      </c>
      <c r="R64">
        <v>-444.96</v>
      </c>
    </row>
    <row r="65" spans="1:18" ht="14.5" customHeight="1" x14ac:dyDescent="0.2">
      <c r="A65">
        <v>504</v>
      </c>
      <c r="D65" t="s">
        <v>123</v>
      </c>
      <c r="I65" t="s">
        <v>124</v>
      </c>
      <c r="R65" s="1">
        <v>-55.62</v>
      </c>
    </row>
    <row r="66" spans="1:18" ht="14.5" customHeight="1" x14ac:dyDescent="0.2">
      <c r="A66">
        <v>505</v>
      </c>
      <c r="D66" t="s">
        <v>202</v>
      </c>
      <c r="I66" t="s">
        <v>203</v>
      </c>
      <c r="R66" s="1">
        <v>-225.12</v>
      </c>
    </row>
    <row r="67" spans="1:18" ht="14.5" customHeight="1" x14ac:dyDescent="0.2">
      <c r="A67">
        <v>506</v>
      </c>
      <c r="D67" t="s">
        <v>204</v>
      </c>
      <c r="I67" t="s">
        <v>205</v>
      </c>
      <c r="R67" s="1">
        <v>-67.2</v>
      </c>
    </row>
    <row r="68" spans="1:18" ht="14.5" customHeight="1" x14ac:dyDescent="0.2">
      <c r="A68">
        <v>508</v>
      </c>
      <c r="D68" t="s">
        <v>206</v>
      </c>
      <c r="I68" t="s">
        <v>207</v>
      </c>
      <c r="R68" s="1">
        <v>-8.4</v>
      </c>
    </row>
    <row r="69" spans="1:18" ht="14.5" customHeight="1" x14ac:dyDescent="0.2">
      <c r="A69">
        <v>527</v>
      </c>
      <c r="D69" t="s">
        <v>208</v>
      </c>
      <c r="I69" t="s">
        <v>209</v>
      </c>
      <c r="R69" s="1">
        <v>-119.6</v>
      </c>
    </row>
    <row r="70" spans="1:18" ht="14.5" customHeight="1" x14ac:dyDescent="0.2">
      <c r="A70">
        <v>528</v>
      </c>
      <c r="D70" t="s">
        <v>210</v>
      </c>
      <c r="I70" t="s">
        <v>211</v>
      </c>
      <c r="R70" s="1">
        <v>-35.700000000000003</v>
      </c>
    </row>
    <row r="71" spans="1:18" ht="14.5" customHeight="1" x14ac:dyDescent="0.2">
      <c r="A71">
        <v>529</v>
      </c>
      <c r="D71" t="s">
        <v>212</v>
      </c>
      <c r="I71" t="s">
        <v>213</v>
      </c>
      <c r="R71" s="1">
        <v>-4.47</v>
      </c>
    </row>
    <row r="72" spans="1:18" ht="14.5" customHeight="1" x14ac:dyDescent="0.2">
      <c r="H72" t="s">
        <v>182</v>
      </c>
      <c r="R72" s="1">
        <v>-3094.37</v>
      </c>
    </row>
    <row r="73" spans="1:18" ht="14.5" customHeight="1" x14ac:dyDescent="0.2">
      <c r="A73">
        <v>710</v>
      </c>
      <c r="D73" t="s">
        <v>128</v>
      </c>
      <c r="I73" t="s">
        <v>183</v>
      </c>
      <c r="R73" s="1">
        <v>-3094.37</v>
      </c>
    </row>
    <row r="74" spans="1:18" ht="14.5" customHeight="1" x14ac:dyDescent="0.2">
      <c r="H74" t="s">
        <v>181</v>
      </c>
      <c r="R74" s="1">
        <v>-1218.93</v>
      </c>
    </row>
    <row r="75" spans="1:18" ht="14.5" customHeight="1" x14ac:dyDescent="0.2">
      <c r="A75">
        <v>247</v>
      </c>
      <c r="D75" t="s">
        <v>193</v>
      </c>
      <c r="I75" t="s">
        <v>51</v>
      </c>
      <c r="R75" s="1">
        <v>-1000</v>
      </c>
    </row>
    <row r="76" spans="1:18" ht="14.5" customHeight="1" x14ac:dyDescent="0.2">
      <c r="A76">
        <v>711</v>
      </c>
      <c r="D76" t="s">
        <v>249</v>
      </c>
      <c r="I76" t="s">
        <v>30</v>
      </c>
      <c r="R76" s="1">
        <v>-218.93</v>
      </c>
    </row>
    <row r="77" spans="1:18" ht="14.5" customHeight="1" x14ac:dyDescent="0.2">
      <c r="H77" t="s">
        <v>130</v>
      </c>
      <c r="R77" s="1">
        <v>-48720.639999999999</v>
      </c>
    </row>
    <row r="78" spans="1:18" ht="15" customHeight="1" x14ac:dyDescent="0.2">
      <c r="A78">
        <v>171</v>
      </c>
      <c r="D78" t="s">
        <v>131</v>
      </c>
      <c r="I78" t="s">
        <v>60</v>
      </c>
      <c r="R78" s="1">
        <v>-47548.800000000003</v>
      </c>
    </row>
    <row r="79" spans="1:18" ht="14.5" customHeight="1" x14ac:dyDescent="0.2">
      <c r="A79">
        <v>245</v>
      </c>
      <c r="D79" t="s">
        <v>132</v>
      </c>
      <c r="I79" t="s">
        <v>191</v>
      </c>
      <c r="R79" s="1">
        <v>-1064.04</v>
      </c>
    </row>
    <row r="80" spans="1:18" ht="14.5" customHeight="1" x14ac:dyDescent="0.2">
      <c r="A80">
        <v>709</v>
      </c>
      <c r="D80" t="s">
        <v>250</v>
      </c>
      <c r="I80" t="s">
        <v>186</v>
      </c>
      <c r="R80" s="1">
        <v>-107.8</v>
      </c>
    </row>
    <row r="81" spans="1:18" ht="14.5" customHeight="1" x14ac:dyDescent="0.2">
      <c r="H81" t="s">
        <v>133</v>
      </c>
      <c r="R81" s="1">
        <v>-114685.31</v>
      </c>
    </row>
    <row r="82" spans="1:18" ht="14.5" customHeight="1" x14ac:dyDescent="0.2">
      <c r="I82" t="s">
        <v>7</v>
      </c>
      <c r="R82" s="1"/>
    </row>
    <row r="83" spans="1:18" ht="14.5" customHeight="1" x14ac:dyDescent="0.2">
      <c r="H83" t="s">
        <v>134</v>
      </c>
      <c r="R83" s="1">
        <v>-68959.91</v>
      </c>
    </row>
    <row r="84" spans="1:18" ht="14.5" customHeight="1" x14ac:dyDescent="0.2">
      <c r="A84">
        <v>179</v>
      </c>
      <c r="D84" t="s">
        <v>233</v>
      </c>
      <c r="I84" t="s">
        <v>234</v>
      </c>
      <c r="R84" s="1">
        <v>-6750</v>
      </c>
    </row>
    <row r="85" spans="1:18" ht="14.5" customHeight="1" x14ac:dyDescent="0.2">
      <c r="A85">
        <v>180</v>
      </c>
      <c r="D85" t="s">
        <v>135</v>
      </c>
      <c r="I85" t="s">
        <v>52</v>
      </c>
      <c r="R85" s="1">
        <v>-19141.62</v>
      </c>
    </row>
    <row r="86" spans="1:18" ht="14.5" customHeight="1" x14ac:dyDescent="0.2">
      <c r="A86">
        <v>186</v>
      </c>
      <c r="D86" t="s">
        <v>187</v>
      </c>
      <c r="I86" t="s">
        <v>55</v>
      </c>
      <c r="R86" s="1">
        <v>-9300</v>
      </c>
    </row>
    <row r="87" spans="1:18" x14ac:dyDescent="0.2">
      <c r="A87">
        <v>187</v>
      </c>
      <c r="D87" t="s">
        <v>136</v>
      </c>
      <c r="I87" t="s">
        <v>56</v>
      </c>
      <c r="R87" s="1">
        <v>-9224.77</v>
      </c>
    </row>
    <row r="88" spans="1:18" ht="14.5" customHeight="1" x14ac:dyDescent="0.2">
      <c r="A88">
        <v>189</v>
      </c>
      <c r="D88" t="s">
        <v>137</v>
      </c>
      <c r="I88" t="s">
        <v>138</v>
      </c>
      <c r="R88" s="1">
        <v>-6069</v>
      </c>
    </row>
    <row r="89" spans="1:18" ht="14.5" customHeight="1" x14ac:dyDescent="0.2">
      <c r="A89">
        <v>190</v>
      </c>
      <c r="D89" t="s">
        <v>139</v>
      </c>
      <c r="I89" t="s">
        <v>140</v>
      </c>
      <c r="R89" s="1">
        <v>-1984.5</v>
      </c>
    </row>
    <row r="90" spans="1:18" ht="14.5" customHeight="1" x14ac:dyDescent="0.2">
      <c r="A90">
        <v>193</v>
      </c>
      <c r="D90" t="s">
        <v>143</v>
      </c>
      <c r="I90" t="s">
        <v>45</v>
      </c>
      <c r="R90" s="1">
        <v>-104.77</v>
      </c>
    </row>
    <row r="91" spans="1:18" ht="14.5" customHeight="1" x14ac:dyDescent="0.2">
      <c r="A91">
        <v>530</v>
      </c>
      <c r="D91" t="s">
        <v>214</v>
      </c>
      <c r="I91" t="s">
        <v>215</v>
      </c>
      <c r="R91" s="1">
        <v>-894.84</v>
      </c>
    </row>
    <row r="92" spans="1:18" ht="14.5" customHeight="1" x14ac:dyDescent="0.2">
      <c r="A92">
        <v>531</v>
      </c>
      <c r="D92" t="s">
        <v>216</v>
      </c>
      <c r="I92" t="s">
        <v>217</v>
      </c>
      <c r="R92" s="1">
        <v>-671.13</v>
      </c>
    </row>
    <row r="93" spans="1:18" ht="14.5" customHeight="1" x14ac:dyDescent="0.2">
      <c r="A93">
        <v>195</v>
      </c>
      <c r="D93" t="s">
        <v>144</v>
      </c>
      <c r="I93" t="s">
        <v>145</v>
      </c>
      <c r="R93" s="1">
        <v>-2158.31</v>
      </c>
    </row>
    <row r="94" spans="1:18" ht="14.5" customHeight="1" x14ac:dyDescent="0.2">
      <c r="A94">
        <v>196</v>
      </c>
      <c r="D94" t="s">
        <v>146</v>
      </c>
      <c r="I94" t="s">
        <v>147</v>
      </c>
      <c r="R94">
        <v>-644.28</v>
      </c>
    </row>
    <row r="95" spans="1:18" ht="14.5" customHeight="1" x14ac:dyDescent="0.2">
      <c r="A95">
        <v>197</v>
      </c>
      <c r="D95" t="s">
        <v>148</v>
      </c>
      <c r="I95" t="s">
        <v>149</v>
      </c>
      <c r="R95">
        <v>-80.53</v>
      </c>
    </row>
    <row r="96" spans="1:18" ht="14.5" customHeight="1" x14ac:dyDescent="0.2">
      <c r="A96">
        <v>499</v>
      </c>
      <c r="D96" t="s">
        <v>218</v>
      </c>
      <c r="I96" t="s">
        <v>219</v>
      </c>
      <c r="R96">
        <v>-8.9499999999999993</v>
      </c>
    </row>
    <row r="97" spans="1:18" ht="14.5" customHeight="1" x14ac:dyDescent="0.2">
      <c r="A97">
        <v>500</v>
      </c>
      <c r="D97" t="s">
        <v>220</v>
      </c>
      <c r="I97" t="s">
        <v>221</v>
      </c>
      <c r="R97">
        <v>-239.81</v>
      </c>
    </row>
    <row r="98" spans="1:18" ht="14.5" customHeight="1" x14ac:dyDescent="0.2">
      <c r="A98">
        <v>501</v>
      </c>
      <c r="D98" t="s">
        <v>222</v>
      </c>
      <c r="I98" t="s">
        <v>223</v>
      </c>
      <c r="R98" s="1">
        <v>-71.59</v>
      </c>
    </row>
    <row r="99" spans="1:18" ht="14.5" customHeight="1" x14ac:dyDescent="0.2">
      <c r="A99">
        <v>522</v>
      </c>
      <c r="D99" t="s">
        <v>224</v>
      </c>
      <c r="I99" t="s">
        <v>225</v>
      </c>
      <c r="R99" s="1">
        <v>-179.85</v>
      </c>
    </row>
    <row r="100" spans="1:18" ht="14.5" customHeight="1" x14ac:dyDescent="0.2">
      <c r="A100">
        <v>523</v>
      </c>
      <c r="D100" t="s">
        <v>226</v>
      </c>
      <c r="I100" t="s">
        <v>227</v>
      </c>
      <c r="R100" s="1">
        <v>-53.69</v>
      </c>
    </row>
    <row r="101" spans="1:18" ht="14.5" customHeight="1" x14ac:dyDescent="0.2">
      <c r="A101">
        <v>524</v>
      </c>
      <c r="D101" t="s">
        <v>228</v>
      </c>
      <c r="I101" t="s">
        <v>229</v>
      </c>
      <c r="R101" s="1">
        <v>-6.71</v>
      </c>
    </row>
    <row r="102" spans="1:18" ht="14.5" customHeight="1" x14ac:dyDescent="0.2">
      <c r="A102">
        <v>200</v>
      </c>
      <c r="D102" t="s">
        <v>150</v>
      </c>
      <c r="I102" t="s">
        <v>15</v>
      </c>
      <c r="R102" s="1">
        <v>-2556.4</v>
      </c>
    </row>
    <row r="103" spans="1:18" ht="14.5" customHeight="1" x14ac:dyDescent="0.2">
      <c r="A103">
        <v>201</v>
      </c>
      <c r="D103" t="s">
        <v>151</v>
      </c>
      <c r="I103" t="s">
        <v>152</v>
      </c>
      <c r="R103" s="1">
        <v>-1487.79</v>
      </c>
    </row>
    <row r="104" spans="1:18" ht="14.5" customHeight="1" x14ac:dyDescent="0.2">
      <c r="A104">
        <v>202</v>
      </c>
      <c r="D104" t="s">
        <v>153</v>
      </c>
      <c r="I104" t="s">
        <v>16</v>
      </c>
      <c r="R104" s="1">
        <v>-4224</v>
      </c>
    </row>
    <row r="105" spans="1:18" x14ac:dyDescent="0.2">
      <c r="A105">
        <v>203</v>
      </c>
      <c r="D105" t="s">
        <v>154</v>
      </c>
      <c r="I105" t="s">
        <v>17</v>
      </c>
      <c r="R105" s="1">
        <v>-1290</v>
      </c>
    </row>
    <row r="106" spans="1:18" ht="14.5" customHeight="1" x14ac:dyDescent="0.2">
      <c r="A106">
        <v>210</v>
      </c>
      <c r="D106" t="s">
        <v>155</v>
      </c>
      <c r="I106" t="s">
        <v>18</v>
      </c>
      <c r="R106" s="1">
        <v>-1817.37</v>
      </c>
    </row>
    <row r="107" spans="1:18" ht="14.5" customHeight="1" x14ac:dyDescent="0.2">
      <c r="H107" t="s">
        <v>156</v>
      </c>
      <c r="R107" s="1">
        <v>-10042.27</v>
      </c>
    </row>
    <row r="108" spans="1:18" ht="14.5" customHeight="1" x14ac:dyDescent="0.2">
      <c r="A108">
        <v>229</v>
      </c>
      <c r="D108" t="s">
        <v>157</v>
      </c>
      <c r="I108" t="s">
        <v>28</v>
      </c>
      <c r="R108" s="1">
        <v>-10000</v>
      </c>
    </row>
    <row r="109" spans="1:18" ht="14.5" customHeight="1" x14ac:dyDescent="0.2">
      <c r="A109">
        <v>237</v>
      </c>
      <c r="D109" t="s">
        <v>158</v>
      </c>
      <c r="I109" t="s">
        <v>32</v>
      </c>
      <c r="R109" s="1">
        <v>-42.27</v>
      </c>
    </row>
    <row r="110" spans="1:18" ht="14.5" customHeight="1" x14ac:dyDescent="0.2">
      <c r="H110" t="s">
        <v>159</v>
      </c>
      <c r="R110" s="1">
        <v>-4519</v>
      </c>
    </row>
    <row r="111" spans="1:18" ht="14.5" customHeight="1" x14ac:dyDescent="0.2">
      <c r="A111">
        <v>214</v>
      </c>
      <c r="D111" t="s">
        <v>160</v>
      </c>
      <c r="I111" t="s">
        <v>21</v>
      </c>
      <c r="R111" s="1">
        <v>-4519</v>
      </c>
    </row>
    <row r="112" spans="1:18" ht="14.5" customHeight="1" x14ac:dyDescent="0.2">
      <c r="H112" t="s">
        <v>161</v>
      </c>
      <c r="R112" s="1">
        <v>-2837.89</v>
      </c>
    </row>
    <row r="113" spans="1:18" ht="14.5" customHeight="1" x14ac:dyDescent="0.2">
      <c r="A113">
        <v>217</v>
      </c>
      <c r="D113" t="s">
        <v>162</v>
      </c>
      <c r="I113" t="s">
        <v>23</v>
      </c>
      <c r="R113" s="1">
        <v>-2837.89</v>
      </c>
    </row>
    <row r="114" spans="1:18" x14ac:dyDescent="0.2">
      <c r="H114" t="s">
        <v>163</v>
      </c>
      <c r="R114" s="1">
        <v>-3736.53</v>
      </c>
    </row>
    <row r="115" spans="1:18" ht="14.5" customHeight="1" x14ac:dyDescent="0.2">
      <c r="A115">
        <v>219</v>
      </c>
      <c r="D115" t="s">
        <v>194</v>
      </c>
      <c r="I115" t="s">
        <v>49</v>
      </c>
      <c r="R115" s="1">
        <v>-3230.75</v>
      </c>
    </row>
    <row r="116" spans="1:18" ht="14.5" customHeight="1" x14ac:dyDescent="0.2">
      <c r="A116">
        <v>220</v>
      </c>
      <c r="D116" t="s">
        <v>164</v>
      </c>
      <c r="I116" t="s">
        <v>24</v>
      </c>
      <c r="R116" s="1">
        <v>-153.96</v>
      </c>
    </row>
    <row r="117" spans="1:18" ht="14.5" customHeight="1" x14ac:dyDescent="0.2">
      <c r="A117">
        <v>233</v>
      </c>
      <c r="D117" t="s">
        <v>195</v>
      </c>
      <c r="I117" t="s">
        <v>50</v>
      </c>
      <c r="R117" s="1">
        <v>-351.82</v>
      </c>
    </row>
    <row r="118" spans="1:18" ht="14.5" customHeight="1" x14ac:dyDescent="0.2">
      <c r="H118" t="s">
        <v>127</v>
      </c>
      <c r="R118" s="1">
        <v>-13672.22</v>
      </c>
    </row>
    <row r="119" spans="1:18" x14ac:dyDescent="0.2">
      <c r="A119">
        <v>244</v>
      </c>
      <c r="D119" t="s">
        <v>165</v>
      </c>
      <c r="I119" t="s">
        <v>34</v>
      </c>
      <c r="R119" s="1">
        <v>-13672.22</v>
      </c>
    </row>
    <row r="120" spans="1:18" ht="14.5" customHeight="1" x14ac:dyDescent="0.2">
      <c r="H120" t="s">
        <v>166</v>
      </c>
      <c r="R120" s="1">
        <v>-312.43</v>
      </c>
    </row>
    <row r="121" spans="1:18" ht="14.5" customHeight="1" x14ac:dyDescent="0.2">
      <c r="A121">
        <v>252</v>
      </c>
      <c r="D121" t="s">
        <v>167</v>
      </c>
      <c r="I121" t="s">
        <v>37</v>
      </c>
      <c r="R121" s="1">
        <v>-312.43</v>
      </c>
    </row>
    <row r="122" spans="1:18" ht="14.5" customHeight="1" x14ac:dyDescent="0.2">
      <c r="H122" t="s">
        <v>129</v>
      </c>
      <c r="R122" s="1">
        <v>-10605.06</v>
      </c>
    </row>
    <row r="123" spans="1:18" ht="14.5" customHeight="1" x14ac:dyDescent="0.2">
      <c r="A123">
        <v>213</v>
      </c>
      <c r="D123" t="s">
        <v>168</v>
      </c>
      <c r="I123" t="s">
        <v>20</v>
      </c>
      <c r="R123" s="1">
        <v>-59.87</v>
      </c>
    </row>
    <row r="124" spans="1:18" x14ac:dyDescent="0.2">
      <c r="A124">
        <v>215</v>
      </c>
      <c r="D124" t="s">
        <v>230</v>
      </c>
      <c r="I124" t="s">
        <v>61</v>
      </c>
      <c r="R124" s="1">
        <v>-340.4</v>
      </c>
    </row>
    <row r="125" spans="1:18" ht="14.5" customHeight="1" x14ac:dyDescent="0.2">
      <c r="A125">
        <v>222</v>
      </c>
      <c r="D125" t="s">
        <v>189</v>
      </c>
      <c r="I125" t="s">
        <v>47</v>
      </c>
      <c r="R125" s="1">
        <v>-2868.36</v>
      </c>
    </row>
    <row r="126" spans="1:18" ht="14.5" customHeight="1" x14ac:dyDescent="0.2">
      <c r="A126">
        <v>225</v>
      </c>
      <c r="D126" t="s">
        <v>170</v>
      </c>
      <c r="I126" t="s">
        <v>26</v>
      </c>
      <c r="R126" s="1">
        <v>-634.53</v>
      </c>
    </row>
    <row r="127" spans="1:18" ht="14.5" customHeight="1" x14ac:dyDescent="0.2">
      <c r="A127">
        <v>226</v>
      </c>
      <c r="D127" t="s">
        <v>242</v>
      </c>
      <c r="I127" t="s">
        <v>243</v>
      </c>
      <c r="R127" s="1">
        <v>-133</v>
      </c>
    </row>
    <row r="128" spans="1:18" ht="14.5" customHeight="1" x14ac:dyDescent="0.2">
      <c r="A128">
        <v>238</v>
      </c>
      <c r="D128" t="s">
        <v>174</v>
      </c>
      <c r="I128" t="s">
        <v>33</v>
      </c>
      <c r="R128" s="1">
        <v>-505.96</v>
      </c>
    </row>
    <row r="129" spans="1:18" ht="14.5" customHeight="1" x14ac:dyDescent="0.2">
      <c r="A129">
        <v>243</v>
      </c>
      <c r="D129" t="s">
        <v>175</v>
      </c>
      <c r="I129" t="s">
        <v>176</v>
      </c>
      <c r="R129" s="1">
        <v>-2845.12</v>
      </c>
    </row>
    <row r="130" spans="1:18" x14ac:dyDescent="0.2">
      <c r="A130">
        <v>251</v>
      </c>
      <c r="D130" t="s">
        <v>177</v>
      </c>
      <c r="I130" t="s">
        <v>36</v>
      </c>
      <c r="R130" s="1">
        <v>-29.32</v>
      </c>
    </row>
    <row r="131" spans="1:18" x14ac:dyDescent="0.2">
      <c r="A131">
        <v>263</v>
      </c>
      <c r="D131" t="s">
        <v>179</v>
      </c>
      <c r="I131" t="s">
        <v>43</v>
      </c>
      <c r="R131" s="1">
        <v>-3188.5</v>
      </c>
    </row>
    <row r="132" spans="1:18" x14ac:dyDescent="0.2">
      <c r="H132" t="s">
        <v>180</v>
      </c>
      <c r="R132" s="1">
        <v>18581.64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33"/>
  <sheetViews>
    <sheetView workbookViewId="0">
      <selection sqref="A1:W133"/>
    </sheetView>
  </sheetViews>
  <sheetFormatPr baseColWidth="10" defaultColWidth="8.83203125" defaultRowHeight="15" x14ac:dyDescent="0.2"/>
  <cols>
    <col min="18" max="18" width="11" bestFit="1" customWidth="1"/>
  </cols>
  <sheetData>
    <row r="1" spans="1:18" x14ac:dyDescent="0.2">
      <c r="A1" t="s">
        <v>65</v>
      </c>
      <c r="D1" t="s">
        <v>66</v>
      </c>
      <c r="H1" t="s">
        <v>5</v>
      </c>
      <c r="R1" t="s">
        <v>6</v>
      </c>
    </row>
    <row r="2" spans="1:18" x14ac:dyDescent="0.2">
      <c r="H2" t="s">
        <v>67</v>
      </c>
      <c r="R2" s="1">
        <v>393480.25</v>
      </c>
    </row>
    <row r="3" spans="1:18" x14ac:dyDescent="0.2">
      <c r="A3">
        <v>860</v>
      </c>
      <c r="D3" t="s">
        <v>68</v>
      </c>
      <c r="I3" t="s">
        <v>69</v>
      </c>
      <c r="R3" s="1">
        <v>67772.31</v>
      </c>
    </row>
    <row r="4" spans="1:18" x14ac:dyDescent="0.2">
      <c r="A4">
        <v>861</v>
      </c>
      <c r="D4" t="s">
        <v>70</v>
      </c>
      <c r="I4" t="s">
        <v>71</v>
      </c>
      <c r="R4" s="1">
        <v>183185.27</v>
      </c>
    </row>
    <row r="5" spans="1:18" x14ac:dyDescent="0.2">
      <c r="A5">
        <v>862</v>
      </c>
      <c r="D5" t="s">
        <v>184</v>
      </c>
      <c r="I5" t="s">
        <v>185</v>
      </c>
      <c r="R5" s="1">
        <v>5920.9</v>
      </c>
    </row>
    <row r="6" spans="1:18" x14ac:dyDescent="0.2">
      <c r="A6">
        <v>865</v>
      </c>
      <c r="D6" t="s">
        <v>72</v>
      </c>
      <c r="I6" t="s">
        <v>73</v>
      </c>
      <c r="R6" s="1">
        <v>132362.67000000001</v>
      </c>
    </row>
    <row r="7" spans="1:18" x14ac:dyDescent="0.2">
      <c r="A7">
        <v>868</v>
      </c>
      <c r="D7" t="s">
        <v>244</v>
      </c>
      <c r="I7" t="s">
        <v>245</v>
      </c>
      <c r="R7" s="1">
        <v>4239.1000000000004</v>
      </c>
    </row>
    <row r="8" spans="1:18" x14ac:dyDescent="0.2">
      <c r="H8" t="s">
        <v>74</v>
      </c>
      <c r="R8" s="1">
        <v>102348.89</v>
      </c>
    </row>
    <row r="9" spans="1:18" x14ac:dyDescent="0.2">
      <c r="A9">
        <v>863</v>
      </c>
      <c r="D9" t="s">
        <v>75</v>
      </c>
      <c r="I9" t="s">
        <v>76</v>
      </c>
      <c r="R9" s="1">
        <v>12708.58</v>
      </c>
    </row>
    <row r="10" spans="1:18" x14ac:dyDescent="0.2">
      <c r="A10">
        <v>864</v>
      </c>
      <c r="D10" t="s">
        <v>77</v>
      </c>
      <c r="I10" t="s">
        <v>78</v>
      </c>
      <c r="R10" s="1">
        <v>56458.35</v>
      </c>
    </row>
    <row r="11" spans="1:18" x14ac:dyDescent="0.2">
      <c r="A11">
        <v>866</v>
      </c>
      <c r="D11" t="s">
        <v>238</v>
      </c>
      <c r="I11" t="s">
        <v>239</v>
      </c>
      <c r="R11" s="1">
        <v>27487.96</v>
      </c>
    </row>
    <row r="12" spans="1:18" x14ac:dyDescent="0.2">
      <c r="A12">
        <v>869</v>
      </c>
      <c r="D12" t="s">
        <v>247</v>
      </c>
      <c r="I12" t="s">
        <v>248</v>
      </c>
      <c r="R12" s="1">
        <v>5694</v>
      </c>
    </row>
    <row r="13" spans="1:18" x14ac:dyDescent="0.2">
      <c r="H13" t="s">
        <v>79</v>
      </c>
      <c r="R13" s="1">
        <v>495829.14</v>
      </c>
    </row>
    <row r="14" spans="1:18" x14ac:dyDescent="0.2">
      <c r="I14" t="s">
        <v>7</v>
      </c>
      <c r="R14" s="1"/>
    </row>
    <row r="15" spans="1:18" x14ac:dyDescent="0.2">
      <c r="H15" t="s">
        <v>80</v>
      </c>
      <c r="R15" s="1">
        <v>-4964.76</v>
      </c>
    </row>
    <row r="16" spans="1:18" x14ac:dyDescent="0.2">
      <c r="A16">
        <v>166</v>
      </c>
      <c r="D16" t="s">
        <v>81</v>
      </c>
      <c r="I16" t="s">
        <v>10</v>
      </c>
      <c r="R16" s="1">
        <v>-4964.76</v>
      </c>
    </row>
    <row r="17" spans="1:18" x14ac:dyDescent="0.2">
      <c r="H17" t="s">
        <v>83</v>
      </c>
      <c r="R17" s="1">
        <v>490864.38</v>
      </c>
    </row>
    <row r="18" spans="1:18" x14ac:dyDescent="0.2">
      <c r="I18" t="s">
        <v>7</v>
      </c>
      <c r="R18" s="1"/>
    </row>
    <row r="19" spans="1:18" x14ac:dyDescent="0.2">
      <c r="H19" t="s">
        <v>84</v>
      </c>
      <c r="R19" s="1">
        <v>27185.91</v>
      </c>
    </row>
    <row r="20" spans="1:18" x14ac:dyDescent="0.2">
      <c r="A20">
        <v>749</v>
      </c>
      <c r="D20" t="s">
        <v>85</v>
      </c>
      <c r="I20" t="s">
        <v>58</v>
      </c>
      <c r="R20" s="1">
        <v>27185.91</v>
      </c>
    </row>
    <row r="21" spans="1:18" x14ac:dyDescent="0.2">
      <c r="H21" t="s">
        <v>86</v>
      </c>
      <c r="R21" s="1">
        <v>518050.29</v>
      </c>
    </row>
    <row r="22" spans="1:18" x14ac:dyDescent="0.2">
      <c r="I22" t="s">
        <v>7</v>
      </c>
      <c r="R22" s="1"/>
    </row>
    <row r="23" spans="1:18" x14ac:dyDescent="0.2">
      <c r="H23" t="s">
        <v>87</v>
      </c>
      <c r="R23" s="1">
        <v>-197655.91</v>
      </c>
    </row>
    <row r="24" spans="1:18" x14ac:dyDescent="0.2">
      <c r="A24">
        <v>162</v>
      </c>
      <c r="D24" t="s">
        <v>88</v>
      </c>
      <c r="I24" t="s">
        <v>8</v>
      </c>
      <c r="R24" s="1">
        <v>-187451.29</v>
      </c>
    </row>
    <row r="25" spans="1:18" x14ac:dyDescent="0.2">
      <c r="A25">
        <v>165</v>
      </c>
      <c r="D25" t="s">
        <v>89</v>
      </c>
      <c r="I25" t="s">
        <v>9</v>
      </c>
      <c r="R25" s="1">
        <v>-8035.08</v>
      </c>
    </row>
    <row r="26" spans="1:18" x14ac:dyDescent="0.2">
      <c r="A26">
        <v>167</v>
      </c>
      <c r="D26" t="s">
        <v>90</v>
      </c>
      <c r="I26" t="s">
        <v>11</v>
      </c>
      <c r="R26" s="1">
        <v>-2169.54</v>
      </c>
    </row>
    <row r="27" spans="1:18" x14ac:dyDescent="0.2">
      <c r="H27" t="s">
        <v>93</v>
      </c>
      <c r="R27" s="1">
        <v>-197655.91</v>
      </c>
    </row>
    <row r="28" spans="1:18" x14ac:dyDescent="0.2">
      <c r="I28" t="s">
        <v>7</v>
      </c>
    </row>
    <row r="29" spans="1:18" x14ac:dyDescent="0.2">
      <c r="H29" t="s">
        <v>197</v>
      </c>
      <c r="R29">
        <v>3.2</v>
      </c>
    </row>
    <row r="30" spans="1:18" x14ac:dyDescent="0.2">
      <c r="A30">
        <v>135</v>
      </c>
      <c r="D30" t="s">
        <v>198</v>
      </c>
      <c r="I30" t="s">
        <v>59</v>
      </c>
      <c r="R30">
        <v>3.2</v>
      </c>
    </row>
    <row r="31" spans="1:18" x14ac:dyDescent="0.2">
      <c r="H31" t="s">
        <v>252</v>
      </c>
      <c r="R31" s="1">
        <v>352.76</v>
      </c>
    </row>
    <row r="32" spans="1:18" x14ac:dyDescent="0.2">
      <c r="A32">
        <v>159</v>
      </c>
      <c r="D32" t="s">
        <v>253</v>
      </c>
      <c r="I32" t="s">
        <v>252</v>
      </c>
      <c r="R32" s="1">
        <v>352.76</v>
      </c>
    </row>
    <row r="33" spans="1:18" x14ac:dyDescent="0.2">
      <c r="H33" t="s">
        <v>94</v>
      </c>
      <c r="R33" s="1">
        <v>320750.34000000003</v>
      </c>
    </row>
    <row r="34" spans="1:18" x14ac:dyDescent="0.2">
      <c r="I34" t="s">
        <v>7</v>
      </c>
      <c r="R34" s="1"/>
    </row>
    <row r="35" spans="1:18" x14ac:dyDescent="0.2">
      <c r="H35" t="s">
        <v>95</v>
      </c>
      <c r="R35" s="1">
        <v>-23752.080000000002</v>
      </c>
    </row>
    <row r="36" spans="1:18" x14ac:dyDescent="0.2">
      <c r="A36">
        <v>164</v>
      </c>
      <c r="D36" t="s">
        <v>96</v>
      </c>
      <c r="I36" t="s">
        <v>97</v>
      </c>
      <c r="R36" s="1">
        <v>-22182.95</v>
      </c>
    </row>
    <row r="37" spans="1:18" x14ac:dyDescent="0.2">
      <c r="A37">
        <v>206</v>
      </c>
      <c r="D37" t="s">
        <v>98</v>
      </c>
      <c r="I37" t="s">
        <v>13</v>
      </c>
      <c r="R37" s="1">
        <v>-219.13</v>
      </c>
    </row>
    <row r="38" spans="1:18" x14ac:dyDescent="0.2">
      <c r="A38">
        <v>207</v>
      </c>
      <c r="D38" t="s">
        <v>192</v>
      </c>
      <c r="I38" t="s">
        <v>14</v>
      </c>
      <c r="R38" s="1">
        <v>-1350</v>
      </c>
    </row>
    <row r="39" spans="1:18" x14ac:dyDescent="0.2">
      <c r="H39" t="s">
        <v>101</v>
      </c>
      <c r="R39" s="1">
        <v>-32006.59</v>
      </c>
    </row>
    <row r="40" spans="1:18" x14ac:dyDescent="0.2">
      <c r="A40">
        <v>250</v>
      </c>
      <c r="D40" t="s">
        <v>102</v>
      </c>
      <c r="I40" t="s">
        <v>35</v>
      </c>
      <c r="R40" s="1">
        <v>-18.34</v>
      </c>
    </row>
    <row r="41" spans="1:18" x14ac:dyDescent="0.2">
      <c r="A41">
        <v>253</v>
      </c>
      <c r="D41" t="s">
        <v>103</v>
      </c>
      <c r="I41" t="s">
        <v>38</v>
      </c>
      <c r="R41" s="1">
        <v>-24004</v>
      </c>
    </row>
    <row r="42" spans="1:18" x14ac:dyDescent="0.2">
      <c r="A42">
        <v>651</v>
      </c>
      <c r="D42" t="s">
        <v>104</v>
      </c>
      <c r="I42" t="s">
        <v>39</v>
      </c>
      <c r="R42" s="1">
        <v>-331.66</v>
      </c>
    </row>
    <row r="43" spans="1:18" x14ac:dyDescent="0.2">
      <c r="A43">
        <v>653</v>
      </c>
      <c r="D43" t="s">
        <v>105</v>
      </c>
      <c r="I43" t="s">
        <v>40</v>
      </c>
      <c r="R43" s="1">
        <v>-86.19</v>
      </c>
    </row>
    <row r="44" spans="1:18" x14ac:dyDescent="0.2">
      <c r="A44">
        <v>654</v>
      </c>
      <c r="D44" t="s">
        <v>106</v>
      </c>
      <c r="I44" t="s">
        <v>41</v>
      </c>
      <c r="R44" s="1">
        <v>-7566.4</v>
      </c>
    </row>
    <row r="45" spans="1:18" x14ac:dyDescent="0.2">
      <c r="H45" t="s">
        <v>107</v>
      </c>
      <c r="R45" s="1">
        <v>-55758.67</v>
      </c>
    </row>
    <row r="46" spans="1:18" x14ac:dyDescent="0.2">
      <c r="I46" t="s">
        <v>7</v>
      </c>
      <c r="R46" s="1"/>
    </row>
    <row r="47" spans="1:18" x14ac:dyDescent="0.2">
      <c r="H47" t="s">
        <v>108</v>
      </c>
      <c r="R47" s="1">
        <v>264991.67</v>
      </c>
    </row>
    <row r="48" spans="1:18" x14ac:dyDescent="0.2">
      <c r="I48" t="s">
        <v>7</v>
      </c>
      <c r="R48" s="1"/>
    </row>
    <row r="49" spans="1:18" x14ac:dyDescent="0.2">
      <c r="H49" t="s">
        <v>109</v>
      </c>
      <c r="R49" s="1">
        <v>-110080.21</v>
      </c>
    </row>
    <row r="50" spans="1:18" x14ac:dyDescent="0.2">
      <c r="I50" t="s">
        <v>7</v>
      </c>
      <c r="R50" s="1"/>
    </row>
    <row r="51" spans="1:18" x14ac:dyDescent="0.2">
      <c r="H51" t="s">
        <v>110</v>
      </c>
      <c r="R51" s="1">
        <v>-110080.21</v>
      </c>
    </row>
    <row r="52" spans="1:18" x14ac:dyDescent="0.2">
      <c r="I52" t="s">
        <v>7</v>
      </c>
      <c r="R52" s="1"/>
    </row>
    <row r="53" spans="1:18" x14ac:dyDescent="0.2">
      <c r="H53" t="s">
        <v>111</v>
      </c>
      <c r="R53" s="1">
        <v>-3000</v>
      </c>
    </row>
    <row r="54" spans="1:18" x14ac:dyDescent="0.2">
      <c r="A54">
        <v>182</v>
      </c>
      <c r="D54" t="s">
        <v>112</v>
      </c>
      <c r="I54" t="s">
        <v>54</v>
      </c>
      <c r="R54" s="1">
        <v>-3000</v>
      </c>
    </row>
    <row r="55" spans="1:18" x14ac:dyDescent="0.2">
      <c r="H55" t="s">
        <v>113</v>
      </c>
      <c r="R55" s="1">
        <v>-19363.05</v>
      </c>
    </row>
    <row r="56" spans="1:18" x14ac:dyDescent="0.2">
      <c r="A56">
        <v>181</v>
      </c>
      <c r="D56" t="s">
        <v>114</v>
      </c>
      <c r="I56" t="s">
        <v>53</v>
      </c>
      <c r="R56" s="1">
        <v>-12966.8</v>
      </c>
    </row>
    <row r="57" spans="1:18" x14ac:dyDescent="0.2">
      <c r="A57">
        <v>188</v>
      </c>
      <c r="D57" t="s">
        <v>115</v>
      </c>
      <c r="I57" t="s">
        <v>116</v>
      </c>
      <c r="R57" s="1">
        <v>-5355</v>
      </c>
    </row>
    <row r="58" spans="1:18" x14ac:dyDescent="0.2">
      <c r="A58">
        <v>535</v>
      </c>
      <c r="D58" t="s">
        <v>199</v>
      </c>
      <c r="I58" t="s">
        <v>232</v>
      </c>
      <c r="R58" s="1">
        <v>-595</v>
      </c>
    </row>
    <row r="59" spans="1:18" x14ac:dyDescent="0.2">
      <c r="A59">
        <v>536</v>
      </c>
      <c r="D59" t="s">
        <v>200</v>
      </c>
      <c r="I59" t="s">
        <v>201</v>
      </c>
      <c r="R59" s="1">
        <v>-446.25</v>
      </c>
    </row>
    <row r="60" spans="1:18" x14ac:dyDescent="0.2">
      <c r="H60" t="s">
        <v>73</v>
      </c>
      <c r="R60" s="1">
        <v>-10570</v>
      </c>
    </row>
    <row r="61" spans="1:18" x14ac:dyDescent="0.2">
      <c r="A61">
        <v>184</v>
      </c>
      <c r="D61" t="s">
        <v>117</v>
      </c>
      <c r="I61" t="s">
        <v>57</v>
      </c>
      <c r="R61" s="1">
        <v>-10570</v>
      </c>
    </row>
    <row r="62" spans="1:18" x14ac:dyDescent="0.2">
      <c r="H62" t="s">
        <v>118</v>
      </c>
      <c r="R62" s="1">
        <v>-2256.52</v>
      </c>
    </row>
    <row r="63" spans="1:18" x14ac:dyDescent="0.2">
      <c r="A63">
        <v>502</v>
      </c>
      <c r="D63" t="s">
        <v>119</v>
      </c>
      <c r="I63" t="s">
        <v>120</v>
      </c>
      <c r="R63" s="1">
        <v>-1435.14</v>
      </c>
    </row>
    <row r="64" spans="1:18" x14ac:dyDescent="0.2">
      <c r="A64">
        <v>503</v>
      </c>
      <c r="D64" t="s">
        <v>121</v>
      </c>
      <c r="I64" t="s">
        <v>122</v>
      </c>
      <c r="R64">
        <v>-428.4</v>
      </c>
    </row>
    <row r="65" spans="1:18" x14ac:dyDescent="0.2">
      <c r="A65">
        <v>504</v>
      </c>
      <c r="D65" t="s">
        <v>123</v>
      </c>
      <c r="I65" t="s">
        <v>124</v>
      </c>
      <c r="R65" s="1">
        <v>-53.55</v>
      </c>
    </row>
    <row r="66" spans="1:18" x14ac:dyDescent="0.2">
      <c r="A66">
        <v>505</v>
      </c>
      <c r="D66" t="s">
        <v>202</v>
      </c>
      <c r="I66" t="s">
        <v>203</v>
      </c>
      <c r="R66">
        <v>-142.15</v>
      </c>
    </row>
    <row r="67" spans="1:18" x14ac:dyDescent="0.2">
      <c r="A67">
        <v>506</v>
      </c>
      <c r="D67" t="s">
        <v>204</v>
      </c>
      <c r="I67" t="s">
        <v>205</v>
      </c>
      <c r="R67">
        <v>-47.6</v>
      </c>
    </row>
    <row r="68" spans="1:18" x14ac:dyDescent="0.2">
      <c r="A68">
        <v>508</v>
      </c>
      <c r="D68" t="s">
        <v>206</v>
      </c>
      <c r="I68" t="s">
        <v>207</v>
      </c>
      <c r="R68">
        <v>-5.95</v>
      </c>
    </row>
    <row r="69" spans="1:18" x14ac:dyDescent="0.2">
      <c r="A69">
        <v>527</v>
      </c>
      <c r="D69" t="s">
        <v>208</v>
      </c>
      <c r="I69" t="s">
        <v>209</v>
      </c>
      <c r="R69">
        <v>-103.57</v>
      </c>
    </row>
    <row r="70" spans="1:18" x14ac:dyDescent="0.2">
      <c r="A70">
        <v>528</v>
      </c>
      <c r="D70" t="s">
        <v>210</v>
      </c>
      <c r="I70" t="s">
        <v>211</v>
      </c>
      <c r="R70" s="1">
        <v>-35.700000000000003</v>
      </c>
    </row>
    <row r="71" spans="1:18" x14ac:dyDescent="0.2">
      <c r="A71">
        <v>529</v>
      </c>
      <c r="D71" t="s">
        <v>212</v>
      </c>
      <c r="I71" t="s">
        <v>213</v>
      </c>
      <c r="R71" s="1">
        <v>-4.46</v>
      </c>
    </row>
    <row r="72" spans="1:18" x14ac:dyDescent="0.2">
      <c r="H72" t="s">
        <v>182</v>
      </c>
      <c r="R72" s="1">
        <v>-6855.96</v>
      </c>
    </row>
    <row r="73" spans="1:18" x14ac:dyDescent="0.2">
      <c r="A73">
        <v>710</v>
      </c>
      <c r="D73" t="s">
        <v>128</v>
      </c>
      <c r="I73" t="s">
        <v>183</v>
      </c>
      <c r="R73" s="1">
        <v>-6855.96</v>
      </c>
    </row>
    <row r="74" spans="1:18" x14ac:dyDescent="0.2">
      <c r="H74" t="s">
        <v>181</v>
      </c>
      <c r="R74">
        <v>-510.76</v>
      </c>
    </row>
    <row r="75" spans="1:18" x14ac:dyDescent="0.2">
      <c r="A75">
        <v>247</v>
      </c>
      <c r="D75" t="s">
        <v>193</v>
      </c>
      <c r="I75" t="s">
        <v>51</v>
      </c>
      <c r="R75" s="1">
        <v>-295.35000000000002</v>
      </c>
    </row>
    <row r="76" spans="1:18" x14ac:dyDescent="0.2">
      <c r="A76">
        <v>711</v>
      </c>
      <c r="D76" t="s">
        <v>249</v>
      </c>
      <c r="I76" t="s">
        <v>30</v>
      </c>
      <c r="R76" s="1">
        <v>-215.41</v>
      </c>
    </row>
    <row r="77" spans="1:18" x14ac:dyDescent="0.2">
      <c r="H77" t="s">
        <v>130</v>
      </c>
      <c r="R77" s="1">
        <v>-67523.92</v>
      </c>
    </row>
    <row r="78" spans="1:18" x14ac:dyDescent="0.2">
      <c r="A78">
        <v>171</v>
      </c>
      <c r="D78" t="s">
        <v>131</v>
      </c>
      <c r="I78" t="s">
        <v>60</v>
      </c>
      <c r="R78" s="1">
        <v>-58078.98</v>
      </c>
    </row>
    <row r="79" spans="1:18" x14ac:dyDescent="0.2">
      <c r="A79">
        <v>245</v>
      </c>
      <c r="D79" t="s">
        <v>132</v>
      </c>
      <c r="I79" t="s">
        <v>191</v>
      </c>
      <c r="R79" s="1">
        <v>-9444.94</v>
      </c>
    </row>
    <row r="80" spans="1:18" x14ac:dyDescent="0.2">
      <c r="H80" t="s">
        <v>133</v>
      </c>
      <c r="R80" s="1">
        <v>-119785.41</v>
      </c>
    </row>
    <row r="81" spans="1:18" x14ac:dyDescent="0.2">
      <c r="I81" t="s">
        <v>7</v>
      </c>
      <c r="R81" s="1"/>
    </row>
    <row r="82" spans="1:18" x14ac:dyDescent="0.2">
      <c r="H82" t="s">
        <v>134</v>
      </c>
      <c r="R82" s="1">
        <v>-68593.98</v>
      </c>
    </row>
    <row r="83" spans="1:18" x14ac:dyDescent="0.2">
      <c r="A83">
        <v>179</v>
      </c>
      <c r="D83" t="s">
        <v>233</v>
      </c>
      <c r="I83" t="s">
        <v>234</v>
      </c>
      <c r="R83" s="1">
        <v>-6750</v>
      </c>
    </row>
    <row r="84" spans="1:18" x14ac:dyDescent="0.2">
      <c r="A84">
        <v>180</v>
      </c>
      <c r="D84" t="s">
        <v>135</v>
      </c>
      <c r="I84" t="s">
        <v>52</v>
      </c>
      <c r="R84" s="1">
        <v>-19141.62</v>
      </c>
    </row>
    <row r="85" spans="1:18" x14ac:dyDescent="0.2">
      <c r="A85">
        <v>186</v>
      </c>
      <c r="D85" t="s">
        <v>187</v>
      </c>
      <c r="I85" t="s">
        <v>55</v>
      </c>
      <c r="R85" s="1">
        <v>-9750</v>
      </c>
    </row>
    <row r="86" spans="1:18" x14ac:dyDescent="0.2">
      <c r="A86">
        <v>187</v>
      </c>
      <c r="D86" t="s">
        <v>136</v>
      </c>
      <c r="I86" t="s">
        <v>56</v>
      </c>
      <c r="R86" s="1">
        <v>-9462.6299999999992</v>
      </c>
    </row>
    <row r="87" spans="1:18" x14ac:dyDescent="0.2">
      <c r="A87">
        <v>189</v>
      </c>
      <c r="D87" t="s">
        <v>137</v>
      </c>
      <c r="I87" t="s">
        <v>138</v>
      </c>
      <c r="R87" s="1">
        <v>-7000.92</v>
      </c>
    </row>
    <row r="88" spans="1:18" x14ac:dyDescent="0.2">
      <c r="A88">
        <v>190</v>
      </c>
      <c r="D88" t="s">
        <v>139</v>
      </c>
      <c r="I88" t="s">
        <v>140</v>
      </c>
      <c r="R88" s="1">
        <v>-4629.09</v>
      </c>
    </row>
    <row r="89" spans="1:18" x14ac:dyDescent="0.2">
      <c r="A89">
        <v>193</v>
      </c>
      <c r="D89" t="s">
        <v>143</v>
      </c>
      <c r="I89" t="s">
        <v>45</v>
      </c>
      <c r="R89" s="1">
        <v>-104.77</v>
      </c>
    </row>
    <row r="90" spans="1:18" x14ac:dyDescent="0.2">
      <c r="A90">
        <v>530</v>
      </c>
      <c r="D90" t="s">
        <v>214</v>
      </c>
      <c r="I90" t="s">
        <v>215</v>
      </c>
      <c r="R90" s="1">
        <v>-194.83</v>
      </c>
    </row>
    <row r="91" spans="1:18" x14ac:dyDescent="0.2">
      <c r="A91">
        <v>531</v>
      </c>
      <c r="D91" t="s">
        <v>216</v>
      </c>
      <c r="I91" t="s">
        <v>217</v>
      </c>
      <c r="R91" s="1">
        <v>-671.12</v>
      </c>
    </row>
    <row r="92" spans="1:18" x14ac:dyDescent="0.2">
      <c r="A92">
        <v>195</v>
      </c>
      <c r="D92" t="s">
        <v>144</v>
      </c>
      <c r="I92" t="s">
        <v>145</v>
      </c>
      <c r="R92" s="1">
        <v>-2032.6</v>
      </c>
    </row>
    <row r="93" spans="1:18" x14ac:dyDescent="0.2">
      <c r="A93">
        <v>196</v>
      </c>
      <c r="D93" t="s">
        <v>146</v>
      </c>
      <c r="I93" t="s">
        <v>147</v>
      </c>
      <c r="R93">
        <v>-476.28</v>
      </c>
    </row>
    <row r="94" spans="1:18" x14ac:dyDescent="0.2">
      <c r="A94">
        <v>197</v>
      </c>
      <c r="D94" t="s">
        <v>148</v>
      </c>
      <c r="I94" t="s">
        <v>149</v>
      </c>
      <c r="R94">
        <v>-78.3</v>
      </c>
    </row>
    <row r="95" spans="1:18" x14ac:dyDescent="0.2">
      <c r="A95">
        <v>499</v>
      </c>
      <c r="D95" t="s">
        <v>218</v>
      </c>
      <c r="I95" t="s">
        <v>219</v>
      </c>
      <c r="R95">
        <v>-1.95</v>
      </c>
    </row>
    <row r="96" spans="1:18" x14ac:dyDescent="0.2">
      <c r="A96">
        <v>500</v>
      </c>
      <c r="D96" t="s">
        <v>220</v>
      </c>
      <c r="I96" t="s">
        <v>221</v>
      </c>
      <c r="R96">
        <v>-20.61</v>
      </c>
    </row>
    <row r="97" spans="1:18" x14ac:dyDescent="0.2">
      <c r="A97">
        <v>501</v>
      </c>
      <c r="D97" t="s">
        <v>222</v>
      </c>
      <c r="I97" t="s">
        <v>223</v>
      </c>
      <c r="R97">
        <v>-15.59</v>
      </c>
    </row>
    <row r="98" spans="1:18" x14ac:dyDescent="0.2">
      <c r="A98">
        <v>522</v>
      </c>
      <c r="D98" t="s">
        <v>224</v>
      </c>
      <c r="I98" t="s">
        <v>225</v>
      </c>
      <c r="R98" s="1">
        <v>-162.30000000000001</v>
      </c>
    </row>
    <row r="99" spans="1:18" x14ac:dyDescent="0.2">
      <c r="A99">
        <v>523</v>
      </c>
      <c r="D99" t="s">
        <v>226</v>
      </c>
      <c r="I99" t="s">
        <v>227</v>
      </c>
      <c r="R99" s="1">
        <v>-53.69</v>
      </c>
    </row>
    <row r="100" spans="1:18" x14ac:dyDescent="0.2">
      <c r="A100">
        <v>524</v>
      </c>
      <c r="D100" t="s">
        <v>228</v>
      </c>
      <c r="I100" t="s">
        <v>229</v>
      </c>
      <c r="R100" s="1">
        <v>-6.71</v>
      </c>
    </row>
    <row r="101" spans="1:18" x14ac:dyDescent="0.2">
      <c r="A101">
        <v>200</v>
      </c>
      <c r="D101" t="s">
        <v>150</v>
      </c>
      <c r="I101" t="s">
        <v>15</v>
      </c>
      <c r="R101" s="1">
        <v>-2427.08</v>
      </c>
    </row>
    <row r="102" spans="1:18" x14ac:dyDescent="0.2">
      <c r="A102">
        <v>201</v>
      </c>
      <c r="D102" t="s">
        <v>151</v>
      </c>
      <c r="I102" t="s">
        <v>152</v>
      </c>
      <c r="R102" s="1">
        <v>-1014.37</v>
      </c>
    </row>
    <row r="103" spans="1:18" x14ac:dyDescent="0.2">
      <c r="A103">
        <v>202</v>
      </c>
      <c r="D103" t="s">
        <v>153</v>
      </c>
      <c r="I103" t="s">
        <v>16</v>
      </c>
      <c r="R103" s="1">
        <v>-3524.52</v>
      </c>
    </row>
    <row r="104" spans="1:18" x14ac:dyDescent="0.2">
      <c r="A104">
        <v>203</v>
      </c>
      <c r="D104" t="s">
        <v>154</v>
      </c>
      <c r="I104" t="s">
        <v>17</v>
      </c>
      <c r="R104" s="1">
        <v>-1075</v>
      </c>
    </row>
    <row r="105" spans="1:18" x14ac:dyDescent="0.2">
      <c r="H105" t="s">
        <v>156</v>
      </c>
      <c r="R105" s="1">
        <v>-10030.27</v>
      </c>
    </row>
    <row r="106" spans="1:18" x14ac:dyDescent="0.2">
      <c r="A106">
        <v>229</v>
      </c>
      <c r="D106" t="s">
        <v>157</v>
      </c>
      <c r="I106" t="s">
        <v>28</v>
      </c>
      <c r="R106" s="1">
        <v>-10000</v>
      </c>
    </row>
    <row r="107" spans="1:18" x14ac:dyDescent="0.2">
      <c r="A107">
        <v>237</v>
      </c>
      <c r="D107" t="s">
        <v>158</v>
      </c>
      <c r="I107" t="s">
        <v>32</v>
      </c>
      <c r="R107" s="1">
        <v>-30.27</v>
      </c>
    </row>
    <row r="108" spans="1:18" x14ac:dyDescent="0.2">
      <c r="H108" t="s">
        <v>159</v>
      </c>
      <c r="R108" s="1">
        <v>-4519</v>
      </c>
    </row>
    <row r="109" spans="1:18" x14ac:dyDescent="0.2">
      <c r="A109">
        <v>214</v>
      </c>
      <c r="D109" t="s">
        <v>160</v>
      </c>
      <c r="I109" t="s">
        <v>21</v>
      </c>
      <c r="R109" s="1">
        <v>-4519</v>
      </c>
    </row>
    <row r="110" spans="1:18" x14ac:dyDescent="0.2">
      <c r="H110" t="s">
        <v>161</v>
      </c>
      <c r="R110" s="1">
        <v>-326.8</v>
      </c>
    </row>
    <row r="111" spans="1:18" x14ac:dyDescent="0.2">
      <c r="A111">
        <v>217</v>
      </c>
      <c r="D111" t="s">
        <v>162</v>
      </c>
      <c r="I111" t="s">
        <v>23</v>
      </c>
      <c r="R111" s="1">
        <v>-326.8</v>
      </c>
    </row>
    <row r="112" spans="1:18" x14ac:dyDescent="0.2">
      <c r="H112" t="s">
        <v>163</v>
      </c>
      <c r="R112" s="1">
        <v>-5049.2700000000004</v>
      </c>
    </row>
    <row r="113" spans="1:18" x14ac:dyDescent="0.2">
      <c r="A113">
        <v>219</v>
      </c>
      <c r="D113" t="s">
        <v>194</v>
      </c>
      <c r="I113" t="s">
        <v>49</v>
      </c>
      <c r="R113" s="1">
        <v>-3736.75</v>
      </c>
    </row>
    <row r="114" spans="1:18" x14ac:dyDescent="0.2">
      <c r="A114">
        <v>220</v>
      </c>
      <c r="D114" t="s">
        <v>164</v>
      </c>
      <c r="I114" t="s">
        <v>24</v>
      </c>
      <c r="R114" s="1">
        <v>-1172.53</v>
      </c>
    </row>
    <row r="115" spans="1:18" x14ac:dyDescent="0.2">
      <c r="A115">
        <v>233</v>
      </c>
      <c r="D115" t="s">
        <v>195</v>
      </c>
      <c r="I115" t="s">
        <v>50</v>
      </c>
      <c r="R115" s="1">
        <v>-139.99</v>
      </c>
    </row>
    <row r="116" spans="1:18" x14ac:dyDescent="0.2">
      <c r="H116" t="s">
        <v>127</v>
      </c>
      <c r="R116" s="1">
        <v>-23729.93</v>
      </c>
    </row>
    <row r="117" spans="1:18" x14ac:dyDescent="0.2">
      <c r="A117">
        <v>244</v>
      </c>
      <c r="D117" t="s">
        <v>165</v>
      </c>
      <c r="I117" t="s">
        <v>34</v>
      </c>
      <c r="R117" s="1">
        <v>-23729.93</v>
      </c>
    </row>
    <row r="118" spans="1:18" x14ac:dyDescent="0.2">
      <c r="H118" t="s">
        <v>166</v>
      </c>
      <c r="R118" s="1">
        <v>-294.45999999999998</v>
      </c>
    </row>
    <row r="119" spans="1:18" x14ac:dyDescent="0.2">
      <c r="A119">
        <v>252</v>
      </c>
      <c r="D119" t="s">
        <v>167</v>
      </c>
      <c r="I119" t="s">
        <v>37</v>
      </c>
      <c r="R119" s="1">
        <v>-294.45999999999998</v>
      </c>
    </row>
    <row r="120" spans="1:18" x14ac:dyDescent="0.2">
      <c r="H120" t="s">
        <v>129</v>
      </c>
      <c r="R120" s="1">
        <v>-7241.7</v>
      </c>
    </row>
    <row r="121" spans="1:18" x14ac:dyDescent="0.2">
      <c r="A121">
        <v>213</v>
      </c>
      <c r="D121" t="s">
        <v>168</v>
      </c>
      <c r="I121" t="s">
        <v>20</v>
      </c>
      <c r="R121">
        <v>-99</v>
      </c>
    </row>
    <row r="122" spans="1:18" x14ac:dyDescent="0.2">
      <c r="A122">
        <v>216</v>
      </c>
      <c r="D122" t="s">
        <v>169</v>
      </c>
      <c r="I122" t="s">
        <v>22</v>
      </c>
      <c r="R122">
        <v>-22</v>
      </c>
    </row>
    <row r="123" spans="1:18" x14ac:dyDescent="0.2">
      <c r="A123">
        <v>225</v>
      </c>
      <c r="D123" t="s">
        <v>170</v>
      </c>
      <c r="I123" t="s">
        <v>26</v>
      </c>
      <c r="R123" s="1">
        <v>-332.29</v>
      </c>
    </row>
    <row r="124" spans="1:18" x14ac:dyDescent="0.2">
      <c r="A124">
        <v>226</v>
      </c>
      <c r="D124" t="s">
        <v>242</v>
      </c>
      <c r="I124" t="s">
        <v>243</v>
      </c>
      <c r="R124">
        <v>-133</v>
      </c>
    </row>
    <row r="125" spans="1:18" x14ac:dyDescent="0.2">
      <c r="A125">
        <v>227</v>
      </c>
      <c r="D125" t="s">
        <v>171</v>
      </c>
      <c r="I125" t="s">
        <v>27</v>
      </c>
      <c r="R125" s="1">
        <v>-671.09</v>
      </c>
    </row>
    <row r="126" spans="1:18" x14ac:dyDescent="0.2">
      <c r="A126">
        <v>231</v>
      </c>
      <c r="D126" t="s">
        <v>172</v>
      </c>
      <c r="I126" t="s">
        <v>29</v>
      </c>
      <c r="R126">
        <v>-284.5</v>
      </c>
    </row>
    <row r="127" spans="1:18" x14ac:dyDescent="0.2">
      <c r="A127">
        <v>232</v>
      </c>
      <c r="D127" t="s">
        <v>246</v>
      </c>
      <c r="I127" t="s">
        <v>251</v>
      </c>
      <c r="R127" s="1">
        <v>-726.02</v>
      </c>
    </row>
    <row r="128" spans="1:18" x14ac:dyDescent="0.2">
      <c r="A128">
        <v>234</v>
      </c>
      <c r="D128" t="s">
        <v>231</v>
      </c>
      <c r="I128" t="s">
        <v>63</v>
      </c>
      <c r="R128" s="1">
        <v>-996</v>
      </c>
    </row>
    <row r="129" spans="1:18" x14ac:dyDescent="0.2">
      <c r="A129">
        <v>238</v>
      </c>
      <c r="D129" t="s">
        <v>174</v>
      </c>
      <c r="I129" t="s">
        <v>33</v>
      </c>
      <c r="R129" s="1">
        <v>-962.51</v>
      </c>
    </row>
    <row r="130" spans="1:18" x14ac:dyDescent="0.2">
      <c r="A130">
        <v>243</v>
      </c>
      <c r="D130" t="s">
        <v>175</v>
      </c>
      <c r="I130" t="s">
        <v>176</v>
      </c>
      <c r="R130" s="1">
        <v>-2879.7</v>
      </c>
    </row>
    <row r="131" spans="1:18" x14ac:dyDescent="0.2">
      <c r="A131">
        <v>251</v>
      </c>
      <c r="D131" t="s">
        <v>177</v>
      </c>
      <c r="I131" t="s">
        <v>36</v>
      </c>
      <c r="R131" s="1">
        <v>-50.6</v>
      </c>
    </row>
    <row r="132" spans="1:18" x14ac:dyDescent="0.2">
      <c r="A132">
        <v>255</v>
      </c>
      <c r="D132" t="s">
        <v>178</v>
      </c>
      <c r="I132" t="s">
        <v>42</v>
      </c>
      <c r="R132" s="1">
        <v>-84.99</v>
      </c>
    </row>
    <row r="133" spans="1:18" x14ac:dyDescent="0.2">
      <c r="H133" t="s">
        <v>180</v>
      </c>
      <c r="R133" s="1">
        <v>35126.050000000003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32"/>
  <sheetViews>
    <sheetView workbookViewId="0">
      <selection sqref="A1:W130"/>
    </sheetView>
  </sheetViews>
  <sheetFormatPr baseColWidth="10" defaultColWidth="8.83203125" defaultRowHeight="15" x14ac:dyDescent="0.2"/>
  <cols>
    <col min="18" max="18" width="11" bestFit="1" customWidth="1"/>
  </cols>
  <sheetData>
    <row r="1" spans="1:18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18" ht="15" customHeight="1" x14ac:dyDescent="0.2">
      <c r="H2" t="s">
        <v>67</v>
      </c>
      <c r="R2" s="1">
        <v>365887.99</v>
      </c>
    </row>
    <row r="3" spans="1:18" x14ac:dyDescent="0.2">
      <c r="A3">
        <v>860</v>
      </c>
      <c r="D3" t="s">
        <v>68</v>
      </c>
      <c r="I3" t="s">
        <v>69</v>
      </c>
      <c r="R3" s="1">
        <v>119355.57</v>
      </c>
    </row>
    <row r="4" spans="1:18" ht="15" customHeight="1" x14ac:dyDescent="0.2">
      <c r="A4">
        <v>861</v>
      </c>
      <c r="D4" t="s">
        <v>70</v>
      </c>
      <c r="I4" t="s">
        <v>71</v>
      </c>
      <c r="R4" s="1">
        <v>128905.32</v>
      </c>
    </row>
    <row r="5" spans="1:18" x14ac:dyDescent="0.2">
      <c r="A5">
        <v>862</v>
      </c>
      <c r="D5" t="s">
        <v>184</v>
      </c>
      <c r="I5" t="s">
        <v>185</v>
      </c>
      <c r="R5" s="1">
        <v>2022.62</v>
      </c>
    </row>
    <row r="6" spans="1:18" x14ac:dyDescent="0.2">
      <c r="A6">
        <v>865</v>
      </c>
      <c r="D6" t="s">
        <v>72</v>
      </c>
      <c r="I6" t="s">
        <v>73</v>
      </c>
      <c r="R6" s="1">
        <v>108371.46</v>
      </c>
    </row>
    <row r="7" spans="1:18" ht="15" customHeight="1" x14ac:dyDescent="0.2">
      <c r="A7">
        <v>868</v>
      </c>
      <c r="D7" t="s">
        <v>244</v>
      </c>
      <c r="I7" t="s">
        <v>245</v>
      </c>
      <c r="R7" s="1">
        <v>7233.02</v>
      </c>
    </row>
    <row r="8" spans="1:18" ht="15" customHeight="1" x14ac:dyDescent="0.2">
      <c r="H8" t="s">
        <v>74</v>
      </c>
      <c r="R8" s="1">
        <v>76825.929999999993</v>
      </c>
    </row>
    <row r="9" spans="1:18" x14ac:dyDescent="0.2">
      <c r="A9">
        <v>863</v>
      </c>
      <c r="D9" t="s">
        <v>75</v>
      </c>
      <c r="I9" t="s">
        <v>76</v>
      </c>
      <c r="R9" s="1">
        <v>14195.45</v>
      </c>
    </row>
    <row r="10" spans="1:18" ht="15" customHeight="1" x14ac:dyDescent="0.2">
      <c r="A10">
        <v>864</v>
      </c>
      <c r="D10" t="s">
        <v>77</v>
      </c>
      <c r="I10" t="s">
        <v>78</v>
      </c>
      <c r="R10" s="1">
        <v>36501</v>
      </c>
    </row>
    <row r="11" spans="1:18" x14ac:dyDescent="0.2">
      <c r="A11">
        <v>866</v>
      </c>
      <c r="D11" t="s">
        <v>238</v>
      </c>
      <c r="I11" t="s">
        <v>239</v>
      </c>
      <c r="R11" s="1">
        <v>22983.78</v>
      </c>
    </row>
    <row r="12" spans="1:18" ht="15" customHeight="1" x14ac:dyDescent="0.2">
      <c r="A12">
        <v>869</v>
      </c>
      <c r="D12" t="s">
        <v>247</v>
      </c>
      <c r="I12" t="s">
        <v>248</v>
      </c>
      <c r="R12" s="1">
        <v>3145.7</v>
      </c>
    </row>
    <row r="13" spans="1:18" ht="15" customHeight="1" x14ac:dyDescent="0.2">
      <c r="H13" t="s">
        <v>79</v>
      </c>
      <c r="R13" s="1">
        <v>442713.92</v>
      </c>
    </row>
    <row r="14" spans="1:18" x14ac:dyDescent="0.2">
      <c r="I14" t="s">
        <v>7</v>
      </c>
    </row>
    <row r="15" spans="1:18" ht="15" customHeight="1" x14ac:dyDescent="0.2">
      <c r="H15" t="s">
        <v>80</v>
      </c>
      <c r="R15" s="1">
        <v>-5299.1</v>
      </c>
    </row>
    <row r="16" spans="1:18" ht="15" customHeight="1" x14ac:dyDescent="0.2">
      <c r="A16">
        <v>166</v>
      </c>
      <c r="D16" t="s">
        <v>81</v>
      </c>
      <c r="I16" t="s">
        <v>10</v>
      </c>
      <c r="R16" s="1">
        <v>-5299.1</v>
      </c>
    </row>
    <row r="17" spans="1:18" ht="15" customHeight="1" x14ac:dyDescent="0.2">
      <c r="H17" t="s">
        <v>83</v>
      </c>
      <c r="R17" s="1">
        <v>437414.82</v>
      </c>
    </row>
    <row r="18" spans="1:18" x14ac:dyDescent="0.2">
      <c r="I18" t="s">
        <v>7</v>
      </c>
    </row>
    <row r="19" spans="1:18" ht="15" customHeight="1" x14ac:dyDescent="0.2">
      <c r="H19" t="s">
        <v>84</v>
      </c>
      <c r="R19" s="1">
        <v>20968.57</v>
      </c>
    </row>
    <row r="20" spans="1:18" ht="15" customHeight="1" x14ac:dyDescent="0.2">
      <c r="A20">
        <v>749</v>
      </c>
      <c r="D20" t="s">
        <v>85</v>
      </c>
      <c r="I20" t="s">
        <v>58</v>
      </c>
      <c r="R20" s="1">
        <v>20968.57</v>
      </c>
    </row>
    <row r="21" spans="1:18" ht="15" customHeight="1" x14ac:dyDescent="0.2">
      <c r="H21" t="s">
        <v>86</v>
      </c>
      <c r="R21" s="1">
        <v>458383.39</v>
      </c>
    </row>
    <row r="22" spans="1:18" x14ac:dyDescent="0.2">
      <c r="I22" t="s">
        <v>7</v>
      </c>
    </row>
    <row r="23" spans="1:18" ht="15" customHeight="1" x14ac:dyDescent="0.2">
      <c r="H23" t="s">
        <v>87</v>
      </c>
      <c r="R23" s="1">
        <v>-116814.82</v>
      </c>
    </row>
    <row r="24" spans="1:18" ht="15" customHeight="1" x14ac:dyDescent="0.2">
      <c r="A24">
        <v>162</v>
      </c>
      <c r="D24" t="s">
        <v>88</v>
      </c>
      <c r="I24" t="s">
        <v>8</v>
      </c>
      <c r="R24" s="1">
        <v>-103605.83</v>
      </c>
    </row>
    <row r="25" spans="1:18" ht="15" customHeight="1" x14ac:dyDescent="0.2">
      <c r="A25">
        <v>165</v>
      </c>
      <c r="D25" t="s">
        <v>89</v>
      </c>
      <c r="I25" t="s">
        <v>9</v>
      </c>
      <c r="R25" s="1">
        <v>-13208.99</v>
      </c>
    </row>
    <row r="26" spans="1:18" ht="15" customHeight="1" x14ac:dyDescent="0.2">
      <c r="H26" t="s">
        <v>93</v>
      </c>
      <c r="R26" s="1">
        <v>-116814.82</v>
      </c>
    </row>
    <row r="27" spans="1:18" x14ac:dyDescent="0.2">
      <c r="I27" t="s">
        <v>7</v>
      </c>
      <c r="R27" s="1"/>
    </row>
    <row r="28" spans="1:18" ht="15" customHeight="1" x14ac:dyDescent="0.2">
      <c r="H28" t="s">
        <v>197</v>
      </c>
      <c r="R28">
        <v>3.21</v>
      </c>
    </row>
    <row r="29" spans="1:18" ht="15" customHeight="1" x14ac:dyDescent="0.2">
      <c r="A29">
        <v>135</v>
      </c>
      <c r="D29" t="s">
        <v>198</v>
      </c>
      <c r="I29" t="s">
        <v>59</v>
      </c>
      <c r="R29">
        <v>3.21</v>
      </c>
    </row>
    <row r="30" spans="1:18" ht="15" customHeight="1" x14ac:dyDescent="0.2">
      <c r="H30" t="s">
        <v>252</v>
      </c>
      <c r="R30" s="1">
        <v>3834.2</v>
      </c>
    </row>
    <row r="31" spans="1:18" ht="15" customHeight="1" x14ac:dyDescent="0.2">
      <c r="A31">
        <v>159</v>
      </c>
      <c r="D31" t="s">
        <v>253</v>
      </c>
      <c r="I31" t="s">
        <v>252</v>
      </c>
      <c r="R31" s="1">
        <v>3834.2</v>
      </c>
    </row>
    <row r="32" spans="1:18" ht="15" customHeight="1" x14ac:dyDescent="0.2">
      <c r="H32" t="s">
        <v>94</v>
      </c>
      <c r="R32" s="1">
        <v>345405.98</v>
      </c>
    </row>
    <row r="33" spans="1:18" x14ac:dyDescent="0.2">
      <c r="I33" t="s">
        <v>7</v>
      </c>
      <c r="R33" s="1"/>
    </row>
    <row r="34" spans="1:18" ht="15" customHeight="1" x14ac:dyDescent="0.2">
      <c r="H34" t="s">
        <v>95</v>
      </c>
      <c r="R34" s="1">
        <v>-32588.959999999999</v>
      </c>
    </row>
    <row r="35" spans="1:18" ht="15" customHeight="1" x14ac:dyDescent="0.2">
      <c r="A35">
        <v>164</v>
      </c>
      <c r="D35" t="s">
        <v>96</v>
      </c>
      <c r="I35" t="s">
        <v>97</v>
      </c>
      <c r="R35" s="1">
        <v>-20189.25</v>
      </c>
    </row>
    <row r="36" spans="1:18" ht="15" customHeight="1" x14ac:dyDescent="0.2">
      <c r="A36">
        <v>206</v>
      </c>
      <c r="D36" t="s">
        <v>98</v>
      </c>
      <c r="I36" t="s">
        <v>13</v>
      </c>
      <c r="R36" s="1">
        <v>-569.13</v>
      </c>
    </row>
    <row r="37" spans="1:18" ht="15" customHeight="1" x14ac:dyDescent="0.2">
      <c r="A37">
        <v>207</v>
      </c>
      <c r="D37" t="s">
        <v>192</v>
      </c>
      <c r="I37" t="s">
        <v>14</v>
      </c>
      <c r="R37" s="1">
        <v>-7509.27</v>
      </c>
    </row>
    <row r="38" spans="1:18" ht="15" customHeight="1" x14ac:dyDescent="0.2">
      <c r="A38">
        <v>224</v>
      </c>
      <c r="D38" t="s">
        <v>100</v>
      </c>
      <c r="I38" t="s">
        <v>25</v>
      </c>
      <c r="R38" s="1">
        <v>-4321.3100000000004</v>
      </c>
    </row>
    <row r="39" spans="1:18" ht="15" customHeight="1" x14ac:dyDescent="0.2">
      <c r="H39" t="s">
        <v>101</v>
      </c>
      <c r="R39" s="1">
        <v>-23346.11</v>
      </c>
    </row>
    <row r="40" spans="1:18" ht="15" customHeight="1" x14ac:dyDescent="0.2">
      <c r="A40">
        <v>250</v>
      </c>
      <c r="D40" t="s">
        <v>102</v>
      </c>
      <c r="I40" t="s">
        <v>35</v>
      </c>
      <c r="R40">
        <v>-18.54</v>
      </c>
    </row>
    <row r="41" spans="1:18" ht="15" customHeight="1" x14ac:dyDescent="0.2">
      <c r="A41">
        <v>253</v>
      </c>
      <c r="D41" t="s">
        <v>103</v>
      </c>
      <c r="I41" t="s">
        <v>38</v>
      </c>
      <c r="R41" s="1">
        <v>-14867.44</v>
      </c>
    </row>
    <row r="42" spans="1:18" ht="15" customHeight="1" x14ac:dyDescent="0.2">
      <c r="A42">
        <v>651</v>
      </c>
      <c r="D42" t="s">
        <v>104</v>
      </c>
      <c r="I42" t="s">
        <v>39</v>
      </c>
      <c r="R42" s="1">
        <v>-331.66</v>
      </c>
    </row>
    <row r="43" spans="1:18" ht="15" customHeight="1" x14ac:dyDescent="0.2">
      <c r="A43">
        <v>653</v>
      </c>
      <c r="D43" t="s">
        <v>105</v>
      </c>
      <c r="I43" t="s">
        <v>40</v>
      </c>
      <c r="R43" s="1">
        <v>-59.23</v>
      </c>
    </row>
    <row r="44" spans="1:18" ht="15" customHeight="1" x14ac:dyDescent="0.2">
      <c r="A44">
        <v>654</v>
      </c>
      <c r="D44" t="s">
        <v>106</v>
      </c>
      <c r="I44" t="s">
        <v>41</v>
      </c>
      <c r="R44" s="1">
        <v>-8069.24</v>
      </c>
    </row>
    <row r="45" spans="1:18" ht="15" customHeight="1" x14ac:dyDescent="0.2">
      <c r="H45" t="s">
        <v>107</v>
      </c>
      <c r="R45" s="1">
        <v>-55935.07</v>
      </c>
    </row>
    <row r="46" spans="1:18" x14ac:dyDescent="0.2">
      <c r="I46" t="s">
        <v>7</v>
      </c>
    </row>
    <row r="47" spans="1:18" ht="15" customHeight="1" x14ac:dyDescent="0.2">
      <c r="H47" t="s">
        <v>108</v>
      </c>
      <c r="R47" s="1">
        <v>289470.90999999997</v>
      </c>
    </row>
    <row r="48" spans="1:18" x14ac:dyDescent="0.2">
      <c r="I48" t="s">
        <v>7</v>
      </c>
    </row>
    <row r="49" spans="1:18" ht="15" customHeight="1" x14ac:dyDescent="0.2">
      <c r="H49" t="s">
        <v>109</v>
      </c>
      <c r="R49" s="1">
        <v>-102457.77</v>
      </c>
    </row>
    <row r="50" spans="1:18" x14ac:dyDescent="0.2">
      <c r="I50" t="s">
        <v>7</v>
      </c>
    </row>
    <row r="51" spans="1:18" ht="15" customHeight="1" x14ac:dyDescent="0.2">
      <c r="H51" t="s">
        <v>110</v>
      </c>
      <c r="R51" s="1">
        <v>-102457.77</v>
      </c>
    </row>
    <row r="52" spans="1:18" x14ac:dyDescent="0.2">
      <c r="I52" t="s">
        <v>7</v>
      </c>
      <c r="R52" s="1"/>
    </row>
    <row r="53" spans="1:18" ht="15" customHeight="1" x14ac:dyDescent="0.2">
      <c r="H53" t="s">
        <v>111</v>
      </c>
      <c r="R53" s="1">
        <v>-3000</v>
      </c>
    </row>
    <row r="54" spans="1:18" ht="15" customHeight="1" x14ac:dyDescent="0.2">
      <c r="A54">
        <v>182</v>
      </c>
      <c r="D54" t="s">
        <v>112</v>
      </c>
      <c r="I54" t="s">
        <v>54</v>
      </c>
      <c r="R54" s="1">
        <v>-3000</v>
      </c>
    </row>
    <row r="55" spans="1:18" ht="15" customHeight="1" x14ac:dyDescent="0.2">
      <c r="H55" t="s">
        <v>113</v>
      </c>
      <c r="R55" s="1">
        <v>-19513.05</v>
      </c>
    </row>
    <row r="56" spans="1:18" ht="15" customHeight="1" x14ac:dyDescent="0.2">
      <c r="A56">
        <v>181</v>
      </c>
      <c r="D56" t="s">
        <v>114</v>
      </c>
      <c r="I56" t="s">
        <v>53</v>
      </c>
      <c r="R56" s="1">
        <v>-12806.8</v>
      </c>
    </row>
    <row r="57" spans="1:18" ht="15" customHeight="1" x14ac:dyDescent="0.2">
      <c r="A57">
        <v>188</v>
      </c>
      <c r="D57" t="s">
        <v>115</v>
      </c>
      <c r="I57" t="s">
        <v>116</v>
      </c>
      <c r="R57" s="1">
        <v>-5910</v>
      </c>
    </row>
    <row r="58" spans="1:18" ht="15" customHeight="1" x14ac:dyDescent="0.2">
      <c r="A58">
        <v>535</v>
      </c>
      <c r="D58" t="s">
        <v>199</v>
      </c>
      <c r="I58" t="s">
        <v>232</v>
      </c>
      <c r="R58" s="1">
        <v>-350</v>
      </c>
    </row>
    <row r="59" spans="1:18" ht="15" customHeight="1" x14ac:dyDescent="0.2">
      <c r="A59">
        <v>536</v>
      </c>
      <c r="D59" t="s">
        <v>200</v>
      </c>
      <c r="I59" t="s">
        <v>201</v>
      </c>
      <c r="R59" s="1">
        <v>-446.25</v>
      </c>
    </row>
    <row r="60" spans="1:18" ht="15" customHeight="1" x14ac:dyDescent="0.2">
      <c r="H60" t="s">
        <v>73</v>
      </c>
      <c r="R60" s="1">
        <v>-7580</v>
      </c>
    </row>
    <row r="61" spans="1:18" ht="15" customHeight="1" x14ac:dyDescent="0.2">
      <c r="A61">
        <v>184</v>
      </c>
      <c r="D61" t="s">
        <v>117</v>
      </c>
      <c r="I61" t="s">
        <v>57</v>
      </c>
      <c r="R61" s="1">
        <v>-7580</v>
      </c>
    </row>
    <row r="62" spans="1:18" ht="15" customHeight="1" x14ac:dyDescent="0.2">
      <c r="H62" t="s">
        <v>118</v>
      </c>
      <c r="R62" s="1">
        <v>-2198.16</v>
      </c>
    </row>
    <row r="63" spans="1:18" ht="15" customHeight="1" x14ac:dyDescent="0.2">
      <c r="A63">
        <v>502</v>
      </c>
      <c r="D63" t="s">
        <v>119</v>
      </c>
      <c r="I63" t="s">
        <v>120</v>
      </c>
      <c r="R63" s="1">
        <v>-1435.14</v>
      </c>
    </row>
    <row r="64" spans="1:18" ht="15" customHeight="1" x14ac:dyDescent="0.2">
      <c r="A64">
        <v>503</v>
      </c>
      <c r="D64" t="s">
        <v>121</v>
      </c>
      <c r="I64" t="s">
        <v>122</v>
      </c>
      <c r="R64">
        <v>-428.4</v>
      </c>
    </row>
    <row r="65" spans="1:18" ht="15" customHeight="1" x14ac:dyDescent="0.2">
      <c r="A65">
        <v>504</v>
      </c>
      <c r="D65" t="s">
        <v>123</v>
      </c>
      <c r="I65" t="s">
        <v>124</v>
      </c>
      <c r="R65">
        <v>-53.55</v>
      </c>
    </row>
    <row r="66" spans="1:18" ht="15" customHeight="1" x14ac:dyDescent="0.2">
      <c r="A66">
        <v>505</v>
      </c>
      <c r="D66" t="s">
        <v>202</v>
      </c>
      <c r="I66" t="s">
        <v>203</v>
      </c>
      <c r="R66">
        <v>-92.05</v>
      </c>
    </row>
    <row r="67" spans="1:18" ht="15" customHeight="1" x14ac:dyDescent="0.2">
      <c r="A67">
        <v>506</v>
      </c>
      <c r="D67" t="s">
        <v>204</v>
      </c>
      <c r="I67" t="s">
        <v>205</v>
      </c>
      <c r="R67">
        <v>-28</v>
      </c>
    </row>
    <row r="68" spans="1:18" ht="15" customHeight="1" x14ac:dyDescent="0.2">
      <c r="A68">
        <v>508</v>
      </c>
      <c r="D68" t="s">
        <v>206</v>
      </c>
      <c r="I68" t="s">
        <v>207</v>
      </c>
      <c r="R68">
        <v>-3.5</v>
      </c>
    </row>
    <row r="69" spans="1:18" ht="15" customHeight="1" x14ac:dyDescent="0.2">
      <c r="A69">
        <v>527</v>
      </c>
      <c r="D69" t="s">
        <v>208</v>
      </c>
      <c r="I69" t="s">
        <v>209</v>
      </c>
      <c r="R69">
        <v>-117.36</v>
      </c>
    </row>
    <row r="70" spans="1:18" ht="15" customHeight="1" x14ac:dyDescent="0.2">
      <c r="A70">
        <v>528</v>
      </c>
      <c r="D70" t="s">
        <v>210</v>
      </c>
      <c r="I70" t="s">
        <v>211</v>
      </c>
      <c r="R70" s="1">
        <v>-35.700000000000003</v>
      </c>
    </row>
    <row r="71" spans="1:18" ht="15" customHeight="1" x14ac:dyDescent="0.2">
      <c r="A71">
        <v>529</v>
      </c>
      <c r="D71" t="s">
        <v>212</v>
      </c>
      <c r="I71" t="s">
        <v>213</v>
      </c>
      <c r="R71" s="1">
        <v>-4.46</v>
      </c>
    </row>
    <row r="72" spans="1:18" ht="15" customHeight="1" x14ac:dyDescent="0.2">
      <c r="H72" t="s">
        <v>182</v>
      </c>
      <c r="R72" s="1">
        <v>-11826.89</v>
      </c>
    </row>
    <row r="73" spans="1:18" ht="15" customHeight="1" x14ac:dyDescent="0.2">
      <c r="A73">
        <v>710</v>
      </c>
      <c r="D73" t="s">
        <v>128</v>
      </c>
      <c r="I73" t="s">
        <v>183</v>
      </c>
      <c r="R73" s="1">
        <v>-11826.89</v>
      </c>
    </row>
    <row r="74" spans="1:18" ht="15" customHeight="1" x14ac:dyDescent="0.2">
      <c r="H74" t="s">
        <v>181</v>
      </c>
      <c r="R74">
        <v>-105.6</v>
      </c>
    </row>
    <row r="75" spans="1:18" ht="15" customHeight="1" x14ac:dyDescent="0.2">
      <c r="A75">
        <v>247</v>
      </c>
      <c r="D75" t="s">
        <v>193</v>
      </c>
      <c r="I75" t="s">
        <v>51</v>
      </c>
      <c r="R75" s="1">
        <v>-50</v>
      </c>
    </row>
    <row r="76" spans="1:18" ht="15" customHeight="1" x14ac:dyDescent="0.2">
      <c r="A76">
        <v>711</v>
      </c>
      <c r="D76" t="s">
        <v>249</v>
      </c>
      <c r="I76" t="s">
        <v>30</v>
      </c>
      <c r="R76" s="1">
        <v>-55.6</v>
      </c>
    </row>
    <row r="77" spans="1:18" ht="15" customHeight="1" x14ac:dyDescent="0.2">
      <c r="H77" t="s">
        <v>130</v>
      </c>
      <c r="R77" s="1">
        <v>-58234.07</v>
      </c>
    </row>
    <row r="78" spans="1:18" ht="15" customHeight="1" x14ac:dyDescent="0.2">
      <c r="A78">
        <v>171</v>
      </c>
      <c r="D78" t="s">
        <v>131</v>
      </c>
      <c r="I78" t="s">
        <v>60</v>
      </c>
      <c r="R78" s="1">
        <v>-52310.07</v>
      </c>
    </row>
    <row r="79" spans="1:18" ht="15" customHeight="1" x14ac:dyDescent="0.2">
      <c r="A79">
        <v>245</v>
      </c>
      <c r="D79" t="s">
        <v>132</v>
      </c>
      <c r="I79" t="s">
        <v>191</v>
      </c>
      <c r="R79" s="1">
        <v>-5924</v>
      </c>
    </row>
    <row r="80" spans="1:18" ht="15" customHeight="1" x14ac:dyDescent="0.2">
      <c r="H80" t="s">
        <v>133</v>
      </c>
      <c r="R80" s="1">
        <v>-100692.94</v>
      </c>
    </row>
    <row r="81" spans="1:18" ht="15" customHeight="1" x14ac:dyDescent="0.2">
      <c r="I81" t="s">
        <v>7</v>
      </c>
      <c r="R81" s="1"/>
    </row>
    <row r="82" spans="1:18" ht="15" customHeight="1" x14ac:dyDescent="0.2">
      <c r="H82" t="s">
        <v>134</v>
      </c>
      <c r="R82" s="1">
        <v>-58966.48</v>
      </c>
    </row>
    <row r="83" spans="1:18" ht="15" customHeight="1" x14ac:dyDescent="0.2">
      <c r="A83">
        <v>179</v>
      </c>
      <c r="D83" t="s">
        <v>233</v>
      </c>
      <c r="I83" t="s">
        <v>234</v>
      </c>
      <c r="R83" s="1">
        <v>-6750</v>
      </c>
    </row>
    <row r="84" spans="1:18" ht="15" customHeight="1" x14ac:dyDescent="0.2">
      <c r="A84">
        <v>180</v>
      </c>
      <c r="D84" t="s">
        <v>135</v>
      </c>
      <c r="I84" t="s">
        <v>52</v>
      </c>
      <c r="R84" s="1">
        <v>-19141.62</v>
      </c>
    </row>
    <row r="85" spans="1:18" ht="15" customHeight="1" x14ac:dyDescent="0.2">
      <c r="A85">
        <v>186</v>
      </c>
      <c r="D85" t="s">
        <v>187</v>
      </c>
      <c r="I85" t="s">
        <v>55</v>
      </c>
      <c r="R85" s="1">
        <v>-11850</v>
      </c>
    </row>
    <row r="86" spans="1:18" ht="15" customHeight="1" x14ac:dyDescent="0.2">
      <c r="A86">
        <v>187</v>
      </c>
      <c r="D86" t="s">
        <v>136</v>
      </c>
      <c r="I86" t="s">
        <v>56</v>
      </c>
      <c r="R86" s="1">
        <v>-9343.7000000000007</v>
      </c>
    </row>
    <row r="87" spans="1:18" ht="15" customHeight="1" x14ac:dyDescent="0.2">
      <c r="A87">
        <v>189</v>
      </c>
      <c r="D87" t="s">
        <v>137</v>
      </c>
      <c r="I87" t="s">
        <v>138</v>
      </c>
      <c r="R87" s="1">
        <v>-5035.28</v>
      </c>
    </row>
    <row r="88" spans="1:18" ht="15" customHeight="1" x14ac:dyDescent="0.2">
      <c r="A88">
        <v>190</v>
      </c>
      <c r="D88" t="s">
        <v>139</v>
      </c>
      <c r="I88" t="s">
        <v>140</v>
      </c>
      <c r="R88" s="1">
        <v>2440.71</v>
      </c>
    </row>
    <row r="89" spans="1:18" ht="15" customHeight="1" x14ac:dyDescent="0.2">
      <c r="A89">
        <v>193</v>
      </c>
      <c r="D89" t="s">
        <v>143</v>
      </c>
      <c r="I89" t="s">
        <v>45</v>
      </c>
      <c r="R89" s="1">
        <v>-104.77</v>
      </c>
    </row>
    <row r="90" spans="1:18" ht="15" customHeight="1" x14ac:dyDescent="0.2">
      <c r="A90">
        <v>530</v>
      </c>
      <c r="D90" t="s">
        <v>214</v>
      </c>
      <c r="I90" t="s">
        <v>215</v>
      </c>
      <c r="R90" s="1">
        <v>477.21</v>
      </c>
    </row>
    <row r="91" spans="1:18" ht="15" customHeight="1" x14ac:dyDescent="0.2">
      <c r="A91">
        <v>531</v>
      </c>
      <c r="D91" t="s">
        <v>216</v>
      </c>
      <c r="I91" t="s">
        <v>217</v>
      </c>
      <c r="R91" s="1">
        <v>18.190000000000001</v>
      </c>
    </row>
    <row r="92" spans="1:18" ht="15" customHeight="1" x14ac:dyDescent="0.2">
      <c r="A92">
        <v>195</v>
      </c>
      <c r="D92" t="s">
        <v>144</v>
      </c>
      <c r="I92" t="s">
        <v>145</v>
      </c>
      <c r="R92" s="1">
        <v>-1920.95</v>
      </c>
    </row>
    <row r="93" spans="1:18" ht="15" customHeight="1" x14ac:dyDescent="0.2">
      <c r="A93">
        <v>196</v>
      </c>
      <c r="D93" t="s">
        <v>146</v>
      </c>
      <c r="I93" t="s">
        <v>147</v>
      </c>
      <c r="R93" s="1">
        <v>-577.36</v>
      </c>
    </row>
    <row r="94" spans="1:18" ht="15" customHeight="1" x14ac:dyDescent="0.2">
      <c r="A94">
        <v>197</v>
      </c>
      <c r="D94" t="s">
        <v>148</v>
      </c>
      <c r="I94" t="s">
        <v>149</v>
      </c>
      <c r="R94">
        <v>-72.17</v>
      </c>
    </row>
    <row r="95" spans="1:18" ht="15" customHeight="1" x14ac:dyDescent="0.2">
      <c r="A95">
        <v>499</v>
      </c>
      <c r="D95" t="s">
        <v>218</v>
      </c>
      <c r="I95" t="s">
        <v>219</v>
      </c>
      <c r="R95">
        <v>24.87</v>
      </c>
    </row>
    <row r="96" spans="1:18" ht="15" customHeight="1" x14ac:dyDescent="0.2">
      <c r="A96">
        <v>500</v>
      </c>
      <c r="D96" t="s">
        <v>220</v>
      </c>
      <c r="I96" t="s">
        <v>221</v>
      </c>
      <c r="R96">
        <v>653.9</v>
      </c>
    </row>
    <row r="97" spans="1:18" ht="15" customHeight="1" x14ac:dyDescent="0.2">
      <c r="A97">
        <v>501</v>
      </c>
      <c r="D97" t="s">
        <v>222</v>
      </c>
      <c r="I97" t="s">
        <v>223</v>
      </c>
      <c r="R97">
        <v>198.9</v>
      </c>
    </row>
    <row r="98" spans="1:18" ht="15" customHeight="1" x14ac:dyDescent="0.2">
      <c r="A98">
        <v>522</v>
      </c>
      <c r="D98" t="s">
        <v>224</v>
      </c>
      <c r="I98" t="s">
        <v>225</v>
      </c>
      <c r="R98">
        <v>4.8099999999999996</v>
      </c>
    </row>
    <row r="99" spans="1:18" ht="15" customHeight="1" x14ac:dyDescent="0.2">
      <c r="A99">
        <v>523</v>
      </c>
      <c r="D99" t="s">
        <v>226</v>
      </c>
      <c r="I99" t="s">
        <v>227</v>
      </c>
      <c r="R99" s="1">
        <v>1.46</v>
      </c>
    </row>
    <row r="100" spans="1:18" ht="15" customHeight="1" x14ac:dyDescent="0.2">
      <c r="A100">
        <v>524</v>
      </c>
      <c r="D100" t="s">
        <v>228</v>
      </c>
      <c r="I100" t="s">
        <v>229</v>
      </c>
      <c r="R100" s="1">
        <v>0.18</v>
      </c>
    </row>
    <row r="101" spans="1:18" ht="15" customHeight="1" x14ac:dyDescent="0.2">
      <c r="A101">
        <v>200</v>
      </c>
      <c r="D101" t="s">
        <v>150</v>
      </c>
      <c r="I101" t="s">
        <v>15</v>
      </c>
      <c r="R101" s="1">
        <v>-4503.72</v>
      </c>
    </row>
    <row r="102" spans="1:18" ht="15" customHeight="1" x14ac:dyDescent="0.2">
      <c r="A102">
        <v>201</v>
      </c>
      <c r="D102" t="s">
        <v>151</v>
      </c>
      <c r="I102" t="s">
        <v>152</v>
      </c>
      <c r="R102" s="1">
        <v>-163.13999999999999</v>
      </c>
    </row>
    <row r="103" spans="1:18" ht="15" customHeight="1" x14ac:dyDescent="0.2">
      <c r="A103">
        <v>202</v>
      </c>
      <c r="D103" t="s">
        <v>153</v>
      </c>
      <c r="I103" t="s">
        <v>16</v>
      </c>
      <c r="R103" s="1">
        <v>-2464</v>
      </c>
    </row>
    <row r="104" spans="1:18" ht="15" customHeight="1" x14ac:dyDescent="0.2">
      <c r="A104">
        <v>203</v>
      </c>
      <c r="D104" t="s">
        <v>154</v>
      </c>
      <c r="I104" t="s">
        <v>17</v>
      </c>
      <c r="R104" s="1">
        <v>-860</v>
      </c>
    </row>
    <row r="105" spans="1:18" ht="15" customHeight="1" x14ac:dyDescent="0.2">
      <c r="H105" t="s">
        <v>156</v>
      </c>
      <c r="R105" s="1">
        <v>-10000</v>
      </c>
    </row>
    <row r="106" spans="1:18" ht="15" customHeight="1" x14ac:dyDescent="0.2">
      <c r="A106">
        <v>229</v>
      </c>
      <c r="D106" t="s">
        <v>157</v>
      </c>
      <c r="I106" t="s">
        <v>28</v>
      </c>
      <c r="R106" s="1">
        <v>-10000</v>
      </c>
    </row>
    <row r="107" spans="1:18" ht="15" customHeight="1" x14ac:dyDescent="0.2">
      <c r="H107" t="s">
        <v>159</v>
      </c>
      <c r="R107" s="1">
        <v>-4519</v>
      </c>
    </row>
    <row r="108" spans="1:18" ht="15" customHeight="1" x14ac:dyDescent="0.2">
      <c r="A108">
        <v>214</v>
      </c>
      <c r="D108" t="s">
        <v>160</v>
      </c>
      <c r="I108" t="s">
        <v>21</v>
      </c>
      <c r="R108" s="1">
        <v>-4519</v>
      </c>
    </row>
    <row r="109" spans="1:18" ht="15" customHeight="1" x14ac:dyDescent="0.2">
      <c r="H109" t="s">
        <v>161</v>
      </c>
      <c r="R109" s="1">
        <v>-1174.48</v>
      </c>
    </row>
    <row r="110" spans="1:18" ht="15" customHeight="1" x14ac:dyDescent="0.2">
      <c r="A110">
        <v>217</v>
      </c>
      <c r="D110" t="s">
        <v>162</v>
      </c>
      <c r="I110" t="s">
        <v>23</v>
      </c>
      <c r="R110" s="1">
        <v>-1174.48</v>
      </c>
    </row>
    <row r="111" spans="1:18" ht="15" customHeight="1" x14ac:dyDescent="0.2">
      <c r="H111" t="s">
        <v>163</v>
      </c>
      <c r="R111" s="1">
        <v>-4848.3900000000003</v>
      </c>
    </row>
    <row r="112" spans="1:18" ht="15" customHeight="1" x14ac:dyDescent="0.2">
      <c r="A112">
        <v>219</v>
      </c>
      <c r="D112" t="s">
        <v>194</v>
      </c>
      <c r="I112" t="s">
        <v>49</v>
      </c>
      <c r="R112" s="1">
        <v>-3810.84</v>
      </c>
    </row>
    <row r="113" spans="1:18" ht="15" customHeight="1" x14ac:dyDescent="0.2">
      <c r="A113">
        <v>220</v>
      </c>
      <c r="D113" t="s">
        <v>164</v>
      </c>
      <c r="I113" t="s">
        <v>24</v>
      </c>
      <c r="R113" s="1">
        <v>-897.56</v>
      </c>
    </row>
    <row r="114" spans="1:18" ht="15" customHeight="1" x14ac:dyDescent="0.2">
      <c r="A114">
        <v>233</v>
      </c>
      <c r="D114" t="s">
        <v>195</v>
      </c>
      <c r="I114" t="s">
        <v>50</v>
      </c>
      <c r="R114" s="1">
        <v>-139.99</v>
      </c>
    </row>
    <row r="115" spans="1:18" ht="15" customHeight="1" x14ac:dyDescent="0.2">
      <c r="H115" t="s">
        <v>127</v>
      </c>
      <c r="R115" s="1">
        <v>-14131.61</v>
      </c>
    </row>
    <row r="116" spans="1:18" ht="15" customHeight="1" x14ac:dyDescent="0.2">
      <c r="A116">
        <v>244</v>
      </c>
      <c r="D116" t="s">
        <v>165</v>
      </c>
      <c r="I116" t="s">
        <v>34</v>
      </c>
      <c r="R116" s="1">
        <v>-14131.61</v>
      </c>
    </row>
    <row r="117" spans="1:18" ht="15" customHeight="1" x14ac:dyDescent="0.2">
      <c r="H117" t="s">
        <v>166</v>
      </c>
      <c r="R117" s="1">
        <v>-270.38</v>
      </c>
    </row>
    <row r="118" spans="1:18" ht="15" customHeight="1" x14ac:dyDescent="0.2">
      <c r="A118">
        <v>252</v>
      </c>
      <c r="D118" t="s">
        <v>167</v>
      </c>
      <c r="I118" t="s">
        <v>37</v>
      </c>
      <c r="R118" s="1">
        <v>-270.38</v>
      </c>
    </row>
    <row r="119" spans="1:18" ht="15" customHeight="1" x14ac:dyDescent="0.2">
      <c r="H119" t="s">
        <v>129</v>
      </c>
      <c r="R119" s="1">
        <v>-6782.6</v>
      </c>
    </row>
    <row r="120" spans="1:18" ht="15" customHeight="1" x14ac:dyDescent="0.2">
      <c r="A120">
        <v>215</v>
      </c>
      <c r="D120" t="s">
        <v>230</v>
      </c>
      <c r="I120" t="s">
        <v>61</v>
      </c>
      <c r="R120" s="1">
        <v>-1065.8800000000001</v>
      </c>
    </row>
    <row r="121" spans="1:18" ht="15" customHeight="1" x14ac:dyDescent="0.2">
      <c r="A121">
        <v>216</v>
      </c>
      <c r="D121" t="s">
        <v>169</v>
      </c>
      <c r="I121" t="s">
        <v>22</v>
      </c>
      <c r="R121" s="1">
        <v>-50</v>
      </c>
    </row>
    <row r="122" spans="1:18" ht="15" customHeight="1" x14ac:dyDescent="0.2">
      <c r="A122">
        <v>225</v>
      </c>
      <c r="D122" t="s">
        <v>170</v>
      </c>
      <c r="I122" t="s">
        <v>26</v>
      </c>
      <c r="R122">
        <v>-254.09</v>
      </c>
    </row>
    <row r="123" spans="1:18" x14ac:dyDescent="0.2">
      <c r="A123">
        <v>226</v>
      </c>
      <c r="D123" t="s">
        <v>242</v>
      </c>
      <c r="I123" t="s">
        <v>243</v>
      </c>
      <c r="R123" s="1">
        <v>-133</v>
      </c>
    </row>
    <row r="124" spans="1:18" ht="15" customHeight="1" x14ac:dyDescent="0.2">
      <c r="A124">
        <v>231</v>
      </c>
      <c r="D124" t="s">
        <v>172</v>
      </c>
      <c r="I124" t="s">
        <v>29</v>
      </c>
      <c r="R124" s="1">
        <v>-962.88</v>
      </c>
    </row>
    <row r="125" spans="1:18" ht="15" customHeight="1" x14ac:dyDescent="0.2">
      <c r="A125">
        <v>234</v>
      </c>
      <c r="D125" t="s">
        <v>231</v>
      </c>
      <c r="I125" t="s">
        <v>63</v>
      </c>
      <c r="R125" s="1">
        <v>-203.9</v>
      </c>
    </row>
    <row r="126" spans="1:18" ht="15" customHeight="1" x14ac:dyDescent="0.2">
      <c r="A126">
        <v>238</v>
      </c>
      <c r="D126" t="s">
        <v>174</v>
      </c>
      <c r="I126" t="s">
        <v>33</v>
      </c>
      <c r="R126" s="1">
        <v>-1072.25</v>
      </c>
    </row>
    <row r="127" spans="1:18" ht="15" customHeight="1" x14ac:dyDescent="0.2">
      <c r="A127">
        <v>243</v>
      </c>
      <c r="D127" t="s">
        <v>175</v>
      </c>
      <c r="I127" t="s">
        <v>176</v>
      </c>
      <c r="R127" s="1">
        <v>-2879.7</v>
      </c>
    </row>
    <row r="128" spans="1:18" ht="15" customHeight="1" x14ac:dyDescent="0.2">
      <c r="A128">
        <v>251</v>
      </c>
      <c r="D128" t="s">
        <v>177</v>
      </c>
      <c r="I128" t="s">
        <v>36</v>
      </c>
      <c r="R128" s="1">
        <v>-6.94</v>
      </c>
    </row>
    <row r="129" spans="1:18" ht="15" customHeight="1" x14ac:dyDescent="0.2">
      <c r="A129">
        <v>255</v>
      </c>
      <c r="D129" t="s">
        <v>178</v>
      </c>
      <c r="I129" t="s">
        <v>42</v>
      </c>
      <c r="R129" s="1">
        <v>-153.96</v>
      </c>
    </row>
    <row r="130" spans="1:18" ht="15" customHeight="1" x14ac:dyDescent="0.2">
      <c r="H130" t="s">
        <v>180</v>
      </c>
      <c r="R130" s="1">
        <v>86320.2</v>
      </c>
    </row>
    <row r="131" spans="1:18" x14ac:dyDescent="0.2">
      <c r="R131" s="1"/>
    </row>
    <row r="132" spans="1:18" x14ac:dyDescent="0.2">
      <c r="R132" s="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30"/>
  <sheetViews>
    <sheetView topLeftCell="A91" workbookViewId="0">
      <selection activeCell="D101" sqref="D101"/>
    </sheetView>
  </sheetViews>
  <sheetFormatPr baseColWidth="10" defaultColWidth="8.83203125" defaultRowHeight="15" x14ac:dyDescent="0.2"/>
  <cols>
    <col min="18" max="18" width="11" bestFit="1" customWidth="1"/>
  </cols>
  <sheetData>
    <row r="1" spans="1:19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19" ht="15" customHeight="1" x14ac:dyDescent="0.2">
      <c r="H2" t="s">
        <v>67</v>
      </c>
      <c r="R2" s="1">
        <v>581307.37</v>
      </c>
    </row>
    <row r="3" spans="1:19" x14ac:dyDescent="0.2">
      <c r="A3">
        <v>860</v>
      </c>
      <c r="D3" t="s">
        <v>68</v>
      </c>
      <c r="I3" t="s">
        <v>69</v>
      </c>
      <c r="R3" s="1">
        <v>103628.97</v>
      </c>
    </row>
    <row r="4" spans="1:19" ht="15" customHeight="1" x14ac:dyDescent="0.2">
      <c r="A4">
        <v>861</v>
      </c>
      <c r="D4" t="s">
        <v>70</v>
      </c>
      <c r="I4" t="s">
        <v>71</v>
      </c>
      <c r="R4" s="1">
        <v>362077.95</v>
      </c>
    </row>
    <row r="5" spans="1:19" x14ac:dyDescent="0.2">
      <c r="A5">
        <v>865</v>
      </c>
      <c r="D5" t="s">
        <v>72</v>
      </c>
      <c r="I5" t="s">
        <v>73</v>
      </c>
      <c r="R5" s="1">
        <v>114754.37</v>
      </c>
    </row>
    <row r="6" spans="1:19" ht="15" customHeight="1" x14ac:dyDescent="0.2">
      <c r="A6">
        <v>868</v>
      </c>
      <c r="D6" t="s">
        <v>244</v>
      </c>
      <c r="I6" t="s">
        <v>245</v>
      </c>
      <c r="R6">
        <v>846.08</v>
      </c>
    </row>
    <row r="7" spans="1:19" ht="15" customHeight="1" x14ac:dyDescent="0.2">
      <c r="H7" t="s">
        <v>74</v>
      </c>
      <c r="R7" s="1">
        <v>66278.899999999994</v>
      </c>
    </row>
    <row r="8" spans="1:19" x14ac:dyDescent="0.2">
      <c r="A8">
        <v>863</v>
      </c>
      <c r="D8" t="s">
        <v>75</v>
      </c>
      <c r="I8" t="s">
        <v>76</v>
      </c>
      <c r="R8" s="1">
        <v>23873.87</v>
      </c>
    </row>
    <row r="9" spans="1:19" ht="15" customHeight="1" x14ac:dyDescent="0.2">
      <c r="A9">
        <v>864</v>
      </c>
      <c r="D9" t="s">
        <v>77</v>
      </c>
      <c r="I9" t="s">
        <v>78</v>
      </c>
      <c r="R9" s="1">
        <v>17237.34</v>
      </c>
      <c r="S9" s="1"/>
    </row>
    <row r="10" spans="1:19" x14ac:dyDescent="0.2">
      <c r="A10">
        <v>866</v>
      </c>
      <c r="D10" t="s">
        <v>238</v>
      </c>
      <c r="I10" t="s">
        <v>239</v>
      </c>
      <c r="R10" s="1">
        <v>22021.99</v>
      </c>
    </row>
    <row r="11" spans="1:19" ht="15" customHeight="1" x14ac:dyDescent="0.2">
      <c r="A11">
        <v>869</v>
      </c>
      <c r="D11" t="s">
        <v>247</v>
      </c>
      <c r="I11" t="s">
        <v>248</v>
      </c>
      <c r="R11" s="1">
        <v>3145.7</v>
      </c>
    </row>
    <row r="12" spans="1:19" ht="15" customHeight="1" x14ac:dyDescent="0.2">
      <c r="H12" t="s">
        <v>79</v>
      </c>
      <c r="R12" s="1">
        <v>647586.27</v>
      </c>
    </row>
    <row r="13" spans="1:19" x14ac:dyDescent="0.2">
      <c r="I13" t="s">
        <v>7</v>
      </c>
      <c r="R13" s="1"/>
    </row>
    <row r="14" spans="1:19" ht="15" customHeight="1" x14ac:dyDescent="0.2">
      <c r="H14" t="s">
        <v>80</v>
      </c>
      <c r="R14" s="1">
        <v>-1467.16</v>
      </c>
    </row>
    <row r="15" spans="1:19" ht="15" customHeight="1" x14ac:dyDescent="0.2">
      <c r="A15">
        <v>166</v>
      </c>
      <c r="D15" t="s">
        <v>81</v>
      </c>
      <c r="I15" t="s">
        <v>10</v>
      </c>
      <c r="R15" s="1">
        <v>-1467.16</v>
      </c>
    </row>
    <row r="16" spans="1:19" ht="15" customHeight="1" x14ac:dyDescent="0.2">
      <c r="H16" t="s">
        <v>83</v>
      </c>
      <c r="R16" s="1">
        <v>646119.11</v>
      </c>
    </row>
    <row r="17" spans="1:18" x14ac:dyDescent="0.2">
      <c r="I17" t="s">
        <v>7</v>
      </c>
      <c r="R17" s="1"/>
    </row>
    <row r="18" spans="1:18" ht="15" customHeight="1" x14ac:dyDescent="0.2">
      <c r="H18" t="s">
        <v>84</v>
      </c>
      <c r="R18" s="1">
        <v>34011.269999999997</v>
      </c>
    </row>
    <row r="19" spans="1:18" ht="15" customHeight="1" x14ac:dyDescent="0.2">
      <c r="A19">
        <v>749</v>
      </c>
      <c r="D19" t="s">
        <v>85</v>
      </c>
      <c r="I19" t="s">
        <v>58</v>
      </c>
      <c r="R19" s="1">
        <v>34011.269999999997</v>
      </c>
    </row>
    <row r="20" spans="1:18" ht="15" customHeight="1" x14ac:dyDescent="0.2">
      <c r="H20" t="s">
        <v>86</v>
      </c>
      <c r="R20" s="1">
        <v>680130.38</v>
      </c>
    </row>
    <row r="21" spans="1:18" x14ac:dyDescent="0.2">
      <c r="I21" t="s">
        <v>7</v>
      </c>
      <c r="R21" s="1"/>
    </row>
    <row r="22" spans="1:18" ht="15" customHeight="1" x14ac:dyDescent="0.2">
      <c r="H22" t="s">
        <v>87</v>
      </c>
      <c r="R22" s="1">
        <v>-149255.1</v>
      </c>
    </row>
    <row r="23" spans="1:18" ht="15" customHeight="1" x14ac:dyDescent="0.2">
      <c r="A23">
        <v>162</v>
      </c>
      <c r="D23" t="s">
        <v>88</v>
      </c>
      <c r="I23" t="s">
        <v>8</v>
      </c>
      <c r="R23" s="1">
        <v>-137158.93</v>
      </c>
    </row>
    <row r="24" spans="1:18" ht="15" customHeight="1" x14ac:dyDescent="0.2">
      <c r="A24">
        <v>165</v>
      </c>
      <c r="D24" t="s">
        <v>89</v>
      </c>
      <c r="I24" t="s">
        <v>9</v>
      </c>
      <c r="R24" s="1">
        <v>-9114.17</v>
      </c>
    </row>
    <row r="25" spans="1:18" ht="15" customHeight="1" x14ac:dyDescent="0.2">
      <c r="A25">
        <v>167</v>
      </c>
      <c r="D25" t="s">
        <v>90</v>
      </c>
      <c r="I25" t="s">
        <v>11</v>
      </c>
      <c r="R25" s="1">
        <v>-2982</v>
      </c>
    </row>
    <row r="26" spans="1:18" ht="15" customHeight="1" x14ac:dyDescent="0.2">
      <c r="H26" t="s">
        <v>93</v>
      </c>
      <c r="R26" s="1">
        <v>-149255.1</v>
      </c>
    </row>
    <row r="27" spans="1:18" x14ac:dyDescent="0.2">
      <c r="I27" t="s">
        <v>7</v>
      </c>
      <c r="R27" s="1"/>
    </row>
    <row r="28" spans="1:18" ht="15" customHeight="1" x14ac:dyDescent="0.2">
      <c r="H28" t="s">
        <v>252</v>
      </c>
      <c r="R28" s="1">
        <v>1552.28</v>
      </c>
    </row>
    <row r="29" spans="1:18" ht="15" customHeight="1" x14ac:dyDescent="0.2">
      <c r="A29">
        <v>159</v>
      </c>
      <c r="D29" t="s">
        <v>253</v>
      </c>
      <c r="I29" t="s">
        <v>252</v>
      </c>
      <c r="R29" s="1">
        <v>1552.28</v>
      </c>
    </row>
    <row r="30" spans="1:18" ht="15" customHeight="1" x14ac:dyDescent="0.2">
      <c r="H30" t="s">
        <v>94</v>
      </c>
      <c r="R30" s="1">
        <v>532427.56000000006</v>
      </c>
    </row>
    <row r="31" spans="1:18" x14ac:dyDescent="0.2">
      <c r="I31" t="s">
        <v>7</v>
      </c>
      <c r="R31" s="1"/>
    </row>
    <row r="32" spans="1:18" ht="15" customHeight="1" x14ac:dyDescent="0.2">
      <c r="H32" t="s">
        <v>95</v>
      </c>
      <c r="R32" s="1">
        <v>-43020.04</v>
      </c>
    </row>
    <row r="33" spans="1:18" ht="15" customHeight="1" x14ac:dyDescent="0.2">
      <c r="A33">
        <v>164</v>
      </c>
      <c r="D33" t="s">
        <v>96</v>
      </c>
      <c r="I33" t="s">
        <v>97</v>
      </c>
      <c r="R33" s="1">
        <v>-29566.35</v>
      </c>
    </row>
    <row r="34" spans="1:18" ht="15" customHeight="1" x14ac:dyDescent="0.2">
      <c r="A34">
        <v>206</v>
      </c>
      <c r="D34" t="s">
        <v>98</v>
      </c>
      <c r="I34" t="s">
        <v>13</v>
      </c>
      <c r="R34" s="1">
        <v>-2093.42</v>
      </c>
    </row>
    <row r="35" spans="1:18" ht="15" customHeight="1" x14ac:dyDescent="0.2">
      <c r="A35">
        <v>207</v>
      </c>
      <c r="D35" t="s">
        <v>192</v>
      </c>
      <c r="I35" t="s">
        <v>14</v>
      </c>
      <c r="R35" s="1">
        <v>-7284.27</v>
      </c>
    </row>
    <row r="36" spans="1:18" ht="15" customHeight="1" x14ac:dyDescent="0.2">
      <c r="A36">
        <v>224</v>
      </c>
      <c r="D36" t="s">
        <v>100</v>
      </c>
      <c r="I36" t="s">
        <v>25</v>
      </c>
      <c r="R36" s="1">
        <v>-4076</v>
      </c>
    </row>
    <row r="37" spans="1:18" ht="15" customHeight="1" x14ac:dyDescent="0.2">
      <c r="H37" t="s">
        <v>101</v>
      </c>
      <c r="R37" s="1">
        <v>-20628.88</v>
      </c>
    </row>
    <row r="38" spans="1:18" ht="15" customHeight="1" x14ac:dyDescent="0.2">
      <c r="A38">
        <v>250</v>
      </c>
      <c r="D38" t="s">
        <v>102</v>
      </c>
      <c r="I38" t="s">
        <v>35</v>
      </c>
      <c r="R38" s="1">
        <v>-9485.26</v>
      </c>
    </row>
    <row r="39" spans="1:18" ht="15" customHeight="1" x14ac:dyDescent="0.2">
      <c r="A39">
        <v>253</v>
      </c>
      <c r="D39" t="s">
        <v>103</v>
      </c>
      <c r="I39" t="s">
        <v>38</v>
      </c>
      <c r="R39" s="1">
        <v>-10888.27</v>
      </c>
    </row>
    <row r="40" spans="1:18" ht="15" customHeight="1" x14ac:dyDescent="0.2">
      <c r="A40">
        <v>651</v>
      </c>
      <c r="D40" t="s">
        <v>104</v>
      </c>
      <c r="I40" t="s">
        <v>39</v>
      </c>
      <c r="R40" s="1">
        <v>-187.73</v>
      </c>
    </row>
    <row r="41" spans="1:18" ht="15" customHeight="1" x14ac:dyDescent="0.2">
      <c r="A41">
        <v>653</v>
      </c>
      <c r="D41" t="s">
        <v>105</v>
      </c>
      <c r="I41" t="s">
        <v>40</v>
      </c>
      <c r="R41" s="1">
        <v>-67.62</v>
      </c>
    </row>
    <row r="42" spans="1:18" ht="15" customHeight="1" x14ac:dyDescent="0.2">
      <c r="H42" t="s">
        <v>107</v>
      </c>
      <c r="R42" s="1">
        <v>-63648.92</v>
      </c>
    </row>
    <row r="43" spans="1:18" x14ac:dyDescent="0.2">
      <c r="I43" t="s">
        <v>7</v>
      </c>
      <c r="R43" s="1"/>
    </row>
    <row r="44" spans="1:18" ht="15" customHeight="1" x14ac:dyDescent="0.2">
      <c r="H44" t="s">
        <v>108</v>
      </c>
      <c r="R44" s="1">
        <v>468778.64</v>
      </c>
    </row>
    <row r="45" spans="1:18" x14ac:dyDescent="0.2">
      <c r="I45" t="s">
        <v>7</v>
      </c>
      <c r="R45" s="1"/>
    </row>
    <row r="46" spans="1:18" ht="15" customHeight="1" x14ac:dyDescent="0.2">
      <c r="H46" t="s">
        <v>109</v>
      </c>
      <c r="R46" s="1">
        <v>-136596.67000000001</v>
      </c>
    </row>
    <row r="47" spans="1:18" x14ac:dyDescent="0.2">
      <c r="I47" t="s">
        <v>7</v>
      </c>
      <c r="R47" s="1"/>
    </row>
    <row r="48" spans="1:18" ht="15" customHeight="1" x14ac:dyDescent="0.2">
      <c r="H48" t="s">
        <v>110</v>
      </c>
      <c r="R48" s="1">
        <v>-136596.67000000001</v>
      </c>
    </row>
    <row r="49" spans="1:18" x14ac:dyDescent="0.2">
      <c r="I49" t="s">
        <v>7</v>
      </c>
      <c r="R49" s="1"/>
    </row>
    <row r="50" spans="1:18" ht="15" customHeight="1" x14ac:dyDescent="0.2">
      <c r="H50" t="s">
        <v>111</v>
      </c>
      <c r="R50" s="1">
        <v>-3000</v>
      </c>
    </row>
    <row r="51" spans="1:18" ht="15" customHeight="1" x14ac:dyDescent="0.2">
      <c r="A51">
        <v>182</v>
      </c>
      <c r="D51" t="s">
        <v>112</v>
      </c>
      <c r="I51" t="s">
        <v>54</v>
      </c>
      <c r="R51" s="1">
        <v>-3000</v>
      </c>
    </row>
    <row r="52" spans="1:18" ht="15" customHeight="1" x14ac:dyDescent="0.2">
      <c r="H52" t="s">
        <v>113</v>
      </c>
      <c r="R52" s="1">
        <v>-22554.720000000001</v>
      </c>
    </row>
    <row r="53" spans="1:18" ht="15" customHeight="1" x14ac:dyDescent="0.2">
      <c r="A53">
        <v>181</v>
      </c>
      <c r="D53" t="s">
        <v>114</v>
      </c>
      <c r="I53" t="s">
        <v>53</v>
      </c>
      <c r="R53" s="1">
        <v>-15913.47</v>
      </c>
    </row>
    <row r="54" spans="1:18" ht="15" customHeight="1" x14ac:dyDescent="0.2">
      <c r="A54">
        <v>188</v>
      </c>
      <c r="D54" t="s">
        <v>115</v>
      </c>
      <c r="I54" t="s">
        <v>116</v>
      </c>
      <c r="R54" s="1">
        <v>-5355</v>
      </c>
    </row>
    <row r="55" spans="1:18" ht="15" customHeight="1" x14ac:dyDescent="0.2">
      <c r="A55">
        <v>535</v>
      </c>
      <c r="D55" t="s">
        <v>199</v>
      </c>
      <c r="I55" t="s">
        <v>232</v>
      </c>
      <c r="R55" s="1">
        <v>-840</v>
      </c>
    </row>
    <row r="56" spans="1:18" ht="15" customHeight="1" x14ac:dyDescent="0.2">
      <c r="A56">
        <v>536</v>
      </c>
      <c r="D56" t="s">
        <v>200</v>
      </c>
      <c r="I56" t="s">
        <v>201</v>
      </c>
      <c r="R56" s="1">
        <v>-446.25</v>
      </c>
    </row>
    <row r="57" spans="1:18" x14ac:dyDescent="0.2">
      <c r="H57" t="s">
        <v>73</v>
      </c>
      <c r="R57" s="1">
        <v>-6320</v>
      </c>
    </row>
    <row r="58" spans="1:18" ht="15" customHeight="1" x14ac:dyDescent="0.2">
      <c r="A58">
        <v>184</v>
      </c>
      <c r="D58" t="s">
        <v>117</v>
      </c>
      <c r="I58" t="s">
        <v>57</v>
      </c>
      <c r="R58" s="1">
        <v>-6320</v>
      </c>
    </row>
    <row r="59" spans="1:18" ht="15" customHeight="1" x14ac:dyDescent="0.2">
      <c r="H59" t="s">
        <v>118</v>
      </c>
      <c r="R59" s="1">
        <v>-3369.82</v>
      </c>
    </row>
    <row r="60" spans="1:18" ht="15" customHeight="1" x14ac:dyDescent="0.2">
      <c r="A60">
        <v>502</v>
      </c>
      <c r="D60" t="s">
        <v>119</v>
      </c>
      <c r="I60" t="s">
        <v>120</v>
      </c>
      <c r="R60" s="1">
        <v>-2182.7600000000002</v>
      </c>
    </row>
    <row r="61" spans="1:18" ht="15" customHeight="1" x14ac:dyDescent="0.2">
      <c r="A61">
        <v>503</v>
      </c>
      <c r="D61" t="s">
        <v>121</v>
      </c>
      <c r="I61" t="s">
        <v>122</v>
      </c>
      <c r="R61" s="1">
        <v>-651.55999999999995</v>
      </c>
    </row>
    <row r="62" spans="1:18" ht="15" customHeight="1" x14ac:dyDescent="0.2">
      <c r="A62">
        <v>504</v>
      </c>
      <c r="D62" t="s">
        <v>123</v>
      </c>
      <c r="I62" t="s">
        <v>124</v>
      </c>
      <c r="R62">
        <v>-81.45</v>
      </c>
    </row>
    <row r="63" spans="1:18" ht="15" customHeight="1" x14ac:dyDescent="0.2">
      <c r="A63">
        <v>505</v>
      </c>
      <c r="D63" t="s">
        <v>202</v>
      </c>
      <c r="I63" t="s">
        <v>203</v>
      </c>
      <c r="R63">
        <v>-220.92</v>
      </c>
    </row>
    <row r="64" spans="1:18" ht="15" customHeight="1" x14ac:dyDescent="0.2">
      <c r="A64">
        <v>506</v>
      </c>
      <c r="D64" t="s">
        <v>204</v>
      </c>
      <c r="I64" t="s">
        <v>205</v>
      </c>
      <c r="R64">
        <v>-67.2</v>
      </c>
    </row>
    <row r="65" spans="1:18" ht="15" customHeight="1" x14ac:dyDescent="0.2">
      <c r="A65">
        <v>508</v>
      </c>
      <c r="D65" t="s">
        <v>206</v>
      </c>
      <c r="I65" t="s">
        <v>207</v>
      </c>
      <c r="R65">
        <v>-8.4</v>
      </c>
    </row>
    <row r="66" spans="1:18" ht="15" customHeight="1" x14ac:dyDescent="0.2">
      <c r="A66">
        <v>527</v>
      </c>
      <c r="D66" t="s">
        <v>208</v>
      </c>
      <c r="I66" t="s">
        <v>209</v>
      </c>
      <c r="R66">
        <v>-117.37</v>
      </c>
    </row>
    <row r="67" spans="1:18" ht="15" customHeight="1" x14ac:dyDescent="0.2">
      <c r="A67">
        <v>528</v>
      </c>
      <c r="D67" t="s">
        <v>210</v>
      </c>
      <c r="I67" t="s">
        <v>211</v>
      </c>
      <c r="R67">
        <v>-35.700000000000003</v>
      </c>
    </row>
    <row r="68" spans="1:18" ht="15" customHeight="1" x14ac:dyDescent="0.2">
      <c r="A68">
        <v>529</v>
      </c>
      <c r="D68" t="s">
        <v>212</v>
      </c>
      <c r="I68" t="s">
        <v>213</v>
      </c>
      <c r="R68" s="1">
        <v>-4.46</v>
      </c>
    </row>
    <row r="69" spans="1:18" ht="15" customHeight="1" x14ac:dyDescent="0.2">
      <c r="H69" t="s">
        <v>182</v>
      </c>
      <c r="R69" s="1">
        <v>-26498.07</v>
      </c>
    </row>
    <row r="70" spans="1:18" ht="15" customHeight="1" x14ac:dyDescent="0.2">
      <c r="A70">
        <v>710</v>
      </c>
      <c r="D70" t="s">
        <v>128</v>
      </c>
      <c r="I70" t="s">
        <v>183</v>
      </c>
      <c r="R70" s="1">
        <v>-26498.07</v>
      </c>
    </row>
    <row r="71" spans="1:18" ht="15" customHeight="1" x14ac:dyDescent="0.2">
      <c r="H71" t="s">
        <v>181</v>
      </c>
      <c r="R71" s="1">
        <v>-15832.55</v>
      </c>
    </row>
    <row r="72" spans="1:18" ht="15" customHeight="1" x14ac:dyDescent="0.2">
      <c r="A72">
        <v>247</v>
      </c>
      <c r="D72" t="s">
        <v>193</v>
      </c>
      <c r="I72" t="s">
        <v>51</v>
      </c>
      <c r="R72" s="1">
        <v>-15783.51</v>
      </c>
    </row>
    <row r="73" spans="1:18" ht="15" customHeight="1" x14ac:dyDescent="0.2">
      <c r="A73">
        <v>711</v>
      </c>
      <c r="D73" t="s">
        <v>249</v>
      </c>
      <c r="I73" t="s">
        <v>30</v>
      </c>
      <c r="R73" s="1">
        <v>-49.04</v>
      </c>
    </row>
    <row r="74" spans="1:18" ht="15" customHeight="1" x14ac:dyDescent="0.2">
      <c r="H74" t="s">
        <v>130</v>
      </c>
      <c r="R74" s="1">
        <v>-59021.51</v>
      </c>
    </row>
    <row r="75" spans="1:18" ht="15" customHeight="1" x14ac:dyDescent="0.2">
      <c r="A75">
        <v>171</v>
      </c>
      <c r="D75" t="s">
        <v>131</v>
      </c>
      <c r="I75" t="s">
        <v>60</v>
      </c>
      <c r="R75" s="1">
        <v>-55789.51</v>
      </c>
    </row>
    <row r="76" spans="1:18" ht="15" customHeight="1" x14ac:dyDescent="0.2">
      <c r="A76">
        <v>245</v>
      </c>
      <c r="D76" t="s">
        <v>132</v>
      </c>
      <c r="I76" t="s">
        <v>191</v>
      </c>
      <c r="R76" s="1">
        <v>-3232</v>
      </c>
    </row>
    <row r="77" spans="1:18" ht="15" customHeight="1" x14ac:dyDescent="0.2">
      <c r="H77" t="s">
        <v>133</v>
      </c>
      <c r="R77" s="1">
        <v>-113586.09</v>
      </c>
    </row>
    <row r="78" spans="1:18" x14ac:dyDescent="0.2">
      <c r="I78" t="s">
        <v>7</v>
      </c>
      <c r="R78" s="1"/>
    </row>
    <row r="79" spans="1:18" ht="15" customHeight="1" x14ac:dyDescent="0.2">
      <c r="H79" t="s">
        <v>134</v>
      </c>
      <c r="R79" s="1">
        <v>-60162.76</v>
      </c>
    </row>
    <row r="80" spans="1:18" ht="15" customHeight="1" x14ac:dyDescent="0.2">
      <c r="A80">
        <v>179</v>
      </c>
      <c r="D80" t="s">
        <v>233</v>
      </c>
      <c r="I80" t="s">
        <v>234</v>
      </c>
      <c r="R80" s="1">
        <v>-6750</v>
      </c>
    </row>
    <row r="81" spans="1:18" ht="15" customHeight="1" x14ac:dyDescent="0.2">
      <c r="A81">
        <v>180</v>
      </c>
      <c r="D81" t="s">
        <v>135</v>
      </c>
      <c r="I81" t="s">
        <v>52</v>
      </c>
      <c r="R81" s="1">
        <v>-19141.62</v>
      </c>
    </row>
    <row r="82" spans="1:18" ht="15" customHeight="1" x14ac:dyDescent="0.2">
      <c r="A82">
        <v>186</v>
      </c>
      <c r="D82" t="s">
        <v>187</v>
      </c>
      <c r="I82" t="s">
        <v>55</v>
      </c>
      <c r="R82" s="1">
        <v>-9022.7999999999993</v>
      </c>
    </row>
    <row r="83" spans="1:18" ht="15" customHeight="1" x14ac:dyDescent="0.2">
      <c r="A83">
        <v>187</v>
      </c>
      <c r="D83" t="s">
        <v>136</v>
      </c>
      <c r="I83" t="s">
        <v>56</v>
      </c>
      <c r="R83" s="1">
        <v>-9343.7000000000007</v>
      </c>
    </row>
    <row r="84" spans="1:18" ht="15" customHeight="1" x14ac:dyDescent="0.2">
      <c r="A84">
        <v>189</v>
      </c>
      <c r="D84" t="s">
        <v>137</v>
      </c>
      <c r="I84" t="s">
        <v>138</v>
      </c>
      <c r="R84" s="1">
        <v>-3901.17</v>
      </c>
    </row>
    <row r="85" spans="1:18" ht="15" customHeight="1" x14ac:dyDescent="0.2">
      <c r="A85">
        <v>190</v>
      </c>
      <c r="D85" t="s">
        <v>139</v>
      </c>
      <c r="I85" t="s">
        <v>140</v>
      </c>
      <c r="R85" s="1">
        <v>-1984.5</v>
      </c>
    </row>
    <row r="86" spans="1:18" x14ac:dyDescent="0.2">
      <c r="A86">
        <v>193</v>
      </c>
      <c r="D86" t="s">
        <v>143</v>
      </c>
      <c r="I86" t="s">
        <v>45</v>
      </c>
      <c r="R86" s="1">
        <v>-104.77</v>
      </c>
    </row>
    <row r="87" spans="1:18" ht="15" customHeight="1" x14ac:dyDescent="0.2">
      <c r="A87">
        <v>530</v>
      </c>
      <c r="D87" t="s">
        <v>214</v>
      </c>
      <c r="I87" t="s">
        <v>215</v>
      </c>
      <c r="R87">
        <v>-696.56</v>
      </c>
    </row>
    <row r="88" spans="1:18" ht="15" customHeight="1" x14ac:dyDescent="0.2">
      <c r="A88">
        <v>531</v>
      </c>
      <c r="D88" t="s">
        <v>216</v>
      </c>
      <c r="I88" t="s">
        <v>217</v>
      </c>
      <c r="R88" s="1">
        <v>984.69</v>
      </c>
    </row>
    <row r="89" spans="1:18" ht="15" customHeight="1" x14ac:dyDescent="0.2">
      <c r="A89">
        <v>195</v>
      </c>
      <c r="D89" t="s">
        <v>144</v>
      </c>
      <c r="I89" t="s">
        <v>145</v>
      </c>
      <c r="R89" s="1">
        <v>-1711.67</v>
      </c>
    </row>
    <row r="90" spans="1:18" ht="15" customHeight="1" x14ac:dyDescent="0.2">
      <c r="A90">
        <v>196</v>
      </c>
      <c r="D90" t="s">
        <v>146</v>
      </c>
      <c r="I90" t="s">
        <v>147</v>
      </c>
      <c r="R90" s="1">
        <v>-533.04999999999995</v>
      </c>
    </row>
    <row r="91" spans="1:18" ht="15" customHeight="1" x14ac:dyDescent="0.2">
      <c r="A91">
        <v>197</v>
      </c>
      <c r="D91" t="s">
        <v>148</v>
      </c>
      <c r="I91" t="s">
        <v>149</v>
      </c>
      <c r="R91">
        <v>-66.62</v>
      </c>
    </row>
    <row r="92" spans="1:18" ht="15" customHeight="1" x14ac:dyDescent="0.2">
      <c r="A92">
        <v>499</v>
      </c>
      <c r="D92" t="s">
        <v>218</v>
      </c>
      <c r="I92" t="s">
        <v>219</v>
      </c>
      <c r="R92">
        <v>-6.97</v>
      </c>
    </row>
    <row r="93" spans="1:18" ht="15" customHeight="1" x14ac:dyDescent="0.2">
      <c r="A93">
        <v>500</v>
      </c>
      <c r="D93" t="s">
        <v>220</v>
      </c>
      <c r="I93" t="s">
        <v>221</v>
      </c>
      <c r="R93">
        <v>-183.17</v>
      </c>
    </row>
    <row r="94" spans="1:18" ht="15" customHeight="1" x14ac:dyDescent="0.2">
      <c r="A94">
        <v>501</v>
      </c>
      <c r="D94" t="s">
        <v>222</v>
      </c>
      <c r="I94" t="s">
        <v>223</v>
      </c>
      <c r="R94">
        <v>-55.72</v>
      </c>
    </row>
    <row r="95" spans="1:18" ht="15" customHeight="1" x14ac:dyDescent="0.2">
      <c r="A95">
        <v>522</v>
      </c>
      <c r="D95" t="s">
        <v>224</v>
      </c>
      <c r="I95" t="s">
        <v>225</v>
      </c>
      <c r="R95">
        <v>259.04000000000002</v>
      </c>
    </row>
    <row r="96" spans="1:18" ht="15" customHeight="1" x14ac:dyDescent="0.2">
      <c r="A96">
        <v>523</v>
      </c>
      <c r="D96" t="s">
        <v>226</v>
      </c>
      <c r="I96" t="s">
        <v>227</v>
      </c>
      <c r="R96">
        <v>78.77</v>
      </c>
    </row>
    <row r="97" spans="1:18" ht="15" customHeight="1" x14ac:dyDescent="0.2">
      <c r="A97">
        <v>524</v>
      </c>
      <c r="D97" t="s">
        <v>228</v>
      </c>
      <c r="I97" t="s">
        <v>229</v>
      </c>
      <c r="R97" s="1">
        <v>9.84</v>
      </c>
    </row>
    <row r="98" spans="1:18" ht="15" customHeight="1" x14ac:dyDescent="0.2">
      <c r="A98">
        <v>200</v>
      </c>
      <c r="D98" t="s">
        <v>150</v>
      </c>
      <c r="I98" t="s">
        <v>15</v>
      </c>
      <c r="R98" s="1">
        <v>-1352.22</v>
      </c>
    </row>
    <row r="99" spans="1:18" ht="15" customHeight="1" x14ac:dyDescent="0.2">
      <c r="A99">
        <v>201</v>
      </c>
      <c r="D99" t="s">
        <v>151</v>
      </c>
      <c r="I99" t="s">
        <v>152</v>
      </c>
      <c r="R99" s="1">
        <v>-1141.56</v>
      </c>
    </row>
    <row r="100" spans="1:18" ht="15" customHeight="1" x14ac:dyDescent="0.2">
      <c r="A100">
        <v>202</v>
      </c>
      <c r="D100" t="s">
        <v>153</v>
      </c>
      <c r="I100" t="s">
        <v>16</v>
      </c>
      <c r="R100" s="1">
        <v>-5235</v>
      </c>
    </row>
    <row r="101" spans="1:18" ht="15" customHeight="1" x14ac:dyDescent="0.2">
      <c r="A101">
        <v>203</v>
      </c>
      <c r="D101" t="s">
        <v>154</v>
      </c>
      <c r="I101" t="s">
        <v>17</v>
      </c>
      <c r="R101" s="1">
        <v>-215</v>
      </c>
    </row>
    <row r="102" spans="1:18" ht="15" customHeight="1" x14ac:dyDescent="0.2">
      <c r="A102">
        <v>210</v>
      </c>
      <c r="D102" t="s">
        <v>155</v>
      </c>
      <c r="I102" t="s">
        <v>18</v>
      </c>
      <c r="R102" s="1">
        <v>-49</v>
      </c>
    </row>
    <row r="103" spans="1:18" ht="15" customHeight="1" x14ac:dyDescent="0.2">
      <c r="H103" t="s">
        <v>156</v>
      </c>
      <c r="R103" s="1">
        <v>-10029.67</v>
      </c>
    </row>
    <row r="104" spans="1:18" x14ac:dyDescent="0.2">
      <c r="A104">
        <v>229</v>
      </c>
      <c r="D104" t="s">
        <v>157</v>
      </c>
      <c r="I104" t="s">
        <v>28</v>
      </c>
      <c r="R104" s="1">
        <v>-10000</v>
      </c>
    </row>
    <row r="105" spans="1:18" ht="15" customHeight="1" x14ac:dyDescent="0.2">
      <c r="A105">
        <v>237</v>
      </c>
      <c r="D105" t="s">
        <v>158</v>
      </c>
      <c r="I105" t="s">
        <v>32</v>
      </c>
      <c r="R105" s="1">
        <v>-29.67</v>
      </c>
    </row>
    <row r="106" spans="1:18" ht="15" customHeight="1" x14ac:dyDescent="0.2">
      <c r="H106" t="s">
        <v>159</v>
      </c>
      <c r="R106" s="1">
        <v>-4560.1400000000003</v>
      </c>
    </row>
    <row r="107" spans="1:18" ht="15" customHeight="1" x14ac:dyDescent="0.2">
      <c r="A107">
        <v>214</v>
      </c>
      <c r="D107" t="s">
        <v>160</v>
      </c>
      <c r="I107" t="s">
        <v>21</v>
      </c>
      <c r="R107" s="1">
        <v>-4560.1400000000003</v>
      </c>
    </row>
    <row r="108" spans="1:18" ht="15" customHeight="1" x14ac:dyDescent="0.2">
      <c r="H108" t="s">
        <v>161</v>
      </c>
      <c r="R108" s="1">
        <v>-6730.92</v>
      </c>
    </row>
    <row r="109" spans="1:18" ht="15" customHeight="1" x14ac:dyDescent="0.2">
      <c r="A109">
        <v>217</v>
      </c>
      <c r="D109" t="s">
        <v>162</v>
      </c>
      <c r="I109" t="s">
        <v>23</v>
      </c>
      <c r="R109" s="1">
        <v>-6730.92</v>
      </c>
    </row>
    <row r="110" spans="1:18" ht="15" customHeight="1" x14ac:dyDescent="0.2">
      <c r="H110" t="s">
        <v>163</v>
      </c>
      <c r="R110" s="1">
        <v>-4525.66</v>
      </c>
    </row>
    <row r="111" spans="1:18" ht="15" customHeight="1" x14ac:dyDescent="0.2">
      <c r="A111">
        <v>219</v>
      </c>
      <c r="D111" t="s">
        <v>194</v>
      </c>
      <c r="I111" t="s">
        <v>49</v>
      </c>
      <c r="R111" s="1">
        <v>-3813.83</v>
      </c>
    </row>
    <row r="112" spans="1:18" ht="15" customHeight="1" x14ac:dyDescent="0.2">
      <c r="A112">
        <v>220</v>
      </c>
      <c r="D112" t="s">
        <v>164</v>
      </c>
      <c r="I112" t="s">
        <v>24</v>
      </c>
      <c r="R112" s="1">
        <v>-570.48</v>
      </c>
    </row>
    <row r="113" spans="1:18" x14ac:dyDescent="0.2">
      <c r="A113">
        <v>233</v>
      </c>
      <c r="D113" t="s">
        <v>195</v>
      </c>
      <c r="I113" t="s">
        <v>50</v>
      </c>
      <c r="R113" s="1">
        <v>-141.35</v>
      </c>
    </row>
    <row r="114" spans="1:18" ht="15" customHeight="1" x14ac:dyDescent="0.2">
      <c r="H114" t="s">
        <v>127</v>
      </c>
      <c r="R114" s="1">
        <v>-13670.84</v>
      </c>
    </row>
    <row r="115" spans="1:18" ht="15" customHeight="1" x14ac:dyDescent="0.2">
      <c r="A115">
        <v>244</v>
      </c>
      <c r="D115" t="s">
        <v>165</v>
      </c>
      <c r="I115" t="s">
        <v>34</v>
      </c>
      <c r="R115" s="1">
        <v>-13670.84</v>
      </c>
    </row>
    <row r="116" spans="1:18" ht="15" customHeight="1" x14ac:dyDescent="0.2">
      <c r="H116" t="s">
        <v>166</v>
      </c>
      <c r="R116" s="1">
        <v>-256.61</v>
      </c>
    </row>
    <row r="117" spans="1:18" ht="15" customHeight="1" x14ac:dyDescent="0.2">
      <c r="A117">
        <v>252</v>
      </c>
      <c r="D117" t="s">
        <v>167</v>
      </c>
      <c r="I117" t="s">
        <v>37</v>
      </c>
      <c r="R117" s="1">
        <v>-256.61</v>
      </c>
    </row>
    <row r="118" spans="1:18" x14ac:dyDescent="0.2">
      <c r="H118" t="s">
        <v>129</v>
      </c>
      <c r="R118" s="1">
        <v>-13649.49</v>
      </c>
    </row>
    <row r="119" spans="1:18" ht="15" customHeight="1" x14ac:dyDescent="0.2">
      <c r="A119">
        <v>215</v>
      </c>
      <c r="D119" t="s">
        <v>230</v>
      </c>
      <c r="I119" t="s">
        <v>61</v>
      </c>
      <c r="R119" s="1">
        <v>-1763.89</v>
      </c>
    </row>
    <row r="120" spans="1:18" ht="15" customHeight="1" x14ac:dyDescent="0.2">
      <c r="A120">
        <v>216</v>
      </c>
      <c r="D120" t="s">
        <v>169</v>
      </c>
      <c r="I120" t="s">
        <v>22</v>
      </c>
      <c r="R120" s="1">
        <v>-52</v>
      </c>
    </row>
    <row r="121" spans="1:18" ht="15" customHeight="1" x14ac:dyDescent="0.2">
      <c r="A121">
        <v>225</v>
      </c>
      <c r="D121" t="s">
        <v>170</v>
      </c>
      <c r="I121" t="s">
        <v>26</v>
      </c>
      <c r="R121">
        <v>-85.41</v>
      </c>
    </row>
    <row r="122" spans="1:18" x14ac:dyDescent="0.2">
      <c r="A122">
        <v>226</v>
      </c>
      <c r="D122" t="s">
        <v>242</v>
      </c>
      <c r="I122" t="s">
        <v>243</v>
      </c>
      <c r="R122" s="1">
        <v>-133</v>
      </c>
    </row>
    <row r="123" spans="1:18" ht="15" customHeight="1" x14ac:dyDescent="0.2">
      <c r="A123">
        <v>227</v>
      </c>
      <c r="D123" t="s">
        <v>171</v>
      </c>
      <c r="I123" t="s">
        <v>27</v>
      </c>
      <c r="R123">
        <v>-80.23</v>
      </c>
    </row>
    <row r="124" spans="1:18" x14ac:dyDescent="0.2">
      <c r="A124">
        <v>231</v>
      </c>
      <c r="D124" t="s">
        <v>172</v>
      </c>
      <c r="I124" t="s">
        <v>29</v>
      </c>
      <c r="R124" s="1">
        <v>-8434.7900000000009</v>
      </c>
    </row>
    <row r="125" spans="1:18" ht="15" customHeight="1" x14ac:dyDescent="0.2">
      <c r="A125">
        <v>234</v>
      </c>
      <c r="D125" t="s">
        <v>231</v>
      </c>
      <c r="I125" t="s">
        <v>63</v>
      </c>
      <c r="R125" s="1">
        <v>-94.3</v>
      </c>
    </row>
    <row r="126" spans="1:18" ht="15" customHeight="1" x14ac:dyDescent="0.2">
      <c r="A126">
        <v>236</v>
      </c>
      <c r="D126" t="s">
        <v>173</v>
      </c>
      <c r="I126" t="s">
        <v>31</v>
      </c>
      <c r="R126" s="1">
        <v>-87.42</v>
      </c>
    </row>
    <row r="127" spans="1:18" ht="15" customHeight="1" x14ac:dyDescent="0.2">
      <c r="A127">
        <v>238</v>
      </c>
      <c r="D127" t="s">
        <v>174</v>
      </c>
      <c r="I127" t="s">
        <v>33</v>
      </c>
      <c r="R127" s="1">
        <v>-38.75</v>
      </c>
    </row>
    <row r="128" spans="1:18" ht="15" customHeight="1" x14ac:dyDescent="0.2">
      <c r="A128">
        <v>243</v>
      </c>
      <c r="D128" t="s">
        <v>175</v>
      </c>
      <c r="I128" t="s">
        <v>176</v>
      </c>
      <c r="R128" s="1">
        <v>-2879.7</v>
      </c>
    </row>
    <row r="129" spans="8:18" ht="15" customHeight="1" x14ac:dyDescent="0.2">
      <c r="H129" t="s">
        <v>180</v>
      </c>
      <c r="R129" s="1">
        <v>218595.88</v>
      </c>
    </row>
    <row r="130" spans="8:18" x14ac:dyDescent="0.2">
      <c r="R130" s="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30"/>
  <sheetViews>
    <sheetView topLeftCell="A10" workbookViewId="0">
      <selection sqref="A1:W130"/>
    </sheetView>
  </sheetViews>
  <sheetFormatPr baseColWidth="10" defaultColWidth="8.83203125" defaultRowHeight="15" x14ac:dyDescent="0.2"/>
  <cols>
    <col min="18" max="18" width="11" bestFit="1" customWidth="1"/>
  </cols>
  <sheetData>
    <row r="1" spans="1:19" x14ac:dyDescent="0.2">
      <c r="A1" t="s">
        <v>65</v>
      </c>
      <c r="D1" t="s">
        <v>66</v>
      </c>
      <c r="H1" t="s">
        <v>5</v>
      </c>
      <c r="R1" t="s">
        <v>6</v>
      </c>
    </row>
    <row r="2" spans="1:19" x14ac:dyDescent="0.2">
      <c r="H2" t="s">
        <v>67</v>
      </c>
      <c r="R2" s="1">
        <v>721066.96</v>
      </c>
    </row>
    <row r="3" spans="1:19" x14ac:dyDescent="0.2">
      <c r="A3">
        <v>860</v>
      </c>
      <c r="D3" t="s">
        <v>68</v>
      </c>
      <c r="I3" t="s">
        <v>69</v>
      </c>
      <c r="R3" s="1">
        <v>81748.929999999993</v>
      </c>
    </row>
    <row r="4" spans="1:19" x14ac:dyDescent="0.2">
      <c r="A4">
        <v>861</v>
      </c>
      <c r="D4" t="s">
        <v>70</v>
      </c>
      <c r="I4" t="s">
        <v>71</v>
      </c>
      <c r="R4" s="1">
        <v>337371.61</v>
      </c>
    </row>
    <row r="5" spans="1:19" x14ac:dyDescent="0.2">
      <c r="A5">
        <v>862</v>
      </c>
      <c r="D5" t="s">
        <v>184</v>
      </c>
      <c r="I5" t="s">
        <v>185</v>
      </c>
      <c r="R5" s="1">
        <v>139352.76</v>
      </c>
    </row>
    <row r="6" spans="1:19" x14ac:dyDescent="0.2">
      <c r="A6">
        <v>865</v>
      </c>
      <c r="D6" t="s">
        <v>72</v>
      </c>
      <c r="I6" t="s">
        <v>73</v>
      </c>
      <c r="R6" s="1">
        <v>159575.85</v>
      </c>
    </row>
    <row r="7" spans="1:19" x14ac:dyDescent="0.2">
      <c r="A7">
        <v>868</v>
      </c>
      <c r="D7" t="s">
        <v>244</v>
      </c>
      <c r="I7" t="s">
        <v>245</v>
      </c>
      <c r="R7" s="1">
        <v>3017.81</v>
      </c>
    </row>
    <row r="8" spans="1:19" x14ac:dyDescent="0.2">
      <c r="H8" t="s">
        <v>74</v>
      </c>
      <c r="R8" s="1">
        <v>97895.65</v>
      </c>
    </row>
    <row r="9" spans="1:19" x14ac:dyDescent="0.2">
      <c r="A9">
        <v>863</v>
      </c>
      <c r="D9" t="s">
        <v>75</v>
      </c>
      <c r="I9" t="s">
        <v>76</v>
      </c>
      <c r="R9" s="1">
        <v>43014.559999999998</v>
      </c>
    </row>
    <row r="10" spans="1:19" x14ac:dyDescent="0.2">
      <c r="A10">
        <v>864</v>
      </c>
      <c r="D10" t="s">
        <v>77</v>
      </c>
      <c r="I10" t="s">
        <v>78</v>
      </c>
      <c r="R10" s="1">
        <v>34575.46</v>
      </c>
      <c r="S10" s="1"/>
    </row>
    <row r="11" spans="1:19" x14ac:dyDescent="0.2">
      <c r="A11">
        <v>866</v>
      </c>
      <c r="D11" t="s">
        <v>238</v>
      </c>
      <c r="I11" t="s">
        <v>239</v>
      </c>
      <c r="R11" s="1">
        <v>19076.53</v>
      </c>
    </row>
    <row r="12" spans="1:19" x14ac:dyDescent="0.2">
      <c r="A12">
        <v>869</v>
      </c>
      <c r="D12" t="s">
        <v>247</v>
      </c>
      <c r="I12" t="s">
        <v>248</v>
      </c>
      <c r="R12" s="1">
        <v>1229.0999999999999</v>
      </c>
    </row>
    <row r="13" spans="1:19" x14ac:dyDescent="0.2">
      <c r="H13" t="s">
        <v>79</v>
      </c>
      <c r="R13" s="1">
        <v>818962.61</v>
      </c>
    </row>
    <row r="14" spans="1:19" x14ac:dyDescent="0.2">
      <c r="I14" t="s">
        <v>7</v>
      </c>
    </row>
    <row r="15" spans="1:19" x14ac:dyDescent="0.2">
      <c r="H15" t="s">
        <v>80</v>
      </c>
      <c r="R15" s="1">
        <v>-2839.49</v>
      </c>
    </row>
    <row r="16" spans="1:19" x14ac:dyDescent="0.2">
      <c r="A16">
        <v>166</v>
      </c>
      <c r="D16" t="s">
        <v>81</v>
      </c>
      <c r="I16" t="s">
        <v>10</v>
      </c>
      <c r="R16" s="1">
        <v>-2839.49</v>
      </c>
    </row>
    <row r="17" spans="1:18" x14ac:dyDescent="0.2">
      <c r="H17" t="s">
        <v>83</v>
      </c>
      <c r="R17" s="1">
        <v>816123.12</v>
      </c>
    </row>
    <row r="18" spans="1:18" x14ac:dyDescent="0.2">
      <c r="I18" t="s">
        <v>7</v>
      </c>
    </row>
    <row r="19" spans="1:18" x14ac:dyDescent="0.2">
      <c r="H19" t="s">
        <v>84</v>
      </c>
      <c r="R19" s="1">
        <v>41078.720000000001</v>
      </c>
    </row>
    <row r="20" spans="1:18" x14ac:dyDescent="0.2">
      <c r="A20">
        <v>749</v>
      </c>
      <c r="D20" t="s">
        <v>85</v>
      </c>
      <c r="I20" t="s">
        <v>58</v>
      </c>
      <c r="R20" s="1">
        <v>41078.720000000001</v>
      </c>
    </row>
    <row r="21" spans="1:18" x14ac:dyDescent="0.2">
      <c r="H21" t="s">
        <v>86</v>
      </c>
      <c r="R21" s="1">
        <v>857201.84</v>
      </c>
    </row>
    <row r="22" spans="1:18" x14ac:dyDescent="0.2">
      <c r="I22" t="s">
        <v>7</v>
      </c>
    </row>
    <row r="23" spans="1:18" x14ac:dyDescent="0.2">
      <c r="H23" t="s">
        <v>87</v>
      </c>
      <c r="R23" s="1">
        <v>-295912.48</v>
      </c>
    </row>
    <row r="24" spans="1:18" x14ac:dyDescent="0.2">
      <c r="A24">
        <v>162</v>
      </c>
      <c r="D24" t="s">
        <v>88</v>
      </c>
      <c r="I24" t="s">
        <v>8</v>
      </c>
      <c r="R24" s="1">
        <v>-252632.58</v>
      </c>
    </row>
    <row r="25" spans="1:18" x14ac:dyDescent="0.2">
      <c r="A25">
        <v>165</v>
      </c>
      <c r="D25" t="s">
        <v>89</v>
      </c>
      <c r="I25" t="s">
        <v>9</v>
      </c>
      <c r="R25" s="1">
        <v>-43279.9</v>
      </c>
    </row>
    <row r="26" spans="1:18" x14ac:dyDescent="0.2">
      <c r="H26" t="s">
        <v>93</v>
      </c>
      <c r="R26" s="1">
        <v>-295912.48</v>
      </c>
    </row>
    <row r="27" spans="1:18" x14ac:dyDescent="0.2">
      <c r="I27" t="s">
        <v>7</v>
      </c>
    </row>
    <row r="28" spans="1:18" x14ac:dyDescent="0.2">
      <c r="H28" t="s">
        <v>197</v>
      </c>
      <c r="R28">
        <v>1.69</v>
      </c>
    </row>
    <row r="29" spans="1:18" x14ac:dyDescent="0.2">
      <c r="A29">
        <v>135</v>
      </c>
      <c r="D29" t="s">
        <v>198</v>
      </c>
      <c r="I29" t="s">
        <v>59</v>
      </c>
      <c r="R29">
        <v>1.69</v>
      </c>
    </row>
    <row r="30" spans="1:18" x14ac:dyDescent="0.2">
      <c r="H30" t="s">
        <v>252</v>
      </c>
      <c r="R30" s="1">
        <v>260.45</v>
      </c>
    </row>
    <row r="31" spans="1:18" x14ac:dyDescent="0.2">
      <c r="A31">
        <v>159</v>
      </c>
      <c r="D31" t="s">
        <v>253</v>
      </c>
      <c r="I31" t="s">
        <v>252</v>
      </c>
      <c r="R31">
        <v>260.45</v>
      </c>
    </row>
    <row r="32" spans="1:18" x14ac:dyDescent="0.2">
      <c r="H32" t="s">
        <v>94</v>
      </c>
      <c r="R32" s="1">
        <v>561551.5</v>
      </c>
    </row>
    <row r="33" spans="1:18" x14ac:dyDescent="0.2">
      <c r="I33" t="s">
        <v>7</v>
      </c>
      <c r="R33" s="1"/>
    </row>
    <row r="34" spans="1:18" x14ac:dyDescent="0.2">
      <c r="H34" t="s">
        <v>95</v>
      </c>
      <c r="R34" s="1">
        <v>-69590.53</v>
      </c>
    </row>
    <row r="35" spans="1:18" x14ac:dyDescent="0.2">
      <c r="A35">
        <v>164</v>
      </c>
      <c r="D35" t="s">
        <v>96</v>
      </c>
      <c r="I35" t="s">
        <v>97</v>
      </c>
      <c r="R35" s="1">
        <v>-42892.46</v>
      </c>
    </row>
    <row r="36" spans="1:18" x14ac:dyDescent="0.2">
      <c r="A36">
        <v>206</v>
      </c>
      <c r="D36" t="s">
        <v>98</v>
      </c>
      <c r="I36" t="s">
        <v>13</v>
      </c>
      <c r="R36" s="1">
        <v>-2570.34</v>
      </c>
    </row>
    <row r="37" spans="1:18" x14ac:dyDescent="0.2">
      <c r="A37">
        <v>207</v>
      </c>
      <c r="D37" t="s">
        <v>192</v>
      </c>
      <c r="I37" t="s">
        <v>14</v>
      </c>
      <c r="R37" s="1">
        <v>-16501.75</v>
      </c>
    </row>
    <row r="38" spans="1:18" x14ac:dyDescent="0.2">
      <c r="A38">
        <v>224</v>
      </c>
      <c r="D38" t="s">
        <v>100</v>
      </c>
      <c r="I38" t="s">
        <v>25</v>
      </c>
      <c r="R38" s="1">
        <v>-7625.98</v>
      </c>
    </row>
    <row r="39" spans="1:18" x14ac:dyDescent="0.2">
      <c r="H39" t="s">
        <v>101</v>
      </c>
      <c r="R39" s="1">
        <v>-37959.160000000003</v>
      </c>
    </row>
    <row r="40" spans="1:18" x14ac:dyDescent="0.2">
      <c r="A40">
        <v>250</v>
      </c>
      <c r="D40" t="s">
        <v>102</v>
      </c>
      <c r="I40" t="s">
        <v>35</v>
      </c>
      <c r="R40" s="1">
        <v>-13576.69</v>
      </c>
    </row>
    <row r="41" spans="1:18" x14ac:dyDescent="0.2">
      <c r="A41">
        <v>253</v>
      </c>
      <c r="D41" t="s">
        <v>103</v>
      </c>
      <c r="I41" t="s">
        <v>38</v>
      </c>
      <c r="R41" s="1">
        <v>-22440.42</v>
      </c>
    </row>
    <row r="42" spans="1:18" x14ac:dyDescent="0.2">
      <c r="A42">
        <v>651</v>
      </c>
      <c r="D42" t="s">
        <v>104</v>
      </c>
      <c r="I42" t="s">
        <v>39</v>
      </c>
      <c r="R42" s="1">
        <v>-149.29</v>
      </c>
    </row>
    <row r="43" spans="1:18" x14ac:dyDescent="0.2">
      <c r="A43">
        <v>653</v>
      </c>
      <c r="D43" t="s">
        <v>105</v>
      </c>
      <c r="I43" t="s">
        <v>40</v>
      </c>
      <c r="R43" s="1">
        <v>-146.22</v>
      </c>
    </row>
    <row r="44" spans="1:18" x14ac:dyDescent="0.2">
      <c r="A44">
        <v>654</v>
      </c>
      <c r="D44" t="s">
        <v>106</v>
      </c>
      <c r="I44" t="s">
        <v>41</v>
      </c>
      <c r="R44" s="1">
        <v>-1646.54</v>
      </c>
    </row>
    <row r="45" spans="1:18" x14ac:dyDescent="0.2">
      <c r="H45" t="s">
        <v>107</v>
      </c>
      <c r="R45" s="1">
        <v>-107549.69</v>
      </c>
    </row>
    <row r="46" spans="1:18" x14ac:dyDescent="0.2">
      <c r="I46" t="s">
        <v>7</v>
      </c>
      <c r="R46" s="1"/>
    </row>
    <row r="47" spans="1:18" x14ac:dyDescent="0.2">
      <c r="H47" t="s">
        <v>108</v>
      </c>
      <c r="R47" s="1">
        <v>454001.81</v>
      </c>
    </row>
    <row r="48" spans="1:18" x14ac:dyDescent="0.2">
      <c r="I48" t="s">
        <v>7</v>
      </c>
      <c r="R48" s="1"/>
    </row>
    <row r="49" spans="1:18" x14ac:dyDescent="0.2">
      <c r="H49" t="s">
        <v>109</v>
      </c>
      <c r="R49" s="1">
        <v>-164181.19</v>
      </c>
    </row>
    <row r="50" spans="1:18" x14ac:dyDescent="0.2">
      <c r="I50" t="s">
        <v>7</v>
      </c>
      <c r="R50" s="1"/>
    </row>
    <row r="51" spans="1:18" x14ac:dyDescent="0.2">
      <c r="H51" t="s">
        <v>110</v>
      </c>
      <c r="R51" s="1">
        <v>-164181.19</v>
      </c>
    </row>
    <row r="52" spans="1:18" x14ac:dyDescent="0.2">
      <c r="I52" t="s">
        <v>7</v>
      </c>
      <c r="R52" s="1"/>
    </row>
    <row r="53" spans="1:18" x14ac:dyDescent="0.2">
      <c r="H53" t="s">
        <v>111</v>
      </c>
      <c r="R53" s="1">
        <v>-3300</v>
      </c>
    </row>
    <row r="54" spans="1:18" x14ac:dyDescent="0.2">
      <c r="A54">
        <v>182</v>
      </c>
      <c r="D54" t="s">
        <v>112</v>
      </c>
      <c r="I54" t="s">
        <v>54</v>
      </c>
      <c r="R54" s="1">
        <v>-3300</v>
      </c>
    </row>
    <row r="55" spans="1:18" x14ac:dyDescent="0.2">
      <c r="H55" t="s">
        <v>113</v>
      </c>
      <c r="R55" s="1">
        <v>-23907.55</v>
      </c>
    </row>
    <row r="56" spans="1:18" x14ac:dyDescent="0.2">
      <c r="A56">
        <v>181</v>
      </c>
      <c r="D56" t="s">
        <v>114</v>
      </c>
      <c r="I56" t="s">
        <v>53</v>
      </c>
      <c r="R56" s="1">
        <v>-17756.8</v>
      </c>
    </row>
    <row r="57" spans="1:18" x14ac:dyDescent="0.2">
      <c r="A57">
        <v>188</v>
      </c>
      <c r="D57" t="s">
        <v>115</v>
      </c>
      <c r="I57" t="s">
        <v>116</v>
      </c>
      <c r="R57" s="1">
        <v>-5355</v>
      </c>
    </row>
    <row r="58" spans="1:18" x14ac:dyDescent="0.2">
      <c r="A58">
        <v>535</v>
      </c>
      <c r="D58" t="s">
        <v>199</v>
      </c>
      <c r="I58" t="s">
        <v>232</v>
      </c>
      <c r="R58" s="1">
        <v>-350</v>
      </c>
    </row>
    <row r="59" spans="1:18" x14ac:dyDescent="0.2">
      <c r="A59">
        <v>536</v>
      </c>
      <c r="D59" t="s">
        <v>200</v>
      </c>
      <c r="I59" t="s">
        <v>201</v>
      </c>
      <c r="R59" s="1">
        <v>-445.75</v>
      </c>
    </row>
    <row r="60" spans="1:18" x14ac:dyDescent="0.2">
      <c r="H60" t="s">
        <v>73</v>
      </c>
      <c r="R60" s="1">
        <v>-11550</v>
      </c>
    </row>
    <row r="61" spans="1:18" x14ac:dyDescent="0.2">
      <c r="A61">
        <v>184</v>
      </c>
      <c r="D61" t="s">
        <v>117</v>
      </c>
      <c r="I61" t="s">
        <v>57</v>
      </c>
      <c r="R61" s="1">
        <v>-11550</v>
      </c>
    </row>
    <row r="62" spans="1:18" x14ac:dyDescent="0.2">
      <c r="H62" t="s">
        <v>118</v>
      </c>
      <c r="R62" s="1">
        <v>-3446.21</v>
      </c>
    </row>
    <row r="63" spans="1:18" x14ac:dyDescent="0.2">
      <c r="A63">
        <v>502</v>
      </c>
      <c r="D63" t="s">
        <v>119</v>
      </c>
      <c r="I63" t="s">
        <v>120</v>
      </c>
      <c r="R63" s="1">
        <v>-2369.4299999999998</v>
      </c>
    </row>
    <row r="64" spans="1:18" x14ac:dyDescent="0.2">
      <c r="A64">
        <v>503</v>
      </c>
      <c r="D64" t="s">
        <v>121</v>
      </c>
      <c r="I64" t="s">
        <v>122</v>
      </c>
      <c r="R64">
        <v>-707.28</v>
      </c>
    </row>
    <row r="65" spans="1:18" x14ac:dyDescent="0.2">
      <c r="A65">
        <v>504</v>
      </c>
      <c r="D65" t="s">
        <v>123</v>
      </c>
      <c r="I65" t="s">
        <v>124</v>
      </c>
      <c r="R65">
        <v>-88.41</v>
      </c>
    </row>
    <row r="66" spans="1:18" x14ac:dyDescent="0.2">
      <c r="A66">
        <v>505</v>
      </c>
      <c r="D66" t="s">
        <v>202</v>
      </c>
      <c r="I66" t="s">
        <v>203</v>
      </c>
      <c r="R66">
        <v>-92.05</v>
      </c>
    </row>
    <row r="67" spans="1:18" x14ac:dyDescent="0.2">
      <c r="A67">
        <v>506</v>
      </c>
      <c r="D67" t="s">
        <v>204</v>
      </c>
      <c r="I67" t="s">
        <v>205</v>
      </c>
      <c r="R67" s="1">
        <v>-28</v>
      </c>
    </row>
    <row r="68" spans="1:18" x14ac:dyDescent="0.2">
      <c r="A68">
        <v>508</v>
      </c>
      <c r="D68" t="s">
        <v>206</v>
      </c>
      <c r="I68" t="s">
        <v>207</v>
      </c>
      <c r="R68" s="1">
        <v>-3.5</v>
      </c>
    </row>
    <row r="69" spans="1:18" x14ac:dyDescent="0.2">
      <c r="A69">
        <v>527</v>
      </c>
      <c r="D69" t="s">
        <v>208</v>
      </c>
      <c r="I69" t="s">
        <v>209</v>
      </c>
      <c r="R69" s="1">
        <v>-117.37</v>
      </c>
    </row>
    <row r="70" spans="1:18" x14ac:dyDescent="0.2">
      <c r="A70">
        <v>528</v>
      </c>
      <c r="D70" t="s">
        <v>210</v>
      </c>
      <c r="I70" t="s">
        <v>211</v>
      </c>
      <c r="R70" s="1">
        <v>-35.700000000000003</v>
      </c>
    </row>
    <row r="71" spans="1:18" x14ac:dyDescent="0.2">
      <c r="A71">
        <v>529</v>
      </c>
      <c r="D71" t="s">
        <v>212</v>
      </c>
      <c r="I71" t="s">
        <v>213</v>
      </c>
      <c r="R71" s="1">
        <v>-4.47</v>
      </c>
    </row>
    <row r="72" spans="1:18" x14ac:dyDescent="0.2">
      <c r="H72" t="s">
        <v>182</v>
      </c>
      <c r="R72" s="1">
        <v>-4963.09</v>
      </c>
    </row>
    <row r="73" spans="1:18" x14ac:dyDescent="0.2">
      <c r="A73">
        <v>710</v>
      </c>
      <c r="D73" t="s">
        <v>128</v>
      </c>
      <c r="I73" t="s">
        <v>183</v>
      </c>
      <c r="R73" s="1">
        <v>-4963.09</v>
      </c>
    </row>
    <row r="74" spans="1:18" x14ac:dyDescent="0.2">
      <c r="H74" t="s">
        <v>181</v>
      </c>
      <c r="R74" s="1">
        <v>-44387.5</v>
      </c>
    </row>
    <row r="75" spans="1:18" x14ac:dyDescent="0.2">
      <c r="A75">
        <v>247</v>
      </c>
      <c r="D75" t="s">
        <v>193</v>
      </c>
      <c r="I75" t="s">
        <v>51</v>
      </c>
      <c r="R75" s="1">
        <v>-44341.96</v>
      </c>
    </row>
    <row r="76" spans="1:18" x14ac:dyDescent="0.2">
      <c r="A76">
        <v>711</v>
      </c>
      <c r="D76" t="s">
        <v>249</v>
      </c>
      <c r="I76" t="s">
        <v>30</v>
      </c>
      <c r="R76" s="1">
        <v>-45.54</v>
      </c>
    </row>
    <row r="77" spans="1:18" x14ac:dyDescent="0.2">
      <c r="H77" t="s">
        <v>130</v>
      </c>
      <c r="R77" s="1">
        <v>-72626.84</v>
      </c>
    </row>
    <row r="78" spans="1:18" x14ac:dyDescent="0.2">
      <c r="A78">
        <v>171</v>
      </c>
      <c r="D78" t="s">
        <v>131</v>
      </c>
      <c r="I78" t="s">
        <v>60</v>
      </c>
      <c r="R78" s="1">
        <v>-68841.86</v>
      </c>
    </row>
    <row r="79" spans="1:18" x14ac:dyDescent="0.2">
      <c r="A79">
        <v>245</v>
      </c>
      <c r="D79" t="s">
        <v>132</v>
      </c>
      <c r="I79" t="s">
        <v>191</v>
      </c>
      <c r="R79" s="1">
        <v>-3784.98</v>
      </c>
    </row>
    <row r="80" spans="1:18" x14ac:dyDescent="0.2">
      <c r="H80" t="s">
        <v>133</v>
      </c>
      <c r="R80" s="1">
        <v>-115548.11</v>
      </c>
    </row>
    <row r="81" spans="1:18" x14ac:dyDescent="0.2">
      <c r="I81" t="s">
        <v>7</v>
      </c>
      <c r="R81" s="1"/>
    </row>
    <row r="82" spans="1:18" x14ac:dyDescent="0.2">
      <c r="H82" t="s">
        <v>134</v>
      </c>
      <c r="R82" s="1">
        <v>-65289.27</v>
      </c>
    </row>
    <row r="83" spans="1:18" x14ac:dyDescent="0.2">
      <c r="A83">
        <v>179</v>
      </c>
      <c r="D83" t="s">
        <v>233</v>
      </c>
      <c r="I83" t="s">
        <v>234</v>
      </c>
      <c r="R83" s="1">
        <v>-7000</v>
      </c>
    </row>
    <row r="84" spans="1:18" x14ac:dyDescent="0.2">
      <c r="A84">
        <v>180</v>
      </c>
      <c r="D84" t="s">
        <v>135</v>
      </c>
      <c r="I84" t="s">
        <v>52</v>
      </c>
      <c r="R84" s="1">
        <v>-19141.62</v>
      </c>
    </row>
    <row r="85" spans="1:18" x14ac:dyDescent="0.2">
      <c r="A85">
        <v>186</v>
      </c>
      <c r="D85" t="s">
        <v>187</v>
      </c>
      <c r="I85" t="s">
        <v>55</v>
      </c>
      <c r="R85" s="1">
        <v>-9945</v>
      </c>
    </row>
    <row r="86" spans="1:18" x14ac:dyDescent="0.2">
      <c r="A86">
        <v>187</v>
      </c>
      <c r="D86" t="s">
        <v>136</v>
      </c>
      <c r="I86" t="s">
        <v>56</v>
      </c>
      <c r="R86" s="1">
        <v>-8594.85</v>
      </c>
    </row>
    <row r="87" spans="1:18" x14ac:dyDescent="0.2">
      <c r="A87">
        <v>189</v>
      </c>
      <c r="D87" t="s">
        <v>137</v>
      </c>
      <c r="I87" t="s">
        <v>138</v>
      </c>
      <c r="R87" s="1">
        <v>-4284.5</v>
      </c>
    </row>
    <row r="88" spans="1:18" x14ac:dyDescent="0.2">
      <c r="A88">
        <v>190</v>
      </c>
      <c r="D88" t="s">
        <v>139</v>
      </c>
      <c r="I88" t="s">
        <v>140</v>
      </c>
      <c r="R88" s="1">
        <v>-2487.8000000000002</v>
      </c>
    </row>
    <row r="89" spans="1:18" x14ac:dyDescent="0.2">
      <c r="A89">
        <v>193</v>
      </c>
      <c r="D89" t="s">
        <v>143</v>
      </c>
      <c r="I89" t="s">
        <v>45</v>
      </c>
      <c r="R89">
        <v>-104.77</v>
      </c>
    </row>
    <row r="90" spans="1:18" x14ac:dyDescent="0.2">
      <c r="A90">
        <v>530</v>
      </c>
      <c r="D90" t="s">
        <v>214</v>
      </c>
      <c r="I90" t="s">
        <v>215</v>
      </c>
      <c r="R90" s="1">
        <v>-696.55</v>
      </c>
    </row>
    <row r="91" spans="1:18" x14ac:dyDescent="0.2">
      <c r="A91">
        <v>531</v>
      </c>
      <c r="D91" t="s">
        <v>216</v>
      </c>
      <c r="I91" t="s">
        <v>217</v>
      </c>
      <c r="R91" s="1">
        <v>-522.91999999999996</v>
      </c>
    </row>
    <row r="92" spans="1:18" x14ac:dyDescent="0.2">
      <c r="A92">
        <v>195</v>
      </c>
      <c r="D92" t="s">
        <v>144</v>
      </c>
      <c r="I92" t="s">
        <v>145</v>
      </c>
      <c r="R92" s="1">
        <v>-2445.34</v>
      </c>
    </row>
    <row r="93" spans="1:18" x14ac:dyDescent="0.2">
      <c r="A93">
        <v>196</v>
      </c>
      <c r="D93" t="s">
        <v>146</v>
      </c>
      <c r="I93" t="s">
        <v>147</v>
      </c>
      <c r="R93" s="1">
        <v>-1941.88</v>
      </c>
    </row>
    <row r="94" spans="1:18" x14ac:dyDescent="0.2">
      <c r="A94">
        <v>197</v>
      </c>
      <c r="D94" t="s">
        <v>148</v>
      </c>
      <c r="I94" t="s">
        <v>149</v>
      </c>
      <c r="R94">
        <v>-94.66</v>
      </c>
    </row>
    <row r="95" spans="1:18" x14ac:dyDescent="0.2">
      <c r="A95">
        <v>198</v>
      </c>
      <c r="D95" t="s">
        <v>236</v>
      </c>
      <c r="I95" t="s">
        <v>237</v>
      </c>
      <c r="R95">
        <v>-17.22</v>
      </c>
    </row>
    <row r="96" spans="1:18" x14ac:dyDescent="0.2">
      <c r="A96">
        <v>499</v>
      </c>
      <c r="D96" t="s">
        <v>218</v>
      </c>
      <c r="I96" t="s">
        <v>219</v>
      </c>
      <c r="R96">
        <v>-6.96</v>
      </c>
    </row>
    <row r="97" spans="1:18" x14ac:dyDescent="0.2">
      <c r="A97">
        <v>500</v>
      </c>
      <c r="D97" t="s">
        <v>220</v>
      </c>
      <c r="I97" t="s">
        <v>221</v>
      </c>
      <c r="R97" s="1">
        <v>-183.21</v>
      </c>
    </row>
    <row r="98" spans="1:18" x14ac:dyDescent="0.2">
      <c r="A98">
        <v>501</v>
      </c>
      <c r="D98" t="s">
        <v>222</v>
      </c>
      <c r="I98" t="s">
        <v>223</v>
      </c>
      <c r="R98" s="1">
        <v>-55.72</v>
      </c>
    </row>
    <row r="99" spans="1:18" x14ac:dyDescent="0.2">
      <c r="A99">
        <v>522</v>
      </c>
      <c r="D99" t="s">
        <v>224</v>
      </c>
      <c r="I99" t="s">
        <v>225</v>
      </c>
      <c r="R99" s="1">
        <v>-137.47</v>
      </c>
    </row>
    <row r="100" spans="1:18" x14ac:dyDescent="0.2">
      <c r="A100">
        <v>523</v>
      </c>
      <c r="D100" t="s">
        <v>226</v>
      </c>
      <c r="I100" t="s">
        <v>227</v>
      </c>
      <c r="R100" s="1">
        <v>-41.79</v>
      </c>
    </row>
    <row r="101" spans="1:18" x14ac:dyDescent="0.2">
      <c r="A101">
        <v>524</v>
      </c>
      <c r="D101" t="s">
        <v>228</v>
      </c>
      <c r="I101" t="s">
        <v>229</v>
      </c>
      <c r="R101" s="1">
        <v>-5.22</v>
      </c>
    </row>
    <row r="102" spans="1:18" x14ac:dyDescent="0.2">
      <c r="A102">
        <v>200</v>
      </c>
      <c r="D102" t="s">
        <v>150</v>
      </c>
      <c r="I102" t="s">
        <v>15</v>
      </c>
      <c r="R102" s="1">
        <v>-1078.43</v>
      </c>
    </row>
    <row r="103" spans="1:18" x14ac:dyDescent="0.2">
      <c r="A103">
        <v>201</v>
      </c>
      <c r="D103" t="s">
        <v>151</v>
      </c>
      <c r="I103" t="s">
        <v>152</v>
      </c>
      <c r="R103" s="1">
        <v>-1181.3599999999999</v>
      </c>
    </row>
    <row r="104" spans="1:18" x14ac:dyDescent="0.2">
      <c r="A104">
        <v>202</v>
      </c>
      <c r="D104" t="s">
        <v>153</v>
      </c>
      <c r="I104" t="s">
        <v>16</v>
      </c>
      <c r="R104" s="1">
        <v>-4032</v>
      </c>
    </row>
    <row r="105" spans="1:18" x14ac:dyDescent="0.2">
      <c r="A105">
        <v>203</v>
      </c>
      <c r="D105" t="s">
        <v>154</v>
      </c>
      <c r="I105" t="s">
        <v>17</v>
      </c>
      <c r="R105" s="1">
        <v>-1290</v>
      </c>
    </row>
    <row r="106" spans="1:18" x14ac:dyDescent="0.2">
      <c r="H106" t="s">
        <v>156</v>
      </c>
      <c r="R106" s="1">
        <v>-10279.67</v>
      </c>
    </row>
    <row r="107" spans="1:18" x14ac:dyDescent="0.2">
      <c r="A107">
        <v>229</v>
      </c>
      <c r="D107" t="s">
        <v>157</v>
      </c>
      <c r="I107" t="s">
        <v>28</v>
      </c>
      <c r="R107" s="1">
        <v>-10279.67</v>
      </c>
    </row>
    <row r="108" spans="1:18" x14ac:dyDescent="0.2">
      <c r="H108" t="s">
        <v>159</v>
      </c>
      <c r="R108" s="1">
        <v>-6505</v>
      </c>
    </row>
    <row r="109" spans="1:18" x14ac:dyDescent="0.2">
      <c r="A109">
        <v>214</v>
      </c>
      <c r="D109" t="s">
        <v>160</v>
      </c>
      <c r="I109" t="s">
        <v>21</v>
      </c>
      <c r="R109" s="1">
        <v>-6505</v>
      </c>
    </row>
    <row r="110" spans="1:18" x14ac:dyDescent="0.2">
      <c r="H110" t="s">
        <v>161</v>
      </c>
      <c r="R110" s="1">
        <v>-4485.54</v>
      </c>
    </row>
    <row r="111" spans="1:18" x14ac:dyDescent="0.2">
      <c r="A111">
        <v>217</v>
      </c>
      <c r="D111" t="s">
        <v>162</v>
      </c>
      <c r="I111" t="s">
        <v>23</v>
      </c>
      <c r="R111" s="1">
        <v>-4485.54</v>
      </c>
    </row>
    <row r="112" spans="1:18" x14ac:dyDescent="0.2">
      <c r="H112" t="s">
        <v>163</v>
      </c>
      <c r="R112" s="1">
        <v>-4443.6000000000004</v>
      </c>
    </row>
    <row r="113" spans="1:18" x14ac:dyDescent="0.2">
      <c r="A113">
        <v>219</v>
      </c>
      <c r="D113" t="s">
        <v>194</v>
      </c>
      <c r="I113" t="s">
        <v>49</v>
      </c>
      <c r="R113" s="1">
        <v>-3675.66</v>
      </c>
    </row>
    <row r="114" spans="1:18" x14ac:dyDescent="0.2">
      <c r="A114">
        <v>220</v>
      </c>
      <c r="D114" t="s">
        <v>164</v>
      </c>
      <c r="I114" t="s">
        <v>24</v>
      </c>
      <c r="R114" s="1">
        <v>-623.85</v>
      </c>
    </row>
    <row r="115" spans="1:18" x14ac:dyDescent="0.2">
      <c r="A115">
        <v>233</v>
      </c>
      <c r="D115" t="s">
        <v>195</v>
      </c>
      <c r="I115" t="s">
        <v>50</v>
      </c>
      <c r="R115" s="1">
        <v>-144.09</v>
      </c>
    </row>
    <row r="116" spans="1:18" x14ac:dyDescent="0.2">
      <c r="H116" t="s">
        <v>127</v>
      </c>
      <c r="R116" s="1">
        <v>-17911.5</v>
      </c>
    </row>
    <row r="117" spans="1:18" x14ac:dyDescent="0.2">
      <c r="A117">
        <v>244</v>
      </c>
      <c r="D117" t="s">
        <v>165</v>
      </c>
      <c r="I117" t="s">
        <v>34</v>
      </c>
      <c r="R117" s="1">
        <v>-17911.5</v>
      </c>
    </row>
    <row r="118" spans="1:18" x14ac:dyDescent="0.2">
      <c r="H118" t="s">
        <v>166</v>
      </c>
      <c r="R118" s="1">
        <v>-425.99</v>
      </c>
    </row>
    <row r="119" spans="1:18" x14ac:dyDescent="0.2">
      <c r="A119">
        <v>252</v>
      </c>
      <c r="D119" t="s">
        <v>167</v>
      </c>
      <c r="I119" t="s">
        <v>37</v>
      </c>
      <c r="R119">
        <v>-425.99</v>
      </c>
    </row>
    <row r="120" spans="1:18" x14ac:dyDescent="0.2">
      <c r="H120" t="s">
        <v>129</v>
      </c>
      <c r="R120" s="1">
        <v>-6207.54</v>
      </c>
    </row>
    <row r="121" spans="1:18" x14ac:dyDescent="0.2">
      <c r="A121">
        <v>213</v>
      </c>
      <c r="D121" t="s">
        <v>168</v>
      </c>
      <c r="I121" t="s">
        <v>20</v>
      </c>
      <c r="R121" s="1">
        <v>-93.8</v>
      </c>
    </row>
    <row r="122" spans="1:18" x14ac:dyDescent="0.2">
      <c r="A122">
        <v>215</v>
      </c>
      <c r="D122" t="s">
        <v>230</v>
      </c>
      <c r="I122" t="s">
        <v>61</v>
      </c>
      <c r="R122">
        <v>-441.44</v>
      </c>
    </row>
    <row r="123" spans="1:18" x14ac:dyDescent="0.2">
      <c r="A123">
        <v>225</v>
      </c>
      <c r="D123" t="s">
        <v>170</v>
      </c>
      <c r="I123" t="s">
        <v>26</v>
      </c>
      <c r="R123">
        <v>-117.58</v>
      </c>
    </row>
    <row r="124" spans="1:18" x14ac:dyDescent="0.2">
      <c r="A124">
        <v>226</v>
      </c>
      <c r="D124" t="s">
        <v>242</v>
      </c>
      <c r="I124" t="s">
        <v>243</v>
      </c>
      <c r="R124" s="1">
        <v>-133</v>
      </c>
    </row>
    <row r="125" spans="1:18" x14ac:dyDescent="0.2">
      <c r="A125">
        <v>227</v>
      </c>
      <c r="D125" t="s">
        <v>171</v>
      </c>
      <c r="I125" t="s">
        <v>27</v>
      </c>
      <c r="R125" s="1">
        <v>-163.98</v>
      </c>
    </row>
    <row r="126" spans="1:18" x14ac:dyDescent="0.2">
      <c r="A126">
        <v>231</v>
      </c>
      <c r="D126" t="s">
        <v>172</v>
      </c>
      <c r="I126" t="s">
        <v>29</v>
      </c>
      <c r="R126" s="1">
        <v>-1427.24</v>
      </c>
    </row>
    <row r="127" spans="1:18" x14ac:dyDescent="0.2">
      <c r="A127">
        <v>234</v>
      </c>
      <c r="D127" t="s">
        <v>231</v>
      </c>
      <c r="I127" t="s">
        <v>63</v>
      </c>
      <c r="R127" s="1">
        <v>-82.2</v>
      </c>
    </row>
    <row r="128" spans="1:18" x14ac:dyDescent="0.2">
      <c r="A128">
        <v>238</v>
      </c>
      <c r="D128" t="s">
        <v>174</v>
      </c>
      <c r="I128" t="s">
        <v>33</v>
      </c>
      <c r="R128" s="1">
        <v>-868.6</v>
      </c>
    </row>
    <row r="129" spans="1:18" x14ac:dyDescent="0.2">
      <c r="A129">
        <v>243</v>
      </c>
      <c r="D129" t="s">
        <v>175</v>
      </c>
      <c r="I129" t="s">
        <v>176</v>
      </c>
      <c r="R129" s="1">
        <v>-2879.7</v>
      </c>
    </row>
    <row r="130" spans="1:18" x14ac:dyDescent="0.2">
      <c r="H130" t="s">
        <v>180</v>
      </c>
      <c r="R130" s="1">
        <v>174272.51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3"/>
  <sheetViews>
    <sheetView topLeftCell="A42" workbookViewId="0">
      <selection activeCell="I53" sqref="I53"/>
    </sheetView>
  </sheetViews>
  <sheetFormatPr baseColWidth="10" defaultColWidth="8.83203125" defaultRowHeight="15" x14ac:dyDescent="0.2"/>
  <cols>
    <col min="18" max="18" width="11.6640625" bestFit="1" customWidth="1"/>
  </cols>
  <sheetData>
    <row r="1" spans="1:19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19" ht="15" customHeight="1" x14ac:dyDescent="0.2">
      <c r="H2" t="s">
        <v>67</v>
      </c>
      <c r="R2" s="1">
        <v>891397.91</v>
      </c>
    </row>
    <row r="3" spans="1:19" x14ac:dyDescent="0.2">
      <c r="A3">
        <v>860</v>
      </c>
      <c r="D3" t="s">
        <v>68</v>
      </c>
      <c r="I3" t="s">
        <v>69</v>
      </c>
      <c r="R3" s="1">
        <v>302775.76</v>
      </c>
    </row>
    <row r="4" spans="1:19" ht="15" customHeight="1" x14ac:dyDescent="0.2">
      <c r="A4">
        <v>861</v>
      </c>
      <c r="D4" t="s">
        <v>70</v>
      </c>
      <c r="I4" t="s">
        <v>71</v>
      </c>
      <c r="R4" s="1">
        <v>451807.46</v>
      </c>
    </row>
    <row r="5" spans="1:19" x14ac:dyDescent="0.2">
      <c r="A5">
        <v>865</v>
      </c>
      <c r="D5" t="s">
        <v>72</v>
      </c>
      <c r="I5" t="s">
        <v>73</v>
      </c>
      <c r="R5" s="1">
        <v>135979.09</v>
      </c>
    </row>
    <row r="6" spans="1:19" ht="15" customHeight="1" x14ac:dyDescent="0.2">
      <c r="A6">
        <v>868</v>
      </c>
      <c r="D6" t="s">
        <v>244</v>
      </c>
      <c r="I6" t="s">
        <v>245</v>
      </c>
      <c r="R6" s="1">
        <v>835.6</v>
      </c>
    </row>
    <row r="7" spans="1:19" ht="15" customHeight="1" x14ac:dyDescent="0.2">
      <c r="H7" t="s">
        <v>74</v>
      </c>
      <c r="R7" s="1">
        <v>217313.13</v>
      </c>
    </row>
    <row r="8" spans="1:19" x14ac:dyDescent="0.2">
      <c r="A8">
        <v>863</v>
      </c>
      <c r="D8" t="s">
        <v>75</v>
      </c>
      <c r="I8" t="s">
        <v>76</v>
      </c>
      <c r="R8" s="1">
        <v>62324.86</v>
      </c>
      <c r="S8" s="1"/>
    </row>
    <row r="9" spans="1:19" ht="15" customHeight="1" x14ac:dyDescent="0.2">
      <c r="A9">
        <v>864</v>
      </c>
      <c r="D9" t="s">
        <v>77</v>
      </c>
      <c r="I9" t="s">
        <v>78</v>
      </c>
      <c r="R9" s="1">
        <v>143877.78</v>
      </c>
    </row>
    <row r="10" spans="1:19" x14ac:dyDescent="0.2">
      <c r="A10">
        <v>866</v>
      </c>
      <c r="D10" t="s">
        <v>238</v>
      </c>
      <c r="I10" t="s">
        <v>239</v>
      </c>
      <c r="R10" s="1">
        <v>9019.49</v>
      </c>
    </row>
    <row r="11" spans="1:19" ht="15" customHeight="1" x14ac:dyDescent="0.2">
      <c r="A11">
        <v>869</v>
      </c>
      <c r="D11" t="s">
        <v>247</v>
      </c>
      <c r="I11" t="s">
        <v>248</v>
      </c>
      <c r="R11" s="1">
        <v>2091</v>
      </c>
    </row>
    <row r="12" spans="1:19" ht="15" customHeight="1" x14ac:dyDescent="0.2">
      <c r="H12" t="s">
        <v>79</v>
      </c>
      <c r="R12" s="1">
        <v>1108711.04</v>
      </c>
    </row>
    <row r="13" spans="1:19" x14ac:dyDescent="0.2">
      <c r="I13" t="s">
        <v>7</v>
      </c>
      <c r="R13" s="1"/>
    </row>
    <row r="14" spans="1:19" ht="15" customHeight="1" x14ac:dyDescent="0.2">
      <c r="H14" t="s">
        <v>80</v>
      </c>
      <c r="R14" s="1">
        <v>-4693.04</v>
      </c>
    </row>
    <row r="15" spans="1:19" ht="15" customHeight="1" x14ac:dyDescent="0.2">
      <c r="A15">
        <v>166</v>
      </c>
      <c r="D15" t="s">
        <v>81</v>
      </c>
      <c r="I15" t="s">
        <v>10</v>
      </c>
      <c r="R15" s="1">
        <v>-4693.04</v>
      </c>
    </row>
    <row r="16" spans="1:19" ht="15" customHeight="1" x14ac:dyDescent="0.2">
      <c r="H16" t="s">
        <v>83</v>
      </c>
      <c r="R16" s="1">
        <v>1104018</v>
      </c>
    </row>
    <row r="17" spans="1:18" x14ac:dyDescent="0.2">
      <c r="I17" t="s">
        <v>7</v>
      </c>
      <c r="R17" s="1"/>
    </row>
    <row r="18" spans="1:18" ht="15" customHeight="1" x14ac:dyDescent="0.2">
      <c r="H18" t="s">
        <v>84</v>
      </c>
      <c r="R18" s="1">
        <v>70994.149999999994</v>
      </c>
    </row>
    <row r="19" spans="1:18" ht="15" customHeight="1" x14ac:dyDescent="0.2">
      <c r="A19">
        <v>749</v>
      </c>
      <c r="D19" t="s">
        <v>85</v>
      </c>
      <c r="I19" t="s">
        <v>58</v>
      </c>
      <c r="R19" s="1">
        <v>70994.149999999994</v>
      </c>
    </row>
    <row r="20" spans="1:18" ht="15" customHeight="1" x14ac:dyDescent="0.2">
      <c r="H20" t="s">
        <v>86</v>
      </c>
      <c r="R20" s="1">
        <v>1175012.1499999999</v>
      </c>
    </row>
    <row r="21" spans="1:18" x14ac:dyDescent="0.2">
      <c r="I21" t="s">
        <v>7</v>
      </c>
      <c r="R21" s="1"/>
    </row>
    <row r="22" spans="1:18" ht="15" customHeight="1" x14ac:dyDescent="0.2">
      <c r="H22" t="s">
        <v>87</v>
      </c>
      <c r="R22" s="1">
        <v>-418644.32</v>
      </c>
    </row>
    <row r="23" spans="1:18" ht="15" customHeight="1" x14ac:dyDescent="0.2">
      <c r="A23">
        <v>162</v>
      </c>
      <c r="D23" t="s">
        <v>88</v>
      </c>
      <c r="I23" t="s">
        <v>8</v>
      </c>
      <c r="R23" s="1">
        <v>-315364.95</v>
      </c>
    </row>
    <row r="24" spans="1:18" ht="15" customHeight="1" x14ac:dyDescent="0.2">
      <c r="A24">
        <v>165</v>
      </c>
      <c r="D24" t="s">
        <v>89</v>
      </c>
      <c r="I24" t="s">
        <v>9</v>
      </c>
      <c r="R24" s="1">
        <v>-73809.990000000005</v>
      </c>
    </row>
    <row r="25" spans="1:18" ht="15" customHeight="1" x14ac:dyDescent="0.2">
      <c r="A25">
        <v>170</v>
      </c>
      <c r="D25" t="s">
        <v>91</v>
      </c>
      <c r="I25" t="s">
        <v>92</v>
      </c>
      <c r="R25" s="1">
        <v>-29469.38</v>
      </c>
    </row>
    <row r="26" spans="1:18" ht="15" customHeight="1" x14ac:dyDescent="0.2">
      <c r="H26" t="s">
        <v>93</v>
      </c>
      <c r="R26" s="1">
        <v>-418644.32</v>
      </c>
    </row>
    <row r="27" spans="1:18" x14ac:dyDescent="0.2">
      <c r="I27" t="s">
        <v>7</v>
      </c>
    </row>
    <row r="28" spans="1:18" ht="15" customHeight="1" x14ac:dyDescent="0.2">
      <c r="H28" t="s">
        <v>197</v>
      </c>
      <c r="R28">
        <v>5.05</v>
      </c>
    </row>
    <row r="29" spans="1:18" ht="15" customHeight="1" x14ac:dyDescent="0.2">
      <c r="A29">
        <v>135</v>
      </c>
      <c r="D29" t="s">
        <v>198</v>
      </c>
      <c r="I29" t="s">
        <v>59</v>
      </c>
      <c r="R29">
        <v>5.05</v>
      </c>
    </row>
    <row r="30" spans="1:18" ht="15" customHeight="1" x14ac:dyDescent="0.2">
      <c r="H30" t="s">
        <v>252</v>
      </c>
      <c r="R30" s="1">
        <v>646.12</v>
      </c>
    </row>
    <row r="31" spans="1:18" ht="15" customHeight="1" x14ac:dyDescent="0.2">
      <c r="A31">
        <v>159</v>
      </c>
      <c r="D31" t="s">
        <v>253</v>
      </c>
      <c r="I31" t="s">
        <v>252</v>
      </c>
      <c r="R31">
        <v>646.12</v>
      </c>
    </row>
    <row r="32" spans="1:18" ht="15" customHeight="1" x14ac:dyDescent="0.2">
      <c r="H32" t="s">
        <v>94</v>
      </c>
      <c r="R32" s="1">
        <v>757019</v>
      </c>
    </row>
    <row r="33" spans="1:18" x14ac:dyDescent="0.2">
      <c r="I33" t="s">
        <v>7</v>
      </c>
      <c r="R33" s="1"/>
    </row>
    <row r="34" spans="1:18" ht="15" customHeight="1" x14ac:dyDescent="0.2">
      <c r="H34" t="s">
        <v>95</v>
      </c>
      <c r="R34" s="1">
        <v>-99850.61</v>
      </c>
    </row>
    <row r="35" spans="1:18" ht="15" customHeight="1" x14ac:dyDescent="0.2">
      <c r="A35">
        <v>164</v>
      </c>
      <c r="D35" t="s">
        <v>96</v>
      </c>
      <c r="I35" t="s">
        <v>97</v>
      </c>
      <c r="R35" s="1">
        <v>-57419.4</v>
      </c>
    </row>
    <row r="36" spans="1:18" ht="15" customHeight="1" x14ac:dyDescent="0.2">
      <c r="A36">
        <v>206</v>
      </c>
      <c r="D36" t="s">
        <v>98</v>
      </c>
      <c r="I36" t="s">
        <v>13</v>
      </c>
      <c r="R36" s="1">
        <v>-3885.76</v>
      </c>
    </row>
    <row r="37" spans="1:18" ht="15" customHeight="1" x14ac:dyDescent="0.2">
      <c r="A37">
        <v>207</v>
      </c>
      <c r="D37" t="s">
        <v>192</v>
      </c>
      <c r="I37" t="s">
        <v>14</v>
      </c>
      <c r="R37" s="1">
        <v>-5430.92</v>
      </c>
    </row>
    <row r="38" spans="1:18" ht="15" customHeight="1" x14ac:dyDescent="0.2">
      <c r="A38">
        <v>224</v>
      </c>
      <c r="D38" t="s">
        <v>100</v>
      </c>
      <c r="I38" t="s">
        <v>25</v>
      </c>
      <c r="R38" s="1">
        <v>-33114.53</v>
      </c>
    </row>
    <row r="39" spans="1:18" ht="15" customHeight="1" x14ac:dyDescent="0.2">
      <c r="H39" t="s">
        <v>101</v>
      </c>
      <c r="R39" s="1">
        <v>-82349.2</v>
      </c>
    </row>
    <row r="40" spans="1:18" ht="15" customHeight="1" x14ac:dyDescent="0.2">
      <c r="A40">
        <v>250</v>
      </c>
      <c r="D40" t="s">
        <v>102</v>
      </c>
      <c r="I40" t="s">
        <v>35</v>
      </c>
      <c r="R40" s="1">
        <v>-18860.63</v>
      </c>
    </row>
    <row r="41" spans="1:18" ht="15" customHeight="1" x14ac:dyDescent="0.2">
      <c r="A41">
        <v>253</v>
      </c>
      <c r="D41" t="s">
        <v>103</v>
      </c>
      <c r="I41" t="s">
        <v>38</v>
      </c>
      <c r="R41" s="1">
        <v>-53682.39</v>
      </c>
    </row>
    <row r="42" spans="1:18" ht="15" customHeight="1" x14ac:dyDescent="0.2">
      <c r="A42">
        <v>651</v>
      </c>
      <c r="D42" t="s">
        <v>104</v>
      </c>
      <c r="I42" t="s">
        <v>39</v>
      </c>
      <c r="R42" s="1">
        <v>-9742.64</v>
      </c>
    </row>
    <row r="43" spans="1:18" ht="15" customHeight="1" x14ac:dyDescent="0.2">
      <c r="A43">
        <v>653</v>
      </c>
      <c r="D43" t="s">
        <v>105</v>
      </c>
      <c r="I43" t="s">
        <v>40</v>
      </c>
      <c r="R43">
        <v>-63.54</v>
      </c>
    </row>
    <row r="44" spans="1:18" ht="15" customHeight="1" x14ac:dyDescent="0.2">
      <c r="H44" t="s">
        <v>107</v>
      </c>
      <c r="R44" s="1">
        <v>-182199.81</v>
      </c>
    </row>
    <row r="45" spans="1:18" x14ac:dyDescent="0.2">
      <c r="I45" t="s">
        <v>7</v>
      </c>
      <c r="R45" s="1"/>
    </row>
    <row r="46" spans="1:18" ht="15" customHeight="1" x14ac:dyDescent="0.2">
      <c r="H46" t="s">
        <v>108</v>
      </c>
      <c r="R46" s="1">
        <v>574819.18999999994</v>
      </c>
    </row>
    <row r="47" spans="1:18" x14ac:dyDescent="0.2">
      <c r="I47" t="s">
        <v>7</v>
      </c>
      <c r="R47" s="1"/>
    </row>
    <row r="48" spans="1:18" ht="15" customHeight="1" x14ac:dyDescent="0.2">
      <c r="H48" t="s">
        <v>109</v>
      </c>
      <c r="R48" s="1">
        <v>-232783.35999999999</v>
      </c>
    </row>
    <row r="49" spans="1:18" x14ac:dyDescent="0.2">
      <c r="I49" t="s">
        <v>7</v>
      </c>
      <c r="R49" s="1"/>
    </row>
    <row r="50" spans="1:18" ht="15" customHeight="1" x14ac:dyDescent="0.2">
      <c r="H50" t="s">
        <v>110</v>
      </c>
      <c r="R50" s="1">
        <v>-232783.35999999999</v>
      </c>
    </row>
    <row r="51" spans="1:18" x14ac:dyDescent="0.2">
      <c r="I51" t="s">
        <v>7</v>
      </c>
      <c r="R51" s="1"/>
    </row>
    <row r="52" spans="1:18" ht="15" customHeight="1" x14ac:dyDescent="0.2">
      <c r="H52" t="s">
        <v>111</v>
      </c>
      <c r="R52" s="1">
        <v>-3000</v>
      </c>
    </row>
    <row r="53" spans="1:18" ht="15" customHeight="1" x14ac:dyDescent="0.2">
      <c r="A53">
        <v>182</v>
      </c>
      <c r="D53" t="s">
        <v>112</v>
      </c>
      <c r="I53" t="s">
        <v>54</v>
      </c>
      <c r="R53" s="1">
        <v>-3000</v>
      </c>
    </row>
    <row r="54" spans="1:18" ht="15" customHeight="1" x14ac:dyDescent="0.2">
      <c r="H54" t="s">
        <v>113</v>
      </c>
      <c r="R54" s="1">
        <v>-22308.05</v>
      </c>
    </row>
    <row r="55" spans="1:18" ht="15" customHeight="1" x14ac:dyDescent="0.2">
      <c r="A55">
        <v>181</v>
      </c>
      <c r="D55" t="s">
        <v>114</v>
      </c>
      <c r="I55" t="s">
        <v>53</v>
      </c>
      <c r="R55" s="1">
        <v>-15666.8</v>
      </c>
    </row>
    <row r="56" spans="1:18" ht="15" customHeight="1" x14ac:dyDescent="0.2">
      <c r="A56">
        <v>188</v>
      </c>
      <c r="D56" t="s">
        <v>115</v>
      </c>
      <c r="I56" t="s">
        <v>116</v>
      </c>
      <c r="R56" s="1">
        <v>-5355</v>
      </c>
    </row>
    <row r="57" spans="1:18" ht="15" customHeight="1" x14ac:dyDescent="0.2">
      <c r="A57">
        <v>535</v>
      </c>
      <c r="D57" t="s">
        <v>199</v>
      </c>
      <c r="I57" t="s">
        <v>232</v>
      </c>
      <c r="R57" s="1">
        <v>-840</v>
      </c>
    </row>
    <row r="58" spans="1:18" ht="15" customHeight="1" x14ac:dyDescent="0.2">
      <c r="A58">
        <v>536</v>
      </c>
      <c r="D58" t="s">
        <v>200</v>
      </c>
      <c r="I58" t="s">
        <v>201</v>
      </c>
      <c r="R58" s="1">
        <v>-446.25</v>
      </c>
    </row>
    <row r="59" spans="1:18" x14ac:dyDescent="0.2">
      <c r="H59" t="s">
        <v>73</v>
      </c>
      <c r="R59" s="1">
        <v>-7110</v>
      </c>
    </row>
    <row r="60" spans="1:18" ht="15" customHeight="1" x14ac:dyDescent="0.2">
      <c r="A60">
        <v>184</v>
      </c>
      <c r="D60" t="s">
        <v>117</v>
      </c>
      <c r="I60" t="s">
        <v>57</v>
      </c>
      <c r="R60" s="1">
        <v>-7110</v>
      </c>
    </row>
    <row r="61" spans="1:18" ht="15" customHeight="1" x14ac:dyDescent="0.2">
      <c r="H61" t="s">
        <v>118</v>
      </c>
      <c r="R61" s="1">
        <v>-2371.13</v>
      </c>
    </row>
    <row r="62" spans="1:18" ht="15" customHeight="1" x14ac:dyDescent="0.2">
      <c r="A62">
        <v>502</v>
      </c>
      <c r="D62" t="s">
        <v>119</v>
      </c>
      <c r="I62" t="s">
        <v>120</v>
      </c>
      <c r="R62" s="1">
        <v>-1435.14</v>
      </c>
    </row>
    <row r="63" spans="1:18" ht="15" customHeight="1" x14ac:dyDescent="0.2">
      <c r="A63">
        <v>503</v>
      </c>
      <c r="D63" t="s">
        <v>121</v>
      </c>
      <c r="I63" t="s">
        <v>122</v>
      </c>
      <c r="R63" s="1">
        <v>-428.4</v>
      </c>
    </row>
    <row r="64" spans="1:18" ht="15" customHeight="1" x14ac:dyDescent="0.2">
      <c r="A64">
        <v>504</v>
      </c>
      <c r="D64" t="s">
        <v>123</v>
      </c>
      <c r="I64" t="s">
        <v>124</v>
      </c>
      <c r="R64">
        <v>-53.55</v>
      </c>
    </row>
    <row r="65" spans="1:18" ht="15" customHeight="1" x14ac:dyDescent="0.2">
      <c r="A65">
        <v>505</v>
      </c>
      <c r="D65" t="s">
        <v>202</v>
      </c>
      <c r="I65" t="s">
        <v>203</v>
      </c>
      <c r="R65">
        <v>-220.92</v>
      </c>
    </row>
    <row r="66" spans="1:18" ht="15" customHeight="1" x14ac:dyDescent="0.2">
      <c r="A66">
        <v>506</v>
      </c>
      <c r="D66" t="s">
        <v>204</v>
      </c>
      <c r="I66" t="s">
        <v>205</v>
      </c>
      <c r="R66">
        <v>-67.2</v>
      </c>
    </row>
    <row r="67" spans="1:18" ht="15" customHeight="1" x14ac:dyDescent="0.2">
      <c r="A67">
        <v>508</v>
      </c>
      <c r="D67" t="s">
        <v>206</v>
      </c>
      <c r="I67" t="s">
        <v>207</v>
      </c>
      <c r="R67" s="1">
        <v>-8.4</v>
      </c>
    </row>
    <row r="68" spans="1:18" ht="15" customHeight="1" x14ac:dyDescent="0.2">
      <c r="A68">
        <v>527</v>
      </c>
      <c r="D68" t="s">
        <v>208</v>
      </c>
      <c r="I68" t="s">
        <v>209</v>
      </c>
      <c r="R68" s="1">
        <v>-117.36</v>
      </c>
    </row>
    <row r="69" spans="1:18" ht="15" customHeight="1" x14ac:dyDescent="0.2">
      <c r="A69">
        <v>528</v>
      </c>
      <c r="D69" t="s">
        <v>210</v>
      </c>
      <c r="I69" t="s">
        <v>211</v>
      </c>
      <c r="R69" s="1">
        <v>-35.700000000000003</v>
      </c>
    </row>
    <row r="70" spans="1:18" ht="15" customHeight="1" x14ac:dyDescent="0.2">
      <c r="A70">
        <v>529</v>
      </c>
      <c r="D70" t="s">
        <v>212</v>
      </c>
      <c r="I70" t="s">
        <v>213</v>
      </c>
      <c r="R70" s="1">
        <v>-4.46</v>
      </c>
    </row>
    <row r="71" spans="1:18" ht="15" customHeight="1" x14ac:dyDescent="0.2">
      <c r="H71" t="s">
        <v>182</v>
      </c>
      <c r="R71" s="1">
        <v>-3250.79</v>
      </c>
    </row>
    <row r="72" spans="1:18" ht="15" customHeight="1" x14ac:dyDescent="0.2">
      <c r="A72">
        <v>710</v>
      </c>
      <c r="D72" t="s">
        <v>128</v>
      </c>
      <c r="I72" t="s">
        <v>183</v>
      </c>
      <c r="R72" s="1">
        <v>-3250.79</v>
      </c>
    </row>
    <row r="73" spans="1:18" ht="15" customHeight="1" x14ac:dyDescent="0.2">
      <c r="H73" t="s">
        <v>181</v>
      </c>
      <c r="R73" s="1">
        <v>-65647.03</v>
      </c>
    </row>
    <row r="74" spans="1:18" ht="15" customHeight="1" x14ac:dyDescent="0.2">
      <c r="A74">
        <v>247</v>
      </c>
      <c r="D74" t="s">
        <v>193</v>
      </c>
      <c r="I74" t="s">
        <v>51</v>
      </c>
      <c r="R74" s="1">
        <v>-65592.289999999994</v>
      </c>
    </row>
    <row r="75" spans="1:18" ht="15" customHeight="1" x14ac:dyDescent="0.2">
      <c r="A75">
        <v>711</v>
      </c>
      <c r="D75" t="s">
        <v>249</v>
      </c>
      <c r="I75" t="s">
        <v>30</v>
      </c>
      <c r="R75" s="1">
        <v>-54.74</v>
      </c>
    </row>
    <row r="76" spans="1:18" ht="15" customHeight="1" x14ac:dyDescent="0.2">
      <c r="H76" t="s">
        <v>130</v>
      </c>
      <c r="R76" s="1">
        <v>-129096.36</v>
      </c>
    </row>
    <row r="77" spans="1:18" ht="15" customHeight="1" x14ac:dyDescent="0.2">
      <c r="A77">
        <v>171</v>
      </c>
      <c r="D77" t="s">
        <v>131</v>
      </c>
      <c r="I77" t="s">
        <v>60</v>
      </c>
      <c r="R77" s="1">
        <v>-126306.5</v>
      </c>
    </row>
    <row r="78" spans="1:18" ht="15" customHeight="1" x14ac:dyDescent="0.2">
      <c r="A78">
        <v>245</v>
      </c>
      <c r="D78" t="s">
        <v>132</v>
      </c>
      <c r="I78" t="s">
        <v>191</v>
      </c>
      <c r="R78" s="1">
        <v>-2789.86</v>
      </c>
    </row>
    <row r="79" spans="1:18" ht="15" customHeight="1" x14ac:dyDescent="0.2">
      <c r="H79" t="s">
        <v>133</v>
      </c>
      <c r="R79" s="1">
        <v>-172565.83</v>
      </c>
    </row>
    <row r="80" spans="1:18" x14ac:dyDescent="0.2">
      <c r="I80" t="s">
        <v>7</v>
      </c>
      <c r="R80" s="1"/>
    </row>
    <row r="81" spans="1:18" ht="15" customHeight="1" x14ac:dyDescent="0.2">
      <c r="H81" t="s">
        <v>134</v>
      </c>
      <c r="R81" s="1">
        <v>-124354.32</v>
      </c>
    </row>
    <row r="82" spans="1:18" ht="15" customHeight="1" x14ac:dyDescent="0.2">
      <c r="A82">
        <v>179</v>
      </c>
      <c r="D82" t="s">
        <v>233</v>
      </c>
      <c r="I82" t="s">
        <v>234</v>
      </c>
      <c r="R82" s="1">
        <v>-6750</v>
      </c>
    </row>
    <row r="83" spans="1:18" ht="15" customHeight="1" x14ac:dyDescent="0.2">
      <c r="A83">
        <v>180</v>
      </c>
      <c r="D83" t="s">
        <v>135</v>
      </c>
      <c r="I83" t="s">
        <v>52</v>
      </c>
      <c r="R83" s="1">
        <v>-19141.62</v>
      </c>
    </row>
    <row r="84" spans="1:18" ht="15" customHeight="1" x14ac:dyDescent="0.2">
      <c r="A84">
        <v>185</v>
      </c>
      <c r="D84" t="s">
        <v>254</v>
      </c>
      <c r="I84" t="s">
        <v>235</v>
      </c>
      <c r="R84" s="1">
        <v>-4743</v>
      </c>
    </row>
    <row r="85" spans="1:18" ht="15" customHeight="1" x14ac:dyDescent="0.2">
      <c r="A85">
        <v>186</v>
      </c>
      <c r="D85" t="s">
        <v>187</v>
      </c>
      <c r="I85" t="s">
        <v>55</v>
      </c>
      <c r="R85" s="1">
        <v>-9930</v>
      </c>
    </row>
    <row r="86" spans="1:18" ht="15" customHeight="1" x14ac:dyDescent="0.2">
      <c r="A86">
        <v>187</v>
      </c>
      <c r="D86" t="s">
        <v>136</v>
      </c>
      <c r="I86" t="s">
        <v>56</v>
      </c>
      <c r="R86" s="1">
        <v>-13521.59</v>
      </c>
    </row>
    <row r="87" spans="1:18" ht="15" customHeight="1" x14ac:dyDescent="0.2">
      <c r="A87">
        <v>189</v>
      </c>
      <c r="D87" t="s">
        <v>137</v>
      </c>
      <c r="I87" t="s">
        <v>138</v>
      </c>
      <c r="R87" s="1">
        <v>-4284.5</v>
      </c>
    </row>
    <row r="88" spans="1:18" ht="15" customHeight="1" x14ac:dyDescent="0.2">
      <c r="A88">
        <v>190</v>
      </c>
      <c r="D88" t="s">
        <v>139</v>
      </c>
      <c r="I88" t="s">
        <v>140</v>
      </c>
      <c r="R88" s="1">
        <v>-3358.87</v>
      </c>
    </row>
    <row r="89" spans="1:18" x14ac:dyDescent="0.2">
      <c r="A89">
        <v>193</v>
      </c>
      <c r="D89" t="s">
        <v>143</v>
      </c>
      <c r="I89" t="s">
        <v>45</v>
      </c>
      <c r="R89">
        <v>-104.77</v>
      </c>
    </row>
    <row r="90" spans="1:18" ht="15" customHeight="1" x14ac:dyDescent="0.2">
      <c r="A90">
        <v>530</v>
      </c>
      <c r="D90" t="s">
        <v>214</v>
      </c>
      <c r="I90" t="s">
        <v>215</v>
      </c>
      <c r="R90">
        <v>-764.09</v>
      </c>
    </row>
    <row r="91" spans="1:18" ht="15" customHeight="1" x14ac:dyDescent="0.2">
      <c r="A91">
        <v>531</v>
      </c>
      <c r="D91" t="s">
        <v>216</v>
      </c>
      <c r="I91" t="s">
        <v>217</v>
      </c>
      <c r="R91">
        <v>-573.04999999999995</v>
      </c>
    </row>
    <row r="92" spans="1:18" ht="15" customHeight="1" x14ac:dyDescent="0.2">
      <c r="A92">
        <v>195</v>
      </c>
      <c r="D92" t="s">
        <v>144</v>
      </c>
      <c r="I92" t="s">
        <v>145</v>
      </c>
      <c r="R92" s="1">
        <v>-1863.38</v>
      </c>
    </row>
    <row r="93" spans="1:18" ht="15" customHeight="1" x14ac:dyDescent="0.2">
      <c r="A93">
        <v>196</v>
      </c>
      <c r="D93" t="s">
        <v>146</v>
      </c>
      <c r="I93" t="s">
        <v>147</v>
      </c>
      <c r="R93" s="1">
        <v>-563.5</v>
      </c>
    </row>
    <row r="94" spans="1:18" ht="15" customHeight="1" x14ac:dyDescent="0.2">
      <c r="A94">
        <v>197</v>
      </c>
      <c r="D94" t="s">
        <v>148</v>
      </c>
      <c r="I94" t="s">
        <v>149</v>
      </c>
      <c r="R94">
        <v>-70.430000000000007</v>
      </c>
    </row>
    <row r="95" spans="1:18" ht="15" customHeight="1" x14ac:dyDescent="0.2">
      <c r="A95">
        <v>499</v>
      </c>
      <c r="D95" t="s">
        <v>218</v>
      </c>
      <c r="I95" t="s">
        <v>219</v>
      </c>
      <c r="R95">
        <v>-7.64</v>
      </c>
    </row>
    <row r="96" spans="1:18" ht="15" customHeight="1" x14ac:dyDescent="0.2">
      <c r="A96">
        <v>500</v>
      </c>
      <c r="D96" t="s">
        <v>220</v>
      </c>
      <c r="I96" t="s">
        <v>221</v>
      </c>
      <c r="R96">
        <v>-200.95</v>
      </c>
    </row>
    <row r="97" spans="1:18" ht="15" customHeight="1" x14ac:dyDescent="0.2">
      <c r="A97">
        <v>501</v>
      </c>
      <c r="D97" t="s">
        <v>222</v>
      </c>
      <c r="I97" t="s">
        <v>223</v>
      </c>
      <c r="R97" s="1">
        <v>-61.13</v>
      </c>
    </row>
    <row r="98" spans="1:18" ht="15" customHeight="1" x14ac:dyDescent="0.2">
      <c r="A98">
        <v>522</v>
      </c>
      <c r="D98" t="s">
        <v>224</v>
      </c>
      <c r="I98" t="s">
        <v>225</v>
      </c>
      <c r="R98" s="1">
        <v>-825.12</v>
      </c>
    </row>
    <row r="99" spans="1:18" ht="15" customHeight="1" x14ac:dyDescent="0.2">
      <c r="A99">
        <v>523</v>
      </c>
      <c r="D99" t="s">
        <v>226</v>
      </c>
      <c r="I99" t="s">
        <v>227</v>
      </c>
      <c r="R99" s="1">
        <v>-45.83</v>
      </c>
    </row>
    <row r="100" spans="1:18" ht="15" customHeight="1" x14ac:dyDescent="0.2">
      <c r="A100">
        <v>524</v>
      </c>
      <c r="D100" t="s">
        <v>228</v>
      </c>
      <c r="I100" t="s">
        <v>229</v>
      </c>
      <c r="R100" s="1">
        <v>-5.21</v>
      </c>
    </row>
    <row r="101" spans="1:18" ht="15" customHeight="1" x14ac:dyDescent="0.2">
      <c r="A101">
        <v>200</v>
      </c>
      <c r="D101" t="s">
        <v>150</v>
      </c>
      <c r="I101" t="s">
        <v>15</v>
      </c>
      <c r="R101" s="1">
        <v>-2404.65</v>
      </c>
    </row>
    <row r="102" spans="1:18" ht="15" customHeight="1" x14ac:dyDescent="0.2">
      <c r="A102">
        <v>201</v>
      </c>
      <c r="D102" t="s">
        <v>151</v>
      </c>
      <c r="I102" t="s">
        <v>152</v>
      </c>
      <c r="R102" s="1">
        <v>-1259.1600000000001</v>
      </c>
    </row>
    <row r="103" spans="1:18" ht="15" customHeight="1" x14ac:dyDescent="0.2">
      <c r="A103">
        <v>202</v>
      </c>
      <c r="D103" t="s">
        <v>153</v>
      </c>
      <c r="I103" t="s">
        <v>16</v>
      </c>
      <c r="R103" s="1">
        <v>-4595</v>
      </c>
    </row>
    <row r="104" spans="1:18" ht="15" customHeight="1" x14ac:dyDescent="0.2">
      <c r="A104">
        <v>540</v>
      </c>
      <c r="D104" t="s">
        <v>256</v>
      </c>
      <c r="I104" t="s">
        <v>255</v>
      </c>
      <c r="R104" s="1">
        <v>-44613.59</v>
      </c>
    </row>
    <row r="105" spans="1:18" x14ac:dyDescent="0.2">
      <c r="A105">
        <v>541</v>
      </c>
      <c r="D105" t="s">
        <v>257</v>
      </c>
      <c r="I105" t="s">
        <v>258</v>
      </c>
      <c r="R105" s="1">
        <v>-4667.24</v>
      </c>
    </row>
    <row r="106" spans="1:18" ht="15" customHeight="1" x14ac:dyDescent="0.2">
      <c r="H106" t="s">
        <v>156</v>
      </c>
      <c r="R106" s="1">
        <v>-11887.43</v>
      </c>
    </row>
    <row r="107" spans="1:18" ht="15" customHeight="1" x14ac:dyDescent="0.2">
      <c r="A107">
        <v>229</v>
      </c>
      <c r="D107" t="s">
        <v>157</v>
      </c>
      <c r="I107" t="s">
        <v>28</v>
      </c>
      <c r="R107" s="1">
        <v>-11857.16</v>
      </c>
    </row>
    <row r="108" spans="1:18" ht="15" customHeight="1" x14ac:dyDescent="0.2">
      <c r="A108">
        <v>237</v>
      </c>
      <c r="D108" t="s">
        <v>158</v>
      </c>
      <c r="I108" t="s">
        <v>32</v>
      </c>
      <c r="R108" s="1">
        <v>-30.27</v>
      </c>
    </row>
    <row r="109" spans="1:18" ht="15" customHeight="1" x14ac:dyDescent="0.2">
      <c r="H109" t="s">
        <v>159</v>
      </c>
      <c r="R109" s="1">
        <v>-6505</v>
      </c>
    </row>
    <row r="110" spans="1:18" ht="15" customHeight="1" x14ac:dyDescent="0.2">
      <c r="A110">
        <v>214</v>
      </c>
      <c r="D110" t="s">
        <v>160</v>
      </c>
      <c r="I110" t="s">
        <v>21</v>
      </c>
      <c r="R110" s="1">
        <v>-6505</v>
      </c>
    </row>
    <row r="111" spans="1:18" ht="15" customHeight="1" x14ac:dyDescent="0.2">
      <c r="H111" t="s">
        <v>161</v>
      </c>
      <c r="R111" s="1">
        <v>-544.29</v>
      </c>
    </row>
    <row r="112" spans="1:18" ht="15" customHeight="1" x14ac:dyDescent="0.2">
      <c r="A112">
        <v>217</v>
      </c>
      <c r="D112" t="s">
        <v>162</v>
      </c>
      <c r="I112" t="s">
        <v>23</v>
      </c>
      <c r="R112" s="1">
        <v>-544.29</v>
      </c>
    </row>
    <row r="113" spans="1:18" ht="15" customHeight="1" x14ac:dyDescent="0.2">
      <c r="H113" t="s">
        <v>163</v>
      </c>
      <c r="R113" s="1">
        <v>-4496.53</v>
      </c>
    </row>
    <row r="114" spans="1:18" x14ac:dyDescent="0.2">
      <c r="A114">
        <v>219</v>
      </c>
      <c r="D114" t="s">
        <v>194</v>
      </c>
      <c r="I114" t="s">
        <v>49</v>
      </c>
      <c r="R114" s="1">
        <v>-3657.06</v>
      </c>
    </row>
    <row r="115" spans="1:18" ht="15" customHeight="1" x14ac:dyDescent="0.2">
      <c r="A115">
        <v>220</v>
      </c>
      <c r="D115" t="s">
        <v>164</v>
      </c>
      <c r="I115" t="s">
        <v>24</v>
      </c>
      <c r="R115" s="1">
        <v>-695.38</v>
      </c>
    </row>
    <row r="116" spans="1:18" ht="15" customHeight="1" x14ac:dyDescent="0.2">
      <c r="A116">
        <v>233</v>
      </c>
      <c r="D116" t="s">
        <v>195</v>
      </c>
      <c r="I116" t="s">
        <v>50</v>
      </c>
      <c r="R116" s="1">
        <v>-144.09</v>
      </c>
    </row>
    <row r="117" spans="1:18" ht="15" customHeight="1" x14ac:dyDescent="0.2">
      <c r="H117" t="s">
        <v>127</v>
      </c>
      <c r="R117" s="1">
        <v>-15566.98</v>
      </c>
    </row>
    <row r="118" spans="1:18" ht="15" customHeight="1" x14ac:dyDescent="0.2">
      <c r="A118">
        <v>244</v>
      </c>
      <c r="D118" t="s">
        <v>165</v>
      </c>
      <c r="I118" t="s">
        <v>34</v>
      </c>
      <c r="R118" s="1">
        <v>-15566.98</v>
      </c>
    </row>
    <row r="119" spans="1:18" x14ac:dyDescent="0.2">
      <c r="H119" t="s">
        <v>166</v>
      </c>
      <c r="R119" s="1">
        <v>-495.76</v>
      </c>
    </row>
    <row r="120" spans="1:18" ht="15" customHeight="1" x14ac:dyDescent="0.2">
      <c r="A120">
        <v>252</v>
      </c>
      <c r="D120" t="s">
        <v>167</v>
      </c>
      <c r="I120" t="s">
        <v>37</v>
      </c>
      <c r="R120" s="1">
        <v>-495.76</v>
      </c>
    </row>
    <row r="121" spans="1:18" ht="15" customHeight="1" x14ac:dyDescent="0.2">
      <c r="H121" t="s">
        <v>129</v>
      </c>
      <c r="R121" s="1">
        <v>-8715.52</v>
      </c>
    </row>
    <row r="122" spans="1:18" ht="15" customHeight="1" x14ac:dyDescent="0.2">
      <c r="A122">
        <v>213</v>
      </c>
      <c r="D122" t="s">
        <v>168</v>
      </c>
      <c r="I122" t="s">
        <v>20</v>
      </c>
      <c r="R122" s="1">
        <v>-179.94</v>
      </c>
    </row>
    <row r="123" spans="1:18" x14ac:dyDescent="0.2">
      <c r="A123">
        <v>215</v>
      </c>
      <c r="D123" t="s">
        <v>230</v>
      </c>
      <c r="I123" t="s">
        <v>61</v>
      </c>
      <c r="R123" s="1">
        <v>-4110.58</v>
      </c>
    </row>
    <row r="124" spans="1:18" ht="15" customHeight="1" x14ac:dyDescent="0.2">
      <c r="A124">
        <v>225</v>
      </c>
      <c r="D124" t="s">
        <v>170</v>
      </c>
      <c r="I124" t="s">
        <v>26</v>
      </c>
      <c r="R124" s="1">
        <v>-109.56</v>
      </c>
    </row>
    <row r="125" spans="1:18" ht="15" customHeight="1" x14ac:dyDescent="0.2">
      <c r="A125">
        <v>226</v>
      </c>
      <c r="D125" t="s">
        <v>242</v>
      </c>
      <c r="I125" t="s">
        <v>243</v>
      </c>
      <c r="R125">
        <v>-133</v>
      </c>
    </row>
    <row r="126" spans="1:18" x14ac:dyDescent="0.2">
      <c r="A126">
        <v>227</v>
      </c>
      <c r="D126" t="s">
        <v>171</v>
      </c>
      <c r="I126" t="s">
        <v>27</v>
      </c>
      <c r="R126" s="1">
        <v>-62.07</v>
      </c>
    </row>
    <row r="127" spans="1:18" ht="15" customHeight="1" x14ac:dyDescent="0.2">
      <c r="A127">
        <v>228</v>
      </c>
      <c r="D127" t="s">
        <v>190</v>
      </c>
      <c r="I127" t="s">
        <v>48</v>
      </c>
      <c r="R127" s="1">
        <v>-26.11</v>
      </c>
    </row>
    <row r="128" spans="1:18" ht="15" customHeight="1" x14ac:dyDescent="0.2">
      <c r="A128">
        <v>231</v>
      </c>
      <c r="D128" t="s">
        <v>172</v>
      </c>
      <c r="I128" t="s">
        <v>29</v>
      </c>
      <c r="R128" s="1">
        <v>-301.5</v>
      </c>
    </row>
    <row r="129" spans="1:18" ht="15" customHeight="1" x14ac:dyDescent="0.2">
      <c r="A129">
        <v>238</v>
      </c>
      <c r="D129" t="s">
        <v>174</v>
      </c>
      <c r="I129" t="s">
        <v>33</v>
      </c>
      <c r="R129" s="1">
        <v>-679.73</v>
      </c>
    </row>
    <row r="130" spans="1:18" ht="15" customHeight="1" x14ac:dyDescent="0.2">
      <c r="A130">
        <v>243</v>
      </c>
      <c r="D130" t="s">
        <v>175</v>
      </c>
      <c r="I130" t="s">
        <v>176</v>
      </c>
      <c r="R130" s="1">
        <v>-2879.7</v>
      </c>
    </row>
    <row r="131" spans="1:18" ht="15" customHeight="1" x14ac:dyDescent="0.2">
      <c r="A131">
        <v>251</v>
      </c>
      <c r="D131" t="s">
        <v>177</v>
      </c>
      <c r="I131" t="s">
        <v>36</v>
      </c>
      <c r="R131" s="1">
        <v>-153.80000000000001</v>
      </c>
    </row>
    <row r="132" spans="1:18" x14ac:dyDescent="0.2">
      <c r="A132">
        <v>263</v>
      </c>
      <c r="D132" t="s">
        <v>179</v>
      </c>
      <c r="I132" t="s">
        <v>43</v>
      </c>
      <c r="R132" s="1">
        <v>-79.53</v>
      </c>
    </row>
    <row r="133" spans="1:18" x14ac:dyDescent="0.2">
      <c r="H133" t="s">
        <v>180</v>
      </c>
      <c r="R133" s="1">
        <v>169470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52"/>
  <sheetViews>
    <sheetView topLeftCell="A104" workbookViewId="0">
      <selection activeCell="I117" sqref="I117"/>
    </sheetView>
  </sheetViews>
  <sheetFormatPr baseColWidth="10" defaultColWidth="9.1640625" defaultRowHeight="15" x14ac:dyDescent="0.2"/>
  <cols>
    <col min="1" max="4" width="9.1640625" customWidth="1"/>
    <col min="5" max="5" width="11" customWidth="1"/>
    <col min="6" max="7" width="9.1640625" customWidth="1"/>
    <col min="12" max="12" width="12.5" bestFit="1" customWidth="1"/>
    <col min="18" max="18" width="12.5" bestFit="1" customWidth="1"/>
    <col min="19" max="19" width="11.6640625" bestFit="1" customWidth="1"/>
    <col min="20" max="20" width="12.5" bestFit="1" customWidth="1"/>
    <col min="21" max="21" width="11.6640625" bestFit="1" customWidth="1"/>
  </cols>
  <sheetData>
    <row r="1" spans="1:18" ht="15" customHeight="1" x14ac:dyDescent="0.2">
      <c r="A1" t="s">
        <v>65</v>
      </c>
      <c r="D1" t="s">
        <v>66</v>
      </c>
      <c r="H1" t="s">
        <v>5</v>
      </c>
      <c r="R1" t="s">
        <v>6</v>
      </c>
    </row>
    <row r="2" spans="1:18" ht="15" customHeight="1" x14ac:dyDescent="0.2">
      <c r="H2" t="s">
        <v>67</v>
      </c>
      <c r="R2" s="1">
        <v>5890772.4800000004</v>
      </c>
    </row>
    <row r="3" spans="1:18" x14ac:dyDescent="0.2">
      <c r="A3">
        <v>860</v>
      </c>
      <c r="D3" t="s">
        <v>68</v>
      </c>
      <c r="I3" t="s">
        <v>69</v>
      </c>
      <c r="R3" s="1">
        <v>1761432.17</v>
      </c>
    </row>
    <row r="4" spans="1:18" ht="15" customHeight="1" x14ac:dyDescent="0.2">
      <c r="A4">
        <v>861</v>
      </c>
      <c r="D4" t="s">
        <v>70</v>
      </c>
      <c r="I4" t="s">
        <v>71</v>
      </c>
      <c r="R4" s="1">
        <v>2580276.42</v>
      </c>
    </row>
    <row r="5" spans="1:18" x14ac:dyDescent="0.2">
      <c r="A5">
        <v>862</v>
      </c>
      <c r="D5" t="s">
        <v>184</v>
      </c>
      <c r="I5" t="s">
        <v>185</v>
      </c>
      <c r="R5" s="1">
        <v>223689.25</v>
      </c>
    </row>
    <row r="6" spans="1:18" x14ac:dyDescent="0.2">
      <c r="A6">
        <v>865</v>
      </c>
      <c r="D6" t="s">
        <v>72</v>
      </c>
      <c r="I6" t="s">
        <v>73</v>
      </c>
      <c r="R6" s="1">
        <v>1308896.28</v>
      </c>
    </row>
    <row r="7" spans="1:18" ht="15" customHeight="1" x14ac:dyDescent="0.2">
      <c r="A7">
        <v>868</v>
      </c>
      <c r="D7" t="s">
        <v>244</v>
      </c>
      <c r="I7" t="s">
        <v>245</v>
      </c>
      <c r="R7" s="1">
        <v>16478.36</v>
      </c>
    </row>
    <row r="8" spans="1:18" ht="15" customHeight="1" x14ac:dyDescent="0.2">
      <c r="H8" t="s">
        <v>74</v>
      </c>
      <c r="R8" s="1">
        <v>729067.69</v>
      </c>
    </row>
    <row r="9" spans="1:18" x14ac:dyDescent="0.2">
      <c r="A9">
        <v>863</v>
      </c>
      <c r="D9" t="s">
        <v>75</v>
      </c>
      <c r="I9" t="s">
        <v>76</v>
      </c>
      <c r="R9" s="1">
        <v>239275.09</v>
      </c>
    </row>
    <row r="10" spans="1:18" ht="15" customHeight="1" x14ac:dyDescent="0.2">
      <c r="A10">
        <v>864</v>
      </c>
      <c r="D10" t="s">
        <v>77</v>
      </c>
      <c r="I10" t="s">
        <v>78</v>
      </c>
      <c r="R10" s="1">
        <v>350577.52</v>
      </c>
    </row>
    <row r="11" spans="1:18" x14ac:dyDescent="0.2">
      <c r="A11">
        <v>866</v>
      </c>
      <c r="D11" t="s">
        <v>238</v>
      </c>
      <c r="I11" t="s">
        <v>239</v>
      </c>
      <c r="R11" s="1">
        <v>123810.66</v>
      </c>
    </row>
    <row r="12" spans="1:18" x14ac:dyDescent="0.2">
      <c r="A12">
        <v>867</v>
      </c>
      <c r="D12" t="s">
        <v>240</v>
      </c>
      <c r="I12" t="s">
        <v>241</v>
      </c>
      <c r="R12" s="1">
        <v>98.92</v>
      </c>
    </row>
    <row r="13" spans="1:18" ht="15" customHeight="1" x14ac:dyDescent="0.2">
      <c r="A13">
        <v>869</v>
      </c>
      <c r="D13" t="s">
        <v>247</v>
      </c>
      <c r="I13" t="s">
        <v>248</v>
      </c>
      <c r="R13" s="1">
        <v>15305.5</v>
      </c>
    </row>
    <row r="14" spans="1:18" ht="15" customHeight="1" x14ac:dyDescent="0.2">
      <c r="H14" t="s">
        <v>79</v>
      </c>
      <c r="R14" s="1">
        <v>6619840.1699999999</v>
      </c>
    </row>
    <row r="15" spans="1:18" x14ac:dyDescent="0.2">
      <c r="I15" t="s">
        <v>7</v>
      </c>
      <c r="R15" s="1"/>
    </row>
    <row r="16" spans="1:18" ht="15" customHeight="1" x14ac:dyDescent="0.2">
      <c r="H16" t="s">
        <v>80</v>
      </c>
      <c r="R16" s="1">
        <v>-27576.85</v>
      </c>
    </row>
    <row r="17" spans="1:18" ht="15" customHeight="1" x14ac:dyDescent="0.2">
      <c r="A17">
        <v>166</v>
      </c>
      <c r="D17" t="s">
        <v>81</v>
      </c>
      <c r="I17" t="s">
        <v>10</v>
      </c>
      <c r="R17" s="1">
        <v>-27555.05</v>
      </c>
    </row>
    <row r="18" spans="1:18" ht="15" customHeight="1" x14ac:dyDescent="0.2">
      <c r="A18">
        <v>168</v>
      </c>
      <c r="D18" t="s">
        <v>82</v>
      </c>
      <c r="I18" t="s">
        <v>12</v>
      </c>
      <c r="R18" s="1">
        <v>-21.8</v>
      </c>
    </row>
    <row r="19" spans="1:18" ht="15" customHeight="1" x14ac:dyDescent="0.2">
      <c r="H19" t="s">
        <v>83</v>
      </c>
      <c r="R19" s="1">
        <v>6592263.3200000003</v>
      </c>
    </row>
    <row r="20" spans="1:18" x14ac:dyDescent="0.2">
      <c r="I20" t="s">
        <v>7</v>
      </c>
      <c r="R20" s="1"/>
    </row>
    <row r="21" spans="1:18" ht="15" customHeight="1" x14ac:dyDescent="0.2">
      <c r="H21" t="s">
        <v>84</v>
      </c>
      <c r="R21" s="1">
        <v>401312.24</v>
      </c>
    </row>
    <row r="22" spans="1:18" ht="15" customHeight="1" x14ac:dyDescent="0.2">
      <c r="A22">
        <v>749</v>
      </c>
      <c r="D22" t="s">
        <v>85</v>
      </c>
      <c r="I22" t="s">
        <v>58</v>
      </c>
      <c r="R22" s="1">
        <v>401312.24</v>
      </c>
    </row>
    <row r="23" spans="1:18" ht="15" customHeight="1" x14ac:dyDescent="0.2">
      <c r="H23" t="s">
        <v>86</v>
      </c>
      <c r="R23" s="1">
        <v>6993575.5599999996</v>
      </c>
    </row>
    <row r="24" spans="1:18" x14ac:dyDescent="0.2">
      <c r="I24" t="s">
        <v>7</v>
      </c>
      <c r="R24" s="1"/>
    </row>
    <row r="25" spans="1:18" ht="15" customHeight="1" x14ac:dyDescent="0.2">
      <c r="H25" t="s">
        <v>87</v>
      </c>
      <c r="R25" s="1">
        <v>-2656876.06</v>
      </c>
    </row>
    <row r="26" spans="1:18" ht="15" customHeight="1" x14ac:dyDescent="0.2">
      <c r="A26">
        <v>162</v>
      </c>
      <c r="D26" t="s">
        <v>88</v>
      </c>
      <c r="I26" t="s">
        <v>8</v>
      </c>
      <c r="R26" s="1">
        <v>-2090405.11</v>
      </c>
    </row>
    <row r="27" spans="1:18" ht="15" customHeight="1" x14ac:dyDescent="0.2">
      <c r="A27">
        <v>165</v>
      </c>
      <c r="D27" t="s">
        <v>89</v>
      </c>
      <c r="I27" t="s">
        <v>9</v>
      </c>
      <c r="R27" s="1">
        <v>-270568.5</v>
      </c>
    </row>
    <row r="28" spans="1:18" ht="15" customHeight="1" x14ac:dyDescent="0.2">
      <c r="A28">
        <v>167</v>
      </c>
      <c r="D28" t="s">
        <v>90</v>
      </c>
      <c r="I28" t="s">
        <v>11</v>
      </c>
      <c r="R28" s="1">
        <v>-16737.419999999998</v>
      </c>
    </row>
    <row r="29" spans="1:18" ht="15" customHeight="1" x14ac:dyDescent="0.2">
      <c r="A29">
        <v>170</v>
      </c>
      <c r="D29" t="s">
        <v>91</v>
      </c>
      <c r="I29" t="s">
        <v>92</v>
      </c>
      <c r="R29" s="1">
        <v>-279165.03000000003</v>
      </c>
    </row>
    <row r="30" spans="1:18" ht="15" customHeight="1" x14ac:dyDescent="0.2">
      <c r="H30" t="s">
        <v>93</v>
      </c>
      <c r="R30" s="1">
        <v>-2656876.06</v>
      </c>
    </row>
    <row r="31" spans="1:18" x14ac:dyDescent="0.2">
      <c r="I31" t="s">
        <v>7</v>
      </c>
    </row>
    <row r="32" spans="1:18" ht="15" customHeight="1" x14ac:dyDescent="0.2">
      <c r="H32" t="s">
        <v>197</v>
      </c>
      <c r="R32" s="1">
        <v>28.56</v>
      </c>
    </row>
    <row r="33" spans="1:18" ht="15" customHeight="1" x14ac:dyDescent="0.2">
      <c r="A33">
        <v>135</v>
      </c>
      <c r="D33" t="s">
        <v>198</v>
      </c>
      <c r="I33" t="s">
        <v>59</v>
      </c>
      <c r="R33">
        <v>28.56</v>
      </c>
    </row>
    <row r="34" spans="1:18" ht="15" customHeight="1" x14ac:dyDescent="0.2">
      <c r="H34" t="s">
        <v>252</v>
      </c>
      <c r="R34" s="1">
        <v>6733.65</v>
      </c>
    </row>
    <row r="35" spans="1:18" ht="14.5" customHeight="1" x14ac:dyDescent="0.2">
      <c r="A35">
        <v>159</v>
      </c>
      <c r="D35" t="s">
        <v>253</v>
      </c>
      <c r="I35" t="s">
        <v>252</v>
      </c>
      <c r="R35" s="1">
        <v>6733.65</v>
      </c>
    </row>
    <row r="36" spans="1:18" ht="15" customHeight="1" x14ac:dyDescent="0.2">
      <c r="H36" t="s">
        <v>94</v>
      </c>
      <c r="R36" s="1">
        <v>4343461.71</v>
      </c>
    </row>
    <row r="37" spans="1:18" ht="15" customHeight="1" x14ac:dyDescent="0.2">
      <c r="I37" t="s">
        <v>7</v>
      </c>
      <c r="R37" s="1"/>
    </row>
    <row r="38" spans="1:18" ht="15" customHeight="1" x14ac:dyDescent="0.2">
      <c r="H38" t="s">
        <v>95</v>
      </c>
      <c r="R38" s="1">
        <v>-535682.71</v>
      </c>
    </row>
    <row r="39" spans="1:18" ht="15" customHeight="1" x14ac:dyDescent="0.2">
      <c r="A39">
        <v>164</v>
      </c>
      <c r="D39" t="s">
        <v>96</v>
      </c>
      <c r="I39" t="s">
        <v>97</v>
      </c>
      <c r="R39" s="1">
        <v>-396817.05</v>
      </c>
    </row>
    <row r="40" spans="1:18" ht="15" customHeight="1" x14ac:dyDescent="0.2">
      <c r="A40">
        <v>206</v>
      </c>
      <c r="D40" t="s">
        <v>98</v>
      </c>
      <c r="I40" t="s">
        <v>13</v>
      </c>
      <c r="R40" s="1">
        <v>-33190.26</v>
      </c>
    </row>
    <row r="41" spans="1:18" ht="15" customHeight="1" x14ac:dyDescent="0.2">
      <c r="A41">
        <v>207</v>
      </c>
      <c r="D41" t="s">
        <v>192</v>
      </c>
      <c r="I41" t="s">
        <v>14</v>
      </c>
      <c r="R41" s="1">
        <v>-47826.21</v>
      </c>
    </row>
    <row r="42" spans="1:18" ht="15" customHeight="1" x14ac:dyDescent="0.2">
      <c r="A42">
        <v>212</v>
      </c>
      <c r="D42" t="s">
        <v>99</v>
      </c>
      <c r="I42" t="s">
        <v>19</v>
      </c>
      <c r="R42" s="1">
        <v>-1824.94</v>
      </c>
    </row>
    <row r="43" spans="1:18" ht="15" customHeight="1" x14ac:dyDescent="0.2">
      <c r="A43">
        <v>224</v>
      </c>
      <c r="D43" t="s">
        <v>100</v>
      </c>
      <c r="I43" t="s">
        <v>25</v>
      </c>
      <c r="R43" s="1">
        <v>-56024.25</v>
      </c>
    </row>
    <row r="44" spans="1:18" ht="15" customHeight="1" x14ac:dyDescent="0.2">
      <c r="H44" t="s">
        <v>101</v>
      </c>
      <c r="R44" s="1">
        <v>-290072.56</v>
      </c>
    </row>
    <row r="45" spans="1:18" ht="15" customHeight="1" x14ac:dyDescent="0.2">
      <c r="A45">
        <v>250</v>
      </c>
      <c r="D45" t="s">
        <v>102</v>
      </c>
      <c r="I45" t="s">
        <v>35</v>
      </c>
      <c r="R45" s="1">
        <v>-42242.28</v>
      </c>
    </row>
    <row r="46" spans="1:18" ht="15" customHeight="1" x14ac:dyDescent="0.2">
      <c r="A46">
        <v>253</v>
      </c>
      <c r="D46" t="s">
        <v>103</v>
      </c>
      <c r="I46" t="s">
        <v>38</v>
      </c>
      <c r="R46" s="1">
        <v>-156637.12</v>
      </c>
    </row>
    <row r="47" spans="1:18" ht="15" customHeight="1" x14ac:dyDescent="0.2">
      <c r="A47">
        <v>651</v>
      </c>
      <c r="D47" t="s">
        <v>104</v>
      </c>
      <c r="I47" t="s">
        <v>39</v>
      </c>
      <c r="R47" s="1">
        <v>-17770.169999999998</v>
      </c>
    </row>
    <row r="48" spans="1:18" ht="15" customHeight="1" x14ac:dyDescent="0.2">
      <c r="A48">
        <v>653</v>
      </c>
      <c r="D48" t="s">
        <v>105</v>
      </c>
      <c r="I48" t="s">
        <v>40</v>
      </c>
      <c r="R48" s="1">
        <v>-827.7</v>
      </c>
    </row>
    <row r="49" spans="1:18" ht="14.5" customHeight="1" x14ac:dyDescent="0.2">
      <c r="A49">
        <v>654</v>
      </c>
      <c r="D49" t="s">
        <v>106</v>
      </c>
      <c r="I49" t="s">
        <v>41</v>
      </c>
      <c r="R49" s="1">
        <v>-72595.289999999994</v>
      </c>
    </row>
    <row r="50" spans="1:18" ht="15" customHeight="1" x14ac:dyDescent="0.2">
      <c r="H50" t="s">
        <v>107</v>
      </c>
      <c r="R50" s="1">
        <v>-825755.27</v>
      </c>
    </row>
    <row r="51" spans="1:18" x14ac:dyDescent="0.2">
      <c r="I51" t="s">
        <v>7</v>
      </c>
    </row>
    <row r="52" spans="1:18" ht="15" customHeight="1" x14ac:dyDescent="0.2">
      <c r="H52" t="s">
        <v>108</v>
      </c>
      <c r="R52" s="1">
        <v>3517706.44</v>
      </c>
    </row>
    <row r="53" spans="1:18" x14ac:dyDescent="0.2">
      <c r="I53" t="s">
        <v>7</v>
      </c>
      <c r="R53" s="1"/>
    </row>
    <row r="54" spans="1:18" ht="15" customHeight="1" x14ac:dyDescent="0.2">
      <c r="H54" t="s">
        <v>109</v>
      </c>
      <c r="R54" s="1">
        <v>-1345043.3</v>
      </c>
    </row>
    <row r="55" spans="1:18" x14ac:dyDescent="0.2">
      <c r="I55" t="s">
        <v>7</v>
      </c>
      <c r="R55" s="1"/>
    </row>
    <row r="56" spans="1:18" ht="15" customHeight="1" x14ac:dyDescent="0.2">
      <c r="H56" t="s">
        <v>110</v>
      </c>
      <c r="R56" s="1">
        <v>-1345043.3</v>
      </c>
    </row>
    <row r="57" spans="1:18" ht="15" customHeight="1" x14ac:dyDescent="0.2">
      <c r="I57" t="s">
        <v>7</v>
      </c>
    </row>
    <row r="58" spans="1:18" ht="15" customHeight="1" x14ac:dyDescent="0.2">
      <c r="H58" t="s">
        <v>111</v>
      </c>
      <c r="R58" s="1">
        <v>-36540.699999999997</v>
      </c>
    </row>
    <row r="59" spans="1:18" ht="15" customHeight="1" x14ac:dyDescent="0.2">
      <c r="A59">
        <v>182</v>
      </c>
      <c r="D59" t="s">
        <v>112</v>
      </c>
      <c r="I59" t="s">
        <v>54</v>
      </c>
      <c r="R59" s="1">
        <v>-36540.699999999997</v>
      </c>
    </row>
    <row r="60" spans="1:18" ht="15" customHeight="1" x14ac:dyDescent="0.2">
      <c r="H60" t="s">
        <v>113</v>
      </c>
      <c r="R60" s="1">
        <v>-261886.68</v>
      </c>
    </row>
    <row r="61" spans="1:18" ht="15" customHeight="1" x14ac:dyDescent="0.2">
      <c r="A61">
        <v>181</v>
      </c>
      <c r="D61" t="s">
        <v>114</v>
      </c>
      <c r="I61" t="s">
        <v>53</v>
      </c>
      <c r="R61" s="1">
        <v>-165919.6</v>
      </c>
    </row>
    <row r="62" spans="1:18" ht="15" customHeight="1" x14ac:dyDescent="0.2">
      <c r="A62">
        <v>188</v>
      </c>
      <c r="D62" t="s">
        <v>115</v>
      </c>
      <c r="I62" t="s">
        <v>116</v>
      </c>
      <c r="R62" s="1">
        <v>-85135.08</v>
      </c>
    </row>
    <row r="63" spans="1:18" ht="14.5" customHeight="1" x14ac:dyDescent="0.2">
      <c r="A63">
        <v>535</v>
      </c>
      <c r="D63" t="s">
        <v>199</v>
      </c>
      <c r="I63" t="s">
        <v>232</v>
      </c>
      <c r="R63" s="1">
        <v>-5845</v>
      </c>
    </row>
    <row r="64" spans="1:18" ht="15" customHeight="1" x14ac:dyDescent="0.2">
      <c r="A64">
        <v>536</v>
      </c>
      <c r="D64" t="s">
        <v>200</v>
      </c>
      <c r="I64" t="s">
        <v>201</v>
      </c>
      <c r="R64" s="1">
        <v>-4987</v>
      </c>
    </row>
    <row r="65" spans="1:18" ht="15" customHeight="1" x14ac:dyDescent="0.2">
      <c r="H65" t="s">
        <v>73</v>
      </c>
      <c r="R65" s="1">
        <v>-99642.76</v>
      </c>
    </row>
    <row r="66" spans="1:18" ht="15" customHeight="1" x14ac:dyDescent="0.2">
      <c r="A66">
        <v>184</v>
      </c>
      <c r="D66" t="s">
        <v>117</v>
      </c>
      <c r="I66" t="s">
        <v>57</v>
      </c>
      <c r="R66" s="1">
        <v>-99642.76</v>
      </c>
    </row>
    <row r="67" spans="1:18" ht="15" customHeight="1" x14ac:dyDescent="0.2">
      <c r="H67" t="s">
        <v>118</v>
      </c>
      <c r="R67" s="1">
        <v>-38983.449999999997</v>
      </c>
    </row>
    <row r="68" spans="1:18" ht="15" customHeight="1" x14ac:dyDescent="0.2">
      <c r="A68">
        <v>502</v>
      </c>
      <c r="D68" t="s">
        <v>119</v>
      </c>
      <c r="I68" t="s">
        <v>120</v>
      </c>
      <c r="R68" s="1">
        <v>-23638.73</v>
      </c>
    </row>
    <row r="69" spans="1:18" ht="15" customHeight="1" x14ac:dyDescent="0.2">
      <c r="A69">
        <v>503</v>
      </c>
      <c r="D69" t="s">
        <v>121</v>
      </c>
      <c r="I69" t="s">
        <v>122</v>
      </c>
      <c r="R69" s="1">
        <v>-6760.12</v>
      </c>
    </row>
    <row r="70" spans="1:18" ht="15" customHeight="1" x14ac:dyDescent="0.2">
      <c r="A70">
        <v>504</v>
      </c>
      <c r="D70" t="s">
        <v>123</v>
      </c>
      <c r="I70" t="s">
        <v>124</v>
      </c>
      <c r="R70">
        <v>-845.01</v>
      </c>
    </row>
    <row r="71" spans="1:18" ht="15" customHeight="1" x14ac:dyDescent="0.2">
      <c r="A71">
        <v>505</v>
      </c>
      <c r="D71" t="s">
        <v>202</v>
      </c>
      <c r="I71" t="s">
        <v>203</v>
      </c>
      <c r="R71" s="1">
        <v>-1537.25</v>
      </c>
    </row>
    <row r="72" spans="1:18" ht="15" customHeight="1" x14ac:dyDescent="0.2">
      <c r="A72">
        <v>506</v>
      </c>
      <c r="D72" t="s">
        <v>204</v>
      </c>
      <c r="I72" t="s">
        <v>205</v>
      </c>
      <c r="R72" s="1">
        <v>-467.6</v>
      </c>
    </row>
    <row r="73" spans="1:18" ht="15" customHeight="1" x14ac:dyDescent="0.2">
      <c r="A73">
        <v>508</v>
      </c>
      <c r="D73" t="s">
        <v>206</v>
      </c>
      <c r="I73" t="s">
        <v>207</v>
      </c>
      <c r="R73" s="1">
        <v>-58.45</v>
      </c>
    </row>
    <row r="74" spans="1:18" ht="15" customHeight="1" x14ac:dyDescent="0.2">
      <c r="A74">
        <v>527</v>
      </c>
      <c r="D74" t="s">
        <v>208</v>
      </c>
      <c r="I74" t="s">
        <v>209</v>
      </c>
      <c r="R74" s="1">
        <v>-1311.73</v>
      </c>
    </row>
    <row r="75" spans="1:18" ht="15" customHeight="1" x14ac:dyDescent="0.2">
      <c r="A75">
        <v>528</v>
      </c>
      <c r="D75" t="s">
        <v>210</v>
      </c>
      <c r="I75" t="s">
        <v>211</v>
      </c>
      <c r="R75">
        <v>-399</v>
      </c>
    </row>
    <row r="76" spans="1:18" ht="15" customHeight="1" x14ac:dyDescent="0.2">
      <c r="A76">
        <v>529</v>
      </c>
      <c r="D76" t="s">
        <v>212</v>
      </c>
      <c r="I76" t="s">
        <v>213</v>
      </c>
      <c r="R76" s="1">
        <v>-49.88</v>
      </c>
    </row>
    <row r="77" spans="1:18" ht="15" customHeight="1" x14ac:dyDescent="0.2">
      <c r="A77">
        <v>511</v>
      </c>
      <c r="D77" t="s">
        <v>125</v>
      </c>
      <c r="I77" t="s">
        <v>126</v>
      </c>
      <c r="R77" s="1">
        <v>-3915.68</v>
      </c>
    </row>
    <row r="78" spans="1:18" ht="15" customHeight="1" x14ac:dyDescent="0.2">
      <c r="H78" t="s">
        <v>182</v>
      </c>
      <c r="R78" s="1">
        <v>-97629.53</v>
      </c>
    </row>
    <row r="79" spans="1:18" ht="15" customHeight="1" x14ac:dyDescent="0.2">
      <c r="A79">
        <v>710</v>
      </c>
      <c r="D79" t="s">
        <v>128</v>
      </c>
      <c r="I79" t="s">
        <v>183</v>
      </c>
      <c r="R79" s="1">
        <v>-97629.53</v>
      </c>
    </row>
    <row r="80" spans="1:18" ht="15" customHeight="1" x14ac:dyDescent="0.2">
      <c r="H80" t="s">
        <v>181</v>
      </c>
      <c r="R80" s="1">
        <v>-137904.09</v>
      </c>
    </row>
    <row r="81" spans="1:18" ht="15" customHeight="1" x14ac:dyDescent="0.2">
      <c r="A81">
        <v>247</v>
      </c>
      <c r="D81" t="s">
        <v>193</v>
      </c>
      <c r="I81" t="s">
        <v>51</v>
      </c>
      <c r="R81" s="1">
        <v>-129735.8</v>
      </c>
    </row>
    <row r="82" spans="1:18" ht="15" customHeight="1" x14ac:dyDescent="0.2">
      <c r="A82">
        <v>711</v>
      </c>
      <c r="D82" t="s">
        <v>249</v>
      </c>
      <c r="I82" t="s">
        <v>30</v>
      </c>
      <c r="R82" s="1">
        <v>-8168.29</v>
      </c>
    </row>
    <row r="83" spans="1:18" ht="15" customHeight="1" x14ac:dyDescent="0.2">
      <c r="H83" t="s">
        <v>130</v>
      </c>
      <c r="R83" s="1">
        <v>-672456.09</v>
      </c>
    </row>
    <row r="84" spans="1:18" ht="15" customHeight="1" x14ac:dyDescent="0.2">
      <c r="A84">
        <v>171</v>
      </c>
      <c r="D84" t="s">
        <v>131</v>
      </c>
      <c r="I84" t="s">
        <v>60</v>
      </c>
      <c r="R84" s="1">
        <v>-636731.85</v>
      </c>
    </row>
    <row r="85" spans="1:18" ht="15" customHeight="1" x14ac:dyDescent="0.2">
      <c r="A85">
        <v>245</v>
      </c>
      <c r="D85" t="s">
        <v>132</v>
      </c>
      <c r="I85" t="s">
        <v>191</v>
      </c>
      <c r="R85" s="1">
        <v>-31935.08</v>
      </c>
    </row>
    <row r="86" spans="1:18" ht="14.5" customHeight="1" x14ac:dyDescent="0.2">
      <c r="A86">
        <v>709</v>
      </c>
      <c r="D86" t="s">
        <v>250</v>
      </c>
      <c r="I86" t="s">
        <v>186</v>
      </c>
      <c r="R86" s="1">
        <v>-3789.16</v>
      </c>
    </row>
    <row r="87" spans="1:18" ht="15" customHeight="1" x14ac:dyDescent="0.2">
      <c r="H87" t="s">
        <v>133</v>
      </c>
      <c r="R87" s="1">
        <v>-1351049.34</v>
      </c>
    </row>
    <row r="88" spans="1:18" ht="15" customHeight="1" x14ac:dyDescent="0.2">
      <c r="I88" t="s">
        <v>7</v>
      </c>
      <c r="R88" s="1"/>
    </row>
    <row r="89" spans="1:18" ht="15" customHeight="1" x14ac:dyDescent="0.2">
      <c r="H89" t="s">
        <v>134</v>
      </c>
      <c r="R89" s="1">
        <v>-841823.24</v>
      </c>
    </row>
    <row r="90" spans="1:18" ht="15" customHeight="1" x14ac:dyDescent="0.2">
      <c r="A90">
        <v>179</v>
      </c>
      <c r="D90" t="s">
        <v>233</v>
      </c>
      <c r="I90" t="s">
        <v>234</v>
      </c>
      <c r="R90" s="1">
        <v>-51009.67</v>
      </c>
    </row>
    <row r="91" spans="1:18" ht="15" customHeight="1" x14ac:dyDescent="0.2">
      <c r="A91">
        <v>180</v>
      </c>
      <c r="D91" t="s">
        <v>135</v>
      </c>
      <c r="I91" t="s">
        <v>52</v>
      </c>
      <c r="R91" s="1">
        <v>-225349.04</v>
      </c>
    </row>
    <row r="92" spans="1:18" ht="15" customHeight="1" x14ac:dyDescent="0.2">
      <c r="A92">
        <v>185</v>
      </c>
      <c r="D92" t="s">
        <v>254</v>
      </c>
      <c r="I92" t="s">
        <v>235</v>
      </c>
      <c r="R92" s="1">
        <v>-4743</v>
      </c>
    </row>
    <row r="93" spans="1:18" ht="15" customHeight="1" x14ac:dyDescent="0.2">
      <c r="A93">
        <v>186</v>
      </c>
      <c r="D93" t="s">
        <v>187</v>
      </c>
      <c r="I93" t="s">
        <v>55</v>
      </c>
      <c r="R93" s="1">
        <v>-99643.67</v>
      </c>
    </row>
    <row r="94" spans="1:18" ht="15" customHeight="1" x14ac:dyDescent="0.2">
      <c r="A94">
        <v>187</v>
      </c>
      <c r="D94" t="s">
        <v>136</v>
      </c>
      <c r="I94" t="s">
        <v>56</v>
      </c>
      <c r="R94" s="1">
        <v>-114950.63</v>
      </c>
    </row>
    <row r="95" spans="1:18" ht="15" customHeight="1" x14ac:dyDescent="0.2">
      <c r="A95">
        <v>189</v>
      </c>
      <c r="D95" t="s">
        <v>137</v>
      </c>
      <c r="I95" t="s">
        <v>138</v>
      </c>
      <c r="R95" s="1">
        <v>-56376.26</v>
      </c>
    </row>
    <row r="96" spans="1:18" ht="14.5" customHeight="1" x14ac:dyDescent="0.2">
      <c r="A96">
        <v>190</v>
      </c>
      <c r="D96" t="s">
        <v>139</v>
      </c>
      <c r="I96" t="s">
        <v>140</v>
      </c>
      <c r="R96" s="1">
        <v>-30720.94</v>
      </c>
    </row>
    <row r="97" spans="1:18" ht="15" customHeight="1" x14ac:dyDescent="0.2">
      <c r="A97">
        <v>192</v>
      </c>
      <c r="D97" t="s">
        <v>141</v>
      </c>
      <c r="I97" t="s">
        <v>142</v>
      </c>
      <c r="R97" s="1">
        <v>-17044.939999999999</v>
      </c>
    </row>
    <row r="98" spans="1:18" ht="15" customHeight="1" x14ac:dyDescent="0.2">
      <c r="A98">
        <v>193</v>
      </c>
      <c r="D98" t="s">
        <v>143</v>
      </c>
      <c r="I98" t="s">
        <v>45</v>
      </c>
      <c r="R98" s="1">
        <v>-1277.6099999999999</v>
      </c>
    </row>
    <row r="99" spans="1:18" ht="15" customHeight="1" x14ac:dyDescent="0.2">
      <c r="A99">
        <v>530</v>
      </c>
      <c r="D99" t="s">
        <v>214</v>
      </c>
      <c r="I99" t="s">
        <v>215</v>
      </c>
      <c r="R99" s="1">
        <v>-13875.62</v>
      </c>
    </row>
    <row r="100" spans="1:18" ht="15" customHeight="1" x14ac:dyDescent="0.2">
      <c r="A100">
        <v>531</v>
      </c>
      <c r="D100" t="s">
        <v>216</v>
      </c>
      <c r="I100" t="s">
        <v>217</v>
      </c>
      <c r="R100" s="1">
        <v>-4831.32</v>
      </c>
    </row>
    <row r="101" spans="1:18" ht="15" customHeight="1" x14ac:dyDescent="0.2">
      <c r="A101">
        <v>195</v>
      </c>
      <c r="D101" t="s">
        <v>144</v>
      </c>
      <c r="I101" t="s">
        <v>145</v>
      </c>
      <c r="R101" s="1">
        <v>-26231.96</v>
      </c>
    </row>
    <row r="102" spans="1:18" ht="15" customHeight="1" x14ac:dyDescent="0.2">
      <c r="A102">
        <v>196</v>
      </c>
      <c r="D102" t="s">
        <v>146</v>
      </c>
      <c r="I102" t="s">
        <v>147</v>
      </c>
      <c r="R102" s="1">
        <v>-9415.1299999999992</v>
      </c>
    </row>
    <row r="103" spans="1:18" ht="15" customHeight="1" x14ac:dyDescent="0.2">
      <c r="A103">
        <v>197</v>
      </c>
      <c r="D103" t="s">
        <v>148</v>
      </c>
      <c r="I103" t="s">
        <v>149</v>
      </c>
      <c r="R103" s="1">
        <v>-1025.8699999999999</v>
      </c>
    </row>
    <row r="104" spans="1:18" ht="15" customHeight="1" x14ac:dyDescent="0.2">
      <c r="A104">
        <v>198</v>
      </c>
      <c r="D104" t="s">
        <v>236</v>
      </c>
      <c r="I104" t="s">
        <v>237</v>
      </c>
      <c r="R104" s="1">
        <v>-33.619999999999997</v>
      </c>
    </row>
    <row r="105" spans="1:18" ht="15" customHeight="1" x14ac:dyDescent="0.2">
      <c r="A105">
        <v>499</v>
      </c>
      <c r="D105" t="s">
        <v>218</v>
      </c>
      <c r="I105" t="s">
        <v>219</v>
      </c>
      <c r="R105" s="1">
        <v>-114.05</v>
      </c>
    </row>
    <row r="106" spans="1:18" ht="15" customHeight="1" x14ac:dyDescent="0.2">
      <c r="A106">
        <v>500</v>
      </c>
      <c r="D106" t="s">
        <v>220</v>
      </c>
      <c r="I106" t="s">
        <v>221</v>
      </c>
      <c r="R106" s="1">
        <v>-1578.32</v>
      </c>
    </row>
    <row r="107" spans="1:18" ht="15" customHeight="1" x14ac:dyDescent="0.2">
      <c r="A107">
        <v>501</v>
      </c>
      <c r="D107" t="s">
        <v>222</v>
      </c>
      <c r="I107" t="s">
        <v>223</v>
      </c>
      <c r="R107" s="1">
        <v>-480.08</v>
      </c>
    </row>
    <row r="108" spans="1:18" ht="15" customHeight="1" x14ac:dyDescent="0.2">
      <c r="A108">
        <v>522</v>
      </c>
      <c r="D108" t="s">
        <v>224</v>
      </c>
      <c r="I108" t="s">
        <v>225</v>
      </c>
      <c r="R108" s="1">
        <v>-1951.04</v>
      </c>
    </row>
    <row r="109" spans="1:18" ht="15" customHeight="1" x14ac:dyDescent="0.2">
      <c r="A109">
        <v>523</v>
      </c>
      <c r="D109" t="s">
        <v>226</v>
      </c>
      <c r="I109" t="s">
        <v>227</v>
      </c>
      <c r="R109">
        <v>-386.44</v>
      </c>
    </row>
    <row r="110" spans="1:18" ht="15" customHeight="1" x14ac:dyDescent="0.2">
      <c r="A110">
        <v>524</v>
      </c>
      <c r="D110" t="s">
        <v>228</v>
      </c>
      <c r="I110" t="s">
        <v>229</v>
      </c>
      <c r="R110">
        <v>-47.79</v>
      </c>
    </row>
    <row r="111" spans="1:18" ht="15" customHeight="1" x14ac:dyDescent="0.2">
      <c r="A111">
        <v>200</v>
      </c>
      <c r="D111" t="s">
        <v>150</v>
      </c>
      <c r="I111" t="s">
        <v>15</v>
      </c>
      <c r="R111" s="1">
        <v>-31138.27</v>
      </c>
    </row>
    <row r="112" spans="1:18" ht="15" customHeight="1" x14ac:dyDescent="0.2">
      <c r="A112">
        <v>201</v>
      </c>
      <c r="D112" t="s">
        <v>151</v>
      </c>
      <c r="I112" t="s">
        <v>152</v>
      </c>
      <c r="R112" s="1">
        <v>-13002.06</v>
      </c>
    </row>
    <row r="113" spans="1:18" ht="15" customHeight="1" x14ac:dyDescent="0.2">
      <c r="A113">
        <v>202</v>
      </c>
      <c r="D113" t="s">
        <v>153</v>
      </c>
      <c r="I113" t="s">
        <v>16</v>
      </c>
      <c r="R113" s="1">
        <v>-51388.83</v>
      </c>
    </row>
    <row r="114" spans="1:18" ht="15" customHeight="1" x14ac:dyDescent="0.2">
      <c r="A114">
        <v>203</v>
      </c>
      <c r="D114" t="s">
        <v>154</v>
      </c>
      <c r="I114" t="s">
        <v>17</v>
      </c>
      <c r="R114" s="1">
        <v>-12085.28</v>
      </c>
    </row>
    <row r="115" spans="1:18" ht="14.5" customHeight="1" x14ac:dyDescent="0.2">
      <c r="A115">
        <v>540</v>
      </c>
      <c r="D115" t="s">
        <v>256</v>
      </c>
      <c r="I115" t="s">
        <v>255</v>
      </c>
      <c r="R115" s="1">
        <v>-44613.59</v>
      </c>
    </row>
    <row r="116" spans="1:18" ht="15" customHeight="1" x14ac:dyDescent="0.2">
      <c r="A116">
        <v>541</v>
      </c>
      <c r="D116" t="s">
        <v>257</v>
      </c>
      <c r="I116" t="s">
        <v>258</v>
      </c>
      <c r="R116" s="1">
        <v>-4667.24</v>
      </c>
    </row>
    <row r="117" spans="1:18" ht="15" customHeight="1" x14ac:dyDescent="0.2">
      <c r="A117">
        <v>210</v>
      </c>
      <c r="D117" t="s">
        <v>155</v>
      </c>
      <c r="I117" t="s">
        <v>18</v>
      </c>
      <c r="R117" s="1">
        <v>-23840.97</v>
      </c>
    </row>
    <row r="118" spans="1:18" ht="15" customHeight="1" x14ac:dyDescent="0.2">
      <c r="H118" t="s">
        <v>156</v>
      </c>
      <c r="R118" s="1">
        <v>-130789.59</v>
      </c>
    </row>
    <row r="119" spans="1:18" ht="15" customHeight="1" x14ac:dyDescent="0.2">
      <c r="A119">
        <v>229</v>
      </c>
      <c r="D119" t="s">
        <v>157</v>
      </c>
      <c r="I119" t="s">
        <v>28</v>
      </c>
      <c r="R119" s="1">
        <v>-130477.67</v>
      </c>
    </row>
    <row r="120" spans="1:18" ht="15" customHeight="1" x14ac:dyDescent="0.2">
      <c r="A120">
        <v>237</v>
      </c>
      <c r="D120" t="s">
        <v>158</v>
      </c>
      <c r="I120" t="s">
        <v>32</v>
      </c>
      <c r="R120" s="1">
        <v>-311.92</v>
      </c>
    </row>
    <row r="121" spans="1:18" ht="15" customHeight="1" x14ac:dyDescent="0.2">
      <c r="H121" t="s">
        <v>159</v>
      </c>
      <c r="R121" s="1">
        <v>-60172.14</v>
      </c>
    </row>
    <row r="122" spans="1:18" ht="15" customHeight="1" x14ac:dyDescent="0.2">
      <c r="A122">
        <v>214</v>
      </c>
      <c r="D122" t="s">
        <v>160</v>
      </c>
      <c r="I122" t="s">
        <v>21</v>
      </c>
      <c r="R122" s="1">
        <v>-60172.14</v>
      </c>
    </row>
    <row r="123" spans="1:18" ht="15" customHeight="1" x14ac:dyDescent="0.2">
      <c r="H123" t="s">
        <v>161</v>
      </c>
      <c r="R123" s="1">
        <v>-28263.119999999999</v>
      </c>
    </row>
    <row r="124" spans="1:18" ht="15" customHeight="1" x14ac:dyDescent="0.2">
      <c r="A124">
        <v>217</v>
      </c>
      <c r="D124" t="s">
        <v>162</v>
      </c>
      <c r="I124" t="s">
        <v>23</v>
      </c>
      <c r="R124" s="1">
        <v>-28113.119999999999</v>
      </c>
    </row>
    <row r="125" spans="1:18" ht="14.5" customHeight="1" x14ac:dyDescent="0.2">
      <c r="A125">
        <v>218</v>
      </c>
      <c r="D125" t="s">
        <v>188</v>
      </c>
      <c r="I125" t="s">
        <v>46</v>
      </c>
      <c r="R125" s="1">
        <v>-150</v>
      </c>
    </row>
    <row r="126" spans="1:18" ht="15" customHeight="1" x14ac:dyDescent="0.2">
      <c r="H126" t="s">
        <v>163</v>
      </c>
      <c r="R126" s="1">
        <v>-45788.1</v>
      </c>
    </row>
    <row r="127" spans="1:18" ht="15" customHeight="1" x14ac:dyDescent="0.2">
      <c r="A127">
        <v>219</v>
      </c>
      <c r="D127" t="s">
        <v>194</v>
      </c>
      <c r="I127" t="s">
        <v>49</v>
      </c>
      <c r="R127" s="1">
        <v>-36791.21</v>
      </c>
    </row>
    <row r="128" spans="1:18" ht="15" customHeight="1" x14ac:dyDescent="0.2">
      <c r="A128">
        <v>220</v>
      </c>
      <c r="D128" t="s">
        <v>164</v>
      </c>
      <c r="I128" t="s">
        <v>24</v>
      </c>
      <c r="R128" s="1">
        <v>-4862.41</v>
      </c>
    </row>
    <row r="129" spans="1:18" ht="15" customHeight="1" x14ac:dyDescent="0.2">
      <c r="A129">
        <v>233</v>
      </c>
      <c r="D129" t="s">
        <v>195</v>
      </c>
      <c r="I129" t="s">
        <v>50</v>
      </c>
      <c r="R129" s="1">
        <v>-4134.4799999999996</v>
      </c>
    </row>
    <row r="130" spans="1:18" ht="14.5" customHeight="1" x14ac:dyDescent="0.2">
      <c r="H130" t="s">
        <v>127</v>
      </c>
      <c r="R130" s="1">
        <v>-140702.57</v>
      </c>
    </row>
    <row r="131" spans="1:18" ht="15" customHeight="1" x14ac:dyDescent="0.2">
      <c r="A131">
        <v>244</v>
      </c>
      <c r="D131" t="s">
        <v>165</v>
      </c>
      <c r="I131" t="s">
        <v>34</v>
      </c>
      <c r="R131" s="1">
        <v>-140702.57</v>
      </c>
    </row>
    <row r="132" spans="1:18" ht="15" customHeight="1" x14ac:dyDescent="0.2">
      <c r="H132" t="s">
        <v>166</v>
      </c>
      <c r="R132" s="1">
        <v>-4553.8599999999997</v>
      </c>
    </row>
    <row r="133" spans="1:18" ht="15" customHeight="1" x14ac:dyDescent="0.2">
      <c r="A133">
        <v>252</v>
      </c>
      <c r="D133" t="s">
        <v>167</v>
      </c>
      <c r="I133" t="s">
        <v>37</v>
      </c>
      <c r="R133" s="1">
        <v>-4553.8599999999997</v>
      </c>
    </row>
    <row r="134" spans="1:18" ht="15" customHeight="1" x14ac:dyDescent="0.2">
      <c r="H134" t="s">
        <v>129</v>
      </c>
      <c r="R134" s="1">
        <v>-98956.72</v>
      </c>
    </row>
    <row r="135" spans="1:18" ht="14.5" customHeight="1" x14ac:dyDescent="0.2">
      <c r="A135">
        <v>213</v>
      </c>
      <c r="D135" t="s">
        <v>168</v>
      </c>
      <c r="I135" t="s">
        <v>20</v>
      </c>
      <c r="R135" s="1">
        <v>-4870.17</v>
      </c>
    </row>
    <row r="136" spans="1:18" ht="15" customHeight="1" x14ac:dyDescent="0.2">
      <c r="A136">
        <v>215</v>
      </c>
      <c r="D136" t="s">
        <v>230</v>
      </c>
      <c r="I136" t="s">
        <v>61</v>
      </c>
      <c r="R136" s="1">
        <v>-7788.16</v>
      </c>
    </row>
    <row r="137" spans="1:18" ht="14.5" customHeight="1" x14ac:dyDescent="0.2">
      <c r="A137">
        <v>216</v>
      </c>
      <c r="D137" t="s">
        <v>169</v>
      </c>
      <c r="I137" t="s">
        <v>22</v>
      </c>
      <c r="R137" s="1">
        <v>-259</v>
      </c>
    </row>
    <row r="138" spans="1:18" ht="15" customHeight="1" x14ac:dyDescent="0.2">
      <c r="A138">
        <v>222</v>
      </c>
      <c r="D138" t="s">
        <v>189</v>
      </c>
      <c r="I138" t="s">
        <v>47</v>
      </c>
      <c r="R138" s="1">
        <v>-2868.36</v>
      </c>
    </row>
    <row r="139" spans="1:18" ht="15" customHeight="1" x14ac:dyDescent="0.2">
      <c r="A139">
        <v>225</v>
      </c>
      <c r="D139" t="s">
        <v>170</v>
      </c>
      <c r="I139" t="s">
        <v>26</v>
      </c>
      <c r="R139" s="1">
        <v>-1991.66</v>
      </c>
    </row>
    <row r="140" spans="1:18" ht="14.5" customHeight="1" x14ac:dyDescent="0.2">
      <c r="A140">
        <v>226</v>
      </c>
      <c r="D140" t="s">
        <v>242</v>
      </c>
      <c r="I140" t="s">
        <v>243</v>
      </c>
      <c r="R140" s="1">
        <v>-931</v>
      </c>
    </row>
    <row r="141" spans="1:18" ht="15" customHeight="1" x14ac:dyDescent="0.2">
      <c r="A141">
        <v>227</v>
      </c>
      <c r="D141" t="s">
        <v>171</v>
      </c>
      <c r="I141" t="s">
        <v>27</v>
      </c>
      <c r="R141" s="1">
        <v>-2941.45</v>
      </c>
    </row>
    <row r="142" spans="1:18" ht="15" customHeight="1" x14ac:dyDescent="0.2">
      <c r="A142">
        <v>228</v>
      </c>
      <c r="D142" t="s">
        <v>190</v>
      </c>
      <c r="I142" t="s">
        <v>48</v>
      </c>
      <c r="R142" s="1">
        <v>-227.44</v>
      </c>
    </row>
    <row r="143" spans="1:18" ht="15" customHeight="1" x14ac:dyDescent="0.2">
      <c r="A143">
        <v>231</v>
      </c>
      <c r="D143" t="s">
        <v>172</v>
      </c>
      <c r="I143" t="s">
        <v>29</v>
      </c>
      <c r="R143" s="1">
        <v>-15063.97</v>
      </c>
    </row>
    <row r="144" spans="1:18" ht="15" customHeight="1" x14ac:dyDescent="0.2">
      <c r="A144">
        <v>232</v>
      </c>
      <c r="D144" t="s">
        <v>246</v>
      </c>
      <c r="I144" t="s">
        <v>251</v>
      </c>
      <c r="R144" s="1">
        <v>-726.02</v>
      </c>
    </row>
    <row r="145" spans="1:18" ht="15" customHeight="1" x14ac:dyDescent="0.2">
      <c r="A145">
        <v>234</v>
      </c>
      <c r="D145" t="s">
        <v>231</v>
      </c>
      <c r="I145" t="s">
        <v>63</v>
      </c>
      <c r="R145" s="1">
        <v>-1542.4</v>
      </c>
    </row>
    <row r="146" spans="1:18" ht="15" customHeight="1" x14ac:dyDescent="0.2">
      <c r="A146">
        <v>236</v>
      </c>
      <c r="D146" t="s">
        <v>173</v>
      </c>
      <c r="I146" t="s">
        <v>31</v>
      </c>
      <c r="R146" s="1">
        <v>-6088.89</v>
      </c>
    </row>
    <row r="147" spans="1:18" ht="15" customHeight="1" x14ac:dyDescent="0.2">
      <c r="A147">
        <v>238</v>
      </c>
      <c r="D147" t="s">
        <v>174</v>
      </c>
      <c r="I147" t="s">
        <v>33</v>
      </c>
      <c r="R147" s="1">
        <v>-6785.8</v>
      </c>
    </row>
    <row r="148" spans="1:18" ht="15" customHeight="1" x14ac:dyDescent="0.2">
      <c r="A148">
        <v>243</v>
      </c>
      <c r="D148" t="s">
        <v>175</v>
      </c>
      <c r="I148" t="s">
        <v>176</v>
      </c>
      <c r="R148" s="1">
        <v>-31352.46</v>
      </c>
    </row>
    <row r="149" spans="1:18" ht="15" customHeight="1" x14ac:dyDescent="0.2">
      <c r="A149">
        <v>251</v>
      </c>
      <c r="D149" t="s">
        <v>177</v>
      </c>
      <c r="I149" t="s">
        <v>36</v>
      </c>
      <c r="R149" s="1">
        <v>-452.22</v>
      </c>
    </row>
    <row r="150" spans="1:18" ht="14.5" customHeight="1" x14ac:dyDescent="0.2">
      <c r="A150">
        <v>255</v>
      </c>
      <c r="D150" t="s">
        <v>178</v>
      </c>
      <c r="I150" t="s">
        <v>42</v>
      </c>
      <c r="R150" s="1">
        <v>-6667.3</v>
      </c>
    </row>
    <row r="151" spans="1:18" x14ac:dyDescent="0.2">
      <c r="A151">
        <v>263</v>
      </c>
      <c r="D151" t="s">
        <v>179</v>
      </c>
      <c r="I151" t="s">
        <v>43</v>
      </c>
      <c r="R151" s="1">
        <v>-8400.42</v>
      </c>
    </row>
    <row r="152" spans="1:18" x14ac:dyDescent="0.2">
      <c r="H152" t="s">
        <v>180</v>
      </c>
      <c r="R152" s="1">
        <v>821613.8</v>
      </c>
    </row>
  </sheetData>
  <pageMargins left="0.511811024" right="0.511811024" top="0.78740157499999996" bottom="0.78740157499999996" header="0.31496062000000002" footer="0.31496062000000002"/>
  <pageSetup paperSize="9" scale="33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27"/>
  <sheetViews>
    <sheetView topLeftCell="A88" workbookViewId="0">
      <selection sqref="A1:U127"/>
    </sheetView>
  </sheetViews>
  <sheetFormatPr baseColWidth="10" defaultColWidth="8.83203125" defaultRowHeight="15" x14ac:dyDescent="0.2"/>
  <sheetData>
    <row r="1" spans="1:18" x14ac:dyDescent="0.2">
      <c r="A1" t="s">
        <v>65</v>
      </c>
      <c r="D1" t="s">
        <v>66</v>
      </c>
      <c r="H1" t="s">
        <v>5</v>
      </c>
      <c r="R1" t="s">
        <v>6</v>
      </c>
    </row>
    <row r="2" spans="1:18" x14ac:dyDescent="0.2">
      <c r="H2" t="s">
        <v>67</v>
      </c>
      <c r="R2" s="1">
        <v>689636.36</v>
      </c>
    </row>
    <row r="3" spans="1:18" x14ac:dyDescent="0.2">
      <c r="A3">
        <v>860</v>
      </c>
      <c r="D3" t="s">
        <v>68</v>
      </c>
      <c r="I3" t="s">
        <v>69</v>
      </c>
      <c r="R3" s="1">
        <v>296951.19</v>
      </c>
    </row>
    <row r="4" spans="1:18" x14ac:dyDescent="0.2">
      <c r="A4">
        <v>861</v>
      </c>
      <c r="D4" t="s">
        <v>70</v>
      </c>
      <c r="I4" t="s">
        <v>71</v>
      </c>
      <c r="R4" s="1">
        <v>301545.84999999998</v>
      </c>
    </row>
    <row r="5" spans="1:18" x14ac:dyDescent="0.2">
      <c r="A5">
        <v>865</v>
      </c>
      <c r="D5" t="s">
        <v>72</v>
      </c>
      <c r="I5" t="s">
        <v>73</v>
      </c>
      <c r="R5" s="1">
        <v>90172.44</v>
      </c>
    </row>
    <row r="6" spans="1:18" x14ac:dyDescent="0.2">
      <c r="A6">
        <v>868</v>
      </c>
      <c r="D6" t="s">
        <v>244</v>
      </c>
      <c r="I6" t="s">
        <v>245</v>
      </c>
      <c r="R6">
        <v>966.88</v>
      </c>
    </row>
    <row r="7" spans="1:18" x14ac:dyDescent="0.2">
      <c r="H7" t="s">
        <v>74</v>
      </c>
      <c r="R7" s="1">
        <v>191702.95</v>
      </c>
    </row>
    <row r="8" spans="1:18" x14ac:dyDescent="0.2">
      <c r="A8">
        <v>863</v>
      </c>
      <c r="D8" t="s">
        <v>75</v>
      </c>
      <c r="I8" t="s">
        <v>76</v>
      </c>
      <c r="R8" s="1">
        <v>74979.08</v>
      </c>
    </row>
    <row r="9" spans="1:18" x14ac:dyDescent="0.2">
      <c r="A9">
        <v>864</v>
      </c>
      <c r="D9" t="s">
        <v>77</v>
      </c>
      <c r="I9" t="s">
        <v>78</v>
      </c>
      <c r="R9" s="1">
        <v>108716.92</v>
      </c>
    </row>
    <row r="10" spans="1:18" x14ac:dyDescent="0.2">
      <c r="A10">
        <v>866</v>
      </c>
      <c r="D10" t="s">
        <v>238</v>
      </c>
      <c r="I10" t="s">
        <v>239</v>
      </c>
      <c r="R10" s="1">
        <v>2193.35</v>
      </c>
    </row>
    <row r="11" spans="1:18" x14ac:dyDescent="0.2">
      <c r="A11">
        <v>869</v>
      </c>
      <c r="D11" t="s">
        <v>247</v>
      </c>
      <c r="I11" t="s">
        <v>248</v>
      </c>
      <c r="R11" s="1">
        <v>5813.6</v>
      </c>
    </row>
    <row r="12" spans="1:18" x14ac:dyDescent="0.2">
      <c r="H12" t="s">
        <v>79</v>
      </c>
      <c r="R12" s="1">
        <v>881339.31</v>
      </c>
    </row>
    <row r="13" spans="1:18" x14ac:dyDescent="0.2">
      <c r="I13" t="s">
        <v>7</v>
      </c>
    </row>
    <row r="14" spans="1:18" x14ac:dyDescent="0.2">
      <c r="H14" t="s">
        <v>80</v>
      </c>
      <c r="R14" s="1">
        <v>-5995.25</v>
      </c>
    </row>
    <row r="15" spans="1:18" x14ac:dyDescent="0.2">
      <c r="A15">
        <v>166</v>
      </c>
      <c r="D15" t="s">
        <v>81</v>
      </c>
      <c r="I15" t="s">
        <v>10</v>
      </c>
      <c r="R15" s="1">
        <v>-5995.25</v>
      </c>
    </row>
    <row r="16" spans="1:18" x14ac:dyDescent="0.2">
      <c r="H16" t="s">
        <v>83</v>
      </c>
      <c r="R16" s="1">
        <v>875344.06</v>
      </c>
    </row>
    <row r="17" spans="1:18" x14ac:dyDescent="0.2">
      <c r="I17" t="s">
        <v>7</v>
      </c>
    </row>
    <row r="18" spans="1:18" x14ac:dyDescent="0.2">
      <c r="H18" t="s">
        <v>84</v>
      </c>
      <c r="R18" s="1">
        <v>57972.3</v>
      </c>
    </row>
    <row r="19" spans="1:18" x14ac:dyDescent="0.2">
      <c r="A19">
        <v>749</v>
      </c>
      <c r="D19" t="s">
        <v>85</v>
      </c>
      <c r="I19" t="s">
        <v>58</v>
      </c>
      <c r="R19" s="1">
        <v>57972.3</v>
      </c>
    </row>
    <row r="20" spans="1:18" x14ac:dyDescent="0.2">
      <c r="H20" t="s">
        <v>86</v>
      </c>
      <c r="R20" s="1">
        <v>933316.36</v>
      </c>
    </row>
    <row r="21" spans="1:18" x14ac:dyDescent="0.2">
      <c r="I21" t="s">
        <v>7</v>
      </c>
    </row>
    <row r="22" spans="1:18" x14ac:dyDescent="0.2">
      <c r="H22" t="s">
        <v>87</v>
      </c>
      <c r="R22" s="1">
        <v>-323061.98</v>
      </c>
    </row>
    <row r="23" spans="1:18" x14ac:dyDescent="0.2">
      <c r="A23">
        <v>162</v>
      </c>
      <c r="D23" t="s">
        <v>88</v>
      </c>
      <c r="I23" t="s">
        <v>8</v>
      </c>
      <c r="R23" s="1">
        <v>-224504.78</v>
      </c>
    </row>
    <row r="24" spans="1:18" x14ac:dyDescent="0.2">
      <c r="A24">
        <v>165</v>
      </c>
      <c r="D24" t="s">
        <v>89</v>
      </c>
      <c r="I24" t="s">
        <v>9</v>
      </c>
      <c r="R24" s="1">
        <v>-55662.559999999998</v>
      </c>
    </row>
    <row r="25" spans="1:18" x14ac:dyDescent="0.2">
      <c r="A25">
        <v>170</v>
      </c>
      <c r="D25" t="s">
        <v>91</v>
      </c>
      <c r="I25" t="s">
        <v>92</v>
      </c>
      <c r="R25" s="1">
        <v>-42894.64</v>
      </c>
    </row>
    <row r="26" spans="1:18" x14ac:dyDescent="0.2">
      <c r="H26" t="s">
        <v>93</v>
      </c>
      <c r="R26" s="1">
        <v>-323061.98</v>
      </c>
    </row>
    <row r="27" spans="1:18" x14ac:dyDescent="0.2">
      <c r="I27" t="s">
        <v>7</v>
      </c>
    </row>
    <row r="28" spans="1:18" x14ac:dyDescent="0.2">
      <c r="H28" t="s">
        <v>197</v>
      </c>
      <c r="R28">
        <v>40.590000000000003</v>
      </c>
    </row>
    <row r="29" spans="1:18" x14ac:dyDescent="0.2">
      <c r="A29">
        <v>135</v>
      </c>
      <c r="D29" t="s">
        <v>198</v>
      </c>
      <c r="I29" t="s">
        <v>59</v>
      </c>
      <c r="R29">
        <v>40.590000000000003</v>
      </c>
    </row>
    <row r="30" spans="1:18" x14ac:dyDescent="0.2">
      <c r="H30" t="s">
        <v>252</v>
      </c>
      <c r="R30" s="1">
        <v>1231.9000000000001</v>
      </c>
    </row>
    <row r="31" spans="1:18" x14ac:dyDescent="0.2">
      <c r="A31">
        <v>159</v>
      </c>
      <c r="D31" t="s">
        <v>253</v>
      </c>
      <c r="I31" t="s">
        <v>252</v>
      </c>
      <c r="R31" s="1">
        <v>1231.9000000000001</v>
      </c>
    </row>
    <row r="32" spans="1:18" x14ac:dyDescent="0.2">
      <c r="H32" t="s">
        <v>94</v>
      </c>
      <c r="R32" s="1">
        <v>611526.87</v>
      </c>
    </row>
    <row r="33" spans="1:18" x14ac:dyDescent="0.2">
      <c r="I33" t="s">
        <v>7</v>
      </c>
    </row>
    <row r="34" spans="1:18" x14ac:dyDescent="0.2">
      <c r="H34" t="s">
        <v>95</v>
      </c>
      <c r="R34" s="1">
        <v>-72234.570000000007</v>
      </c>
    </row>
    <row r="35" spans="1:18" x14ac:dyDescent="0.2">
      <c r="A35">
        <v>164</v>
      </c>
      <c r="D35" t="s">
        <v>96</v>
      </c>
      <c r="I35" t="s">
        <v>97</v>
      </c>
      <c r="R35" s="1">
        <v>-55960.11</v>
      </c>
    </row>
    <row r="36" spans="1:18" x14ac:dyDescent="0.2">
      <c r="A36">
        <v>206</v>
      </c>
      <c r="D36" t="s">
        <v>98</v>
      </c>
      <c r="I36" t="s">
        <v>13</v>
      </c>
      <c r="R36" s="1">
        <v>-7925.23</v>
      </c>
    </row>
    <row r="37" spans="1:18" x14ac:dyDescent="0.2">
      <c r="A37">
        <v>207</v>
      </c>
      <c r="D37" t="s">
        <v>192</v>
      </c>
      <c r="I37" t="s">
        <v>14</v>
      </c>
      <c r="R37">
        <v>-450</v>
      </c>
    </row>
    <row r="38" spans="1:18" x14ac:dyDescent="0.2">
      <c r="A38">
        <v>224</v>
      </c>
      <c r="D38" t="s">
        <v>100</v>
      </c>
      <c r="I38" t="s">
        <v>25</v>
      </c>
      <c r="R38" s="1">
        <v>-7899.23</v>
      </c>
    </row>
    <row r="39" spans="1:18" x14ac:dyDescent="0.2">
      <c r="H39" t="s">
        <v>101</v>
      </c>
      <c r="R39" s="1">
        <v>-80047.92</v>
      </c>
    </row>
    <row r="40" spans="1:18" x14ac:dyDescent="0.2">
      <c r="A40">
        <v>250</v>
      </c>
      <c r="D40" t="s">
        <v>102</v>
      </c>
      <c r="I40" t="s">
        <v>35</v>
      </c>
      <c r="R40" s="1">
        <v>-9629.75</v>
      </c>
    </row>
    <row r="41" spans="1:18" x14ac:dyDescent="0.2">
      <c r="A41">
        <v>253</v>
      </c>
      <c r="D41" t="s">
        <v>103</v>
      </c>
      <c r="I41" t="s">
        <v>38</v>
      </c>
      <c r="R41" s="1">
        <v>-45119.27</v>
      </c>
    </row>
    <row r="42" spans="1:18" x14ac:dyDescent="0.2">
      <c r="A42">
        <v>651</v>
      </c>
      <c r="D42" t="s">
        <v>104</v>
      </c>
      <c r="I42" t="s">
        <v>39</v>
      </c>
      <c r="R42" s="1">
        <v>-21745.48</v>
      </c>
    </row>
    <row r="43" spans="1:18" x14ac:dyDescent="0.2">
      <c r="A43">
        <v>653</v>
      </c>
      <c r="D43" t="s">
        <v>105</v>
      </c>
      <c r="I43" t="s">
        <v>40</v>
      </c>
      <c r="R43" s="1">
        <v>-3553.42</v>
      </c>
    </row>
    <row r="44" spans="1:18" x14ac:dyDescent="0.2">
      <c r="H44" t="s">
        <v>107</v>
      </c>
      <c r="R44" s="1">
        <v>-152282.49</v>
      </c>
    </row>
    <row r="45" spans="1:18" x14ac:dyDescent="0.2">
      <c r="I45" t="s">
        <v>7</v>
      </c>
    </row>
    <row r="46" spans="1:18" x14ac:dyDescent="0.2">
      <c r="H46" t="s">
        <v>108</v>
      </c>
      <c r="R46" s="1">
        <v>459244.38</v>
      </c>
    </row>
    <row r="47" spans="1:18" x14ac:dyDescent="0.2">
      <c r="I47" t="s">
        <v>7</v>
      </c>
    </row>
    <row r="48" spans="1:18" x14ac:dyDescent="0.2">
      <c r="H48" t="s">
        <v>109</v>
      </c>
      <c r="R48" s="1">
        <v>-190557.32</v>
      </c>
    </row>
    <row r="49" spans="1:18" x14ac:dyDescent="0.2">
      <c r="I49" t="s">
        <v>7</v>
      </c>
    </row>
    <row r="50" spans="1:18" x14ac:dyDescent="0.2">
      <c r="H50" t="s">
        <v>110</v>
      </c>
      <c r="R50" s="1">
        <v>-190557.32</v>
      </c>
    </row>
    <row r="51" spans="1:18" x14ac:dyDescent="0.2">
      <c r="I51" t="s">
        <v>7</v>
      </c>
    </row>
    <row r="52" spans="1:18" x14ac:dyDescent="0.2">
      <c r="H52" t="s">
        <v>113</v>
      </c>
      <c r="R52" s="1">
        <v>-17289.13</v>
      </c>
    </row>
    <row r="53" spans="1:18" x14ac:dyDescent="0.2">
      <c r="A53">
        <v>181</v>
      </c>
      <c r="D53" t="s">
        <v>114</v>
      </c>
      <c r="I53" t="s">
        <v>53</v>
      </c>
      <c r="R53" s="1">
        <v>-10666.8</v>
      </c>
    </row>
    <row r="54" spans="1:18" x14ac:dyDescent="0.2">
      <c r="A54">
        <v>188</v>
      </c>
      <c r="D54" t="s">
        <v>115</v>
      </c>
      <c r="I54" t="s">
        <v>116</v>
      </c>
      <c r="R54" s="1">
        <v>-5568.06</v>
      </c>
    </row>
    <row r="55" spans="1:18" x14ac:dyDescent="0.2">
      <c r="A55">
        <v>535</v>
      </c>
      <c r="D55" t="s">
        <v>199</v>
      </c>
      <c r="I55" t="s">
        <v>232</v>
      </c>
      <c r="R55">
        <v>-602.44000000000005</v>
      </c>
    </row>
    <row r="56" spans="1:18" x14ac:dyDescent="0.2">
      <c r="A56">
        <v>536</v>
      </c>
      <c r="D56" t="s">
        <v>200</v>
      </c>
      <c r="I56" t="s">
        <v>201</v>
      </c>
      <c r="R56">
        <v>-451.83</v>
      </c>
    </row>
    <row r="57" spans="1:18" x14ac:dyDescent="0.2">
      <c r="H57" t="s">
        <v>73</v>
      </c>
      <c r="R57" s="1">
        <v>-8120</v>
      </c>
    </row>
    <row r="58" spans="1:18" x14ac:dyDescent="0.2">
      <c r="A58">
        <v>184</v>
      </c>
      <c r="D58" t="s">
        <v>117</v>
      </c>
      <c r="I58" t="s">
        <v>57</v>
      </c>
      <c r="R58" s="1">
        <v>-8120</v>
      </c>
    </row>
    <row r="59" spans="1:18" x14ac:dyDescent="0.2">
      <c r="H59" t="s">
        <v>118</v>
      </c>
      <c r="R59" s="1">
        <v>-2290.62</v>
      </c>
    </row>
    <row r="60" spans="1:18" x14ac:dyDescent="0.2">
      <c r="A60">
        <v>502</v>
      </c>
      <c r="D60" t="s">
        <v>119</v>
      </c>
      <c r="I60" t="s">
        <v>120</v>
      </c>
      <c r="R60" s="1">
        <v>-1429.36</v>
      </c>
    </row>
    <row r="61" spans="1:18" x14ac:dyDescent="0.2">
      <c r="A61">
        <v>503</v>
      </c>
      <c r="D61" t="s">
        <v>121</v>
      </c>
      <c r="I61" t="s">
        <v>122</v>
      </c>
      <c r="R61">
        <v>-434.78</v>
      </c>
    </row>
    <row r="62" spans="1:18" x14ac:dyDescent="0.2">
      <c r="A62">
        <v>504</v>
      </c>
      <c r="D62" t="s">
        <v>123</v>
      </c>
      <c r="I62" t="s">
        <v>124</v>
      </c>
      <c r="R62">
        <v>-54.35</v>
      </c>
    </row>
    <row r="63" spans="1:18" x14ac:dyDescent="0.2">
      <c r="A63">
        <v>505</v>
      </c>
      <c r="D63" t="s">
        <v>202</v>
      </c>
      <c r="I63" t="s">
        <v>203</v>
      </c>
      <c r="R63">
        <v>-158.41999999999999</v>
      </c>
    </row>
    <row r="64" spans="1:18" x14ac:dyDescent="0.2">
      <c r="A64">
        <v>506</v>
      </c>
      <c r="D64" t="s">
        <v>204</v>
      </c>
      <c r="I64" t="s">
        <v>205</v>
      </c>
      <c r="R64">
        <v>-48.19</v>
      </c>
    </row>
    <row r="65" spans="1:18" x14ac:dyDescent="0.2">
      <c r="A65">
        <v>508</v>
      </c>
      <c r="D65" t="s">
        <v>206</v>
      </c>
      <c r="I65" t="s">
        <v>207</v>
      </c>
      <c r="R65">
        <v>-6.02</v>
      </c>
    </row>
    <row r="66" spans="1:18" x14ac:dyDescent="0.2">
      <c r="A66">
        <v>527</v>
      </c>
      <c r="D66" t="s">
        <v>208</v>
      </c>
      <c r="I66" t="s">
        <v>209</v>
      </c>
      <c r="R66">
        <v>-118.84</v>
      </c>
    </row>
    <row r="67" spans="1:18" x14ac:dyDescent="0.2">
      <c r="A67">
        <v>528</v>
      </c>
      <c r="D67" t="s">
        <v>210</v>
      </c>
      <c r="I67" t="s">
        <v>211</v>
      </c>
      <c r="R67">
        <v>-36.14</v>
      </c>
    </row>
    <row r="68" spans="1:18" x14ac:dyDescent="0.2">
      <c r="A68">
        <v>529</v>
      </c>
      <c r="D68" t="s">
        <v>212</v>
      </c>
      <c r="I68" t="s">
        <v>213</v>
      </c>
      <c r="R68">
        <v>-4.5199999999999996</v>
      </c>
    </row>
    <row r="69" spans="1:18" x14ac:dyDescent="0.2">
      <c r="H69" t="s">
        <v>182</v>
      </c>
      <c r="R69" s="1">
        <v>-2765.23</v>
      </c>
    </row>
    <row r="70" spans="1:18" x14ac:dyDescent="0.2">
      <c r="A70">
        <v>710</v>
      </c>
      <c r="D70" t="s">
        <v>128</v>
      </c>
      <c r="I70" t="s">
        <v>183</v>
      </c>
      <c r="R70" s="1">
        <v>-2765.23</v>
      </c>
    </row>
    <row r="71" spans="1:18" x14ac:dyDescent="0.2">
      <c r="H71" t="s">
        <v>181</v>
      </c>
      <c r="R71" s="1">
        <v>-11872.11</v>
      </c>
    </row>
    <row r="72" spans="1:18" x14ac:dyDescent="0.2">
      <c r="A72">
        <v>247</v>
      </c>
      <c r="D72" t="s">
        <v>193</v>
      </c>
      <c r="I72" t="s">
        <v>51</v>
      </c>
      <c r="R72" s="1">
        <v>-11807.37</v>
      </c>
    </row>
    <row r="73" spans="1:18" x14ac:dyDescent="0.2">
      <c r="A73">
        <v>711</v>
      </c>
      <c r="D73" t="s">
        <v>249</v>
      </c>
      <c r="I73" t="s">
        <v>30</v>
      </c>
      <c r="R73">
        <v>-64.739999999999995</v>
      </c>
    </row>
    <row r="74" spans="1:18" x14ac:dyDescent="0.2">
      <c r="H74" t="s">
        <v>130</v>
      </c>
      <c r="R74" s="1">
        <v>-148220.23000000001</v>
      </c>
    </row>
    <row r="75" spans="1:18" x14ac:dyDescent="0.2">
      <c r="A75">
        <v>171</v>
      </c>
      <c r="D75" t="s">
        <v>131</v>
      </c>
      <c r="I75" t="s">
        <v>60</v>
      </c>
      <c r="R75" s="1">
        <v>-98813.29</v>
      </c>
    </row>
    <row r="76" spans="1:18" x14ac:dyDescent="0.2">
      <c r="A76">
        <v>245</v>
      </c>
      <c r="D76" t="s">
        <v>132</v>
      </c>
      <c r="I76" t="s">
        <v>191</v>
      </c>
      <c r="R76" s="1">
        <v>-49406.94</v>
      </c>
    </row>
    <row r="77" spans="1:18" x14ac:dyDescent="0.2">
      <c r="H77" t="s">
        <v>133</v>
      </c>
      <c r="R77" s="1">
        <v>-132128.10999999999</v>
      </c>
    </row>
    <row r="78" spans="1:18" x14ac:dyDescent="0.2">
      <c r="I78" t="s">
        <v>7</v>
      </c>
    </row>
    <row r="79" spans="1:18" x14ac:dyDescent="0.2">
      <c r="H79" t="s">
        <v>134</v>
      </c>
      <c r="R79" s="1">
        <v>-80976.13</v>
      </c>
    </row>
    <row r="80" spans="1:18" x14ac:dyDescent="0.2">
      <c r="A80">
        <v>179</v>
      </c>
      <c r="D80" t="s">
        <v>233</v>
      </c>
      <c r="I80" t="s">
        <v>234</v>
      </c>
      <c r="R80" s="1">
        <v>-6750</v>
      </c>
    </row>
    <row r="81" spans="1:18" x14ac:dyDescent="0.2">
      <c r="A81">
        <v>180</v>
      </c>
      <c r="D81" t="s">
        <v>135</v>
      </c>
      <c r="I81" t="s">
        <v>52</v>
      </c>
      <c r="R81" s="1">
        <v>-18435.91</v>
      </c>
    </row>
    <row r="82" spans="1:18" x14ac:dyDescent="0.2">
      <c r="A82">
        <v>185</v>
      </c>
      <c r="D82" t="s">
        <v>254</v>
      </c>
      <c r="I82" t="s">
        <v>235</v>
      </c>
      <c r="R82" s="1">
        <v>-8852.5499999999993</v>
      </c>
    </row>
    <row r="83" spans="1:18" x14ac:dyDescent="0.2">
      <c r="A83">
        <v>186</v>
      </c>
      <c r="D83" t="s">
        <v>187</v>
      </c>
      <c r="I83" t="s">
        <v>55</v>
      </c>
      <c r="R83" s="1">
        <v>-9822.5</v>
      </c>
    </row>
    <row r="84" spans="1:18" x14ac:dyDescent="0.2">
      <c r="A84">
        <v>187</v>
      </c>
      <c r="D84" t="s">
        <v>136</v>
      </c>
      <c r="I84" t="s">
        <v>56</v>
      </c>
      <c r="R84" s="1">
        <v>-12217.82</v>
      </c>
    </row>
    <row r="85" spans="1:18" x14ac:dyDescent="0.2">
      <c r="A85">
        <v>189</v>
      </c>
      <c r="D85" t="s">
        <v>137</v>
      </c>
      <c r="I85" t="s">
        <v>138</v>
      </c>
      <c r="R85" s="1">
        <v>-5308.53</v>
      </c>
    </row>
    <row r="86" spans="1:18" x14ac:dyDescent="0.2">
      <c r="A86">
        <v>190</v>
      </c>
      <c r="D86" t="s">
        <v>139</v>
      </c>
      <c r="I86" t="s">
        <v>140</v>
      </c>
      <c r="R86" s="1">
        <v>-2056.17</v>
      </c>
    </row>
    <row r="87" spans="1:18" x14ac:dyDescent="0.2">
      <c r="A87">
        <v>193</v>
      </c>
      <c r="D87" t="s">
        <v>143</v>
      </c>
      <c r="I87" t="s">
        <v>45</v>
      </c>
      <c r="R87">
        <v>-104.77</v>
      </c>
    </row>
    <row r="88" spans="1:18" x14ac:dyDescent="0.2">
      <c r="A88">
        <v>530</v>
      </c>
      <c r="D88" t="s">
        <v>214</v>
      </c>
      <c r="I88" t="s">
        <v>215</v>
      </c>
      <c r="R88" s="1">
        <v>-1024.6600000000001</v>
      </c>
    </row>
    <row r="89" spans="1:18" x14ac:dyDescent="0.2">
      <c r="A89">
        <v>531</v>
      </c>
      <c r="D89" t="s">
        <v>216</v>
      </c>
      <c r="I89" t="s">
        <v>217</v>
      </c>
      <c r="R89">
        <v>-594.61</v>
      </c>
    </row>
    <row r="90" spans="1:18" x14ac:dyDescent="0.2">
      <c r="A90">
        <v>195</v>
      </c>
      <c r="D90" t="s">
        <v>144</v>
      </c>
      <c r="I90" t="s">
        <v>145</v>
      </c>
      <c r="R90" s="1">
        <v>-1971.92</v>
      </c>
    </row>
    <row r="91" spans="1:18" x14ac:dyDescent="0.2">
      <c r="A91">
        <v>196</v>
      </c>
      <c r="D91" t="s">
        <v>146</v>
      </c>
      <c r="I91" t="s">
        <v>147</v>
      </c>
      <c r="R91">
        <v>-599.83000000000004</v>
      </c>
    </row>
    <row r="92" spans="1:18" x14ac:dyDescent="0.2">
      <c r="A92">
        <v>197</v>
      </c>
      <c r="D92" t="s">
        <v>148</v>
      </c>
      <c r="I92" t="s">
        <v>149</v>
      </c>
      <c r="R92">
        <v>-74.98</v>
      </c>
    </row>
    <row r="93" spans="1:18" x14ac:dyDescent="0.2">
      <c r="A93">
        <v>499</v>
      </c>
      <c r="D93" t="s">
        <v>218</v>
      </c>
      <c r="I93" t="s">
        <v>219</v>
      </c>
      <c r="R93">
        <v>-10.24</v>
      </c>
    </row>
    <row r="94" spans="1:18" x14ac:dyDescent="0.2">
      <c r="A94">
        <v>500</v>
      </c>
      <c r="D94" t="s">
        <v>220</v>
      </c>
      <c r="I94" t="s">
        <v>221</v>
      </c>
      <c r="R94">
        <v>-269.5</v>
      </c>
    </row>
    <row r="95" spans="1:18" x14ac:dyDescent="0.2">
      <c r="A95">
        <v>501</v>
      </c>
      <c r="D95" t="s">
        <v>222</v>
      </c>
      <c r="I95" t="s">
        <v>223</v>
      </c>
      <c r="R95">
        <v>-81.96</v>
      </c>
    </row>
    <row r="96" spans="1:18" x14ac:dyDescent="0.2">
      <c r="A96">
        <v>522</v>
      </c>
      <c r="D96" t="s">
        <v>224</v>
      </c>
      <c r="I96" t="s">
        <v>225</v>
      </c>
      <c r="R96">
        <v>-156.38</v>
      </c>
    </row>
    <row r="97" spans="1:18" x14ac:dyDescent="0.2">
      <c r="A97">
        <v>523</v>
      </c>
      <c r="D97" t="s">
        <v>226</v>
      </c>
      <c r="I97" t="s">
        <v>227</v>
      </c>
      <c r="R97">
        <v>-47.56</v>
      </c>
    </row>
    <row r="98" spans="1:18" x14ac:dyDescent="0.2">
      <c r="A98">
        <v>524</v>
      </c>
      <c r="D98" t="s">
        <v>228</v>
      </c>
      <c r="I98" t="s">
        <v>229</v>
      </c>
      <c r="R98">
        <v>-5.95</v>
      </c>
    </row>
    <row r="99" spans="1:18" x14ac:dyDescent="0.2">
      <c r="A99">
        <v>200</v>
      </c>
      <c r="D99" t="s">
        <v>150</v>
      </c>
      <c r="I99" t="s">
        <v>15</v>
      </c>
      <c r="R99" s="1">
        <v>-5576.92</v>
      </c>
    </row>
    <row r="100" spans="1:18" x14ac:dyDescent="0.2">
      <c r="A100">
        <v>201</v>
      </c>
      <c r="D100" t="s">
        <v>151</v>
      </c>
      <c r="I100" t="s">
        <v>152</v>
      </c>
      <c r="R100" s="1">
        <v>-1339.37</v>
      </c>
    </row>
    <row r="101" spans="1:18" x14ac:dyDescent="0.2">
      <c r="A101">
        <v>202</v>
      </c>
      <c r="D101" t="s">
        <v>153</v>
      </c>
      <c r="I101" t="s">
        <v>16</v>
      </c>
      <c r="R101" s="1">
        <v>-4384</v>
      </c>
    </row>
    <row r="102" spans="1:18" x14ac:dyDescent="0.2">
      <c r="A102">
        <v>203</v>
      </c>
      <c r="D102" t="s">
        <v>154</v>
      </c>
      <c r="I102" t="s">
        <v>17</v>
      </c>
      <c r="R102" s="1">
        <v>-1290</v>
      </c>
    </row>
    <row r="103" spans="1:18" x14ac:dyDescent="0.2">
      <c r="H103" t="s">
        <v>156</v>
      </c>
      <c r="R103" s="1">
        <v>-11468.66</v>
      </c>
    </row>
    <row r="104" spans="1:18" x14ac:dyDescent="0.2">
      <c r="A104">
        <v>229</v>
      </c>
      <c r="D104" t="s">
        <v>157</v>
      </c>
      <c r="I104" t="s">
        <v>28</v>
      </c>
      <c r="R104" s="1">
        <v>-11468.66</v>
      </c>
    </row>
    <row r="105" spans="1:18" x14ac:dyDescent="0.2">
      <c r="H105" t="s">
        <v>159</v>
      </c>
      <c r="R105" s="1">
        <v>-6505</v>
      </c>
    </row>
    <row r="106" spans="1:18" x14ac:dyDescent="0.2">
      <c r="A106">
        <v>214</v>
      </c>
      <c r="D106" t="s">
        <v>160</v>
      </c>
      <c r="I106" t="s">
        <v>21</v>
      </c>
      <c r="R106" s="1">
        <v>-6505</v>
      </c>
    </row>
    <row r="107" spans="1:18" x14ac:dyDescent="0.2">
      <c r="H107" t="s">
        <v>161</v>
      </c>
      <c r="R107" s="1">
        <v>-6628.8</v>
      </c>
    </row>
    <row r="108" spans="1:18" x14ac:dyDescent="0.2">
      <c r="A108">
        <v>217</v>
      </c>
      <c r="D108" t="s">
        <v>162</v>
      </c>
      <c r="I108" t="s">
        <v>23</v>
      </c>
      <c r="R108" s="1">
        <v>-6628.8</v>
      </c>
    </row>
    <row r="109" spans="1:18" x14ac:dyDescent="0.2">
      <c r="H109" t="s">
        <v>163</v>
      </c>
      <c r="R109" s="1">
        <v>-4151.91</v>
      </c>
    </row>
    <row r="110" spans="1:18" x14ac:dyDescent="0.2">
      <c r="A110">
        <v>219</v>
      </c>
      <c r="D110" t="s">
        <v>194</v>
      </c>
      <c r="I110" t="s">
        <v>49</v>
      </c>
      <c r="R110" s="1">
        <v>-3552.75</v>
      </c>
    </row>
    <row r="111" spans="1:18" x14ac:dyDescent="0.2">
      <c r="A111">
        <v>220</v>
      </c>
      <c r="D111" t="s">
        <v>164</v>
      </c>
      <c r="I111" t="s">
        <v>24</v>
      </c>
      <c r="R111">
        <v>-455.07</v>
      </c>
    </row>
    <row r="112" spans="1:18" x14ac:dyDescent="0.2">
      <c r="A112">
        <v>233</v>
      </c>
      <c r="D112" t="s">
        <v>195</v>
      </c>
      <c r="I112" t="s">
        <v>50</v>
      </c>
      <c r="R112">
        <v>-144.09</v>
      </c>
    </row>
    <row r="113" spans="1:18" x14ac:dyDescent="0.2">
      <c r="H113" t="s">
        <v>127</v>
      </c>
      <c r="R113" s="1">
        <v>-15649.97</v>
      </c>
    </row>
    <row r="114" spans="1:18" x14ac:dyDescent="0.2">
      <c r="A114">
        <v>244</v>
      </c>
      <c r="D114" t="s">
        <v>165</v>
      </c>
      <c r="I114" t="s">
        <v>34</v>
      </c>
      <c r="R114" s="1">
        <v>-15649.97</v>
      </c>
    </row>
    <row r="115" spans="1:18" x14ac:dyDescent="0.2">
      <c r="H115" t="s">
        <v>166</v>
      </c>
      <c r="R115">
        <v>-269.07</v>
      </c>
    </row>
    <row r="116" spans="1:18" x14ac:dyDescent="0.2">
      <c r="A116">
        <v>252</v>
      </c>
      <c r="D116" t="s">
        <v>167</v>
      </c>
      <c r="I116" t="s">
        <v>37</v>
      </c>
      <c r="R116">
        <v>-269.07</v>
      </c>
    </row>
    <row r="117" spans="1:18" x14ac:dyDescent="0.2">
      <c r="H117" t="s">
        <v>129</v>
      </c>
      <c r="R117" s="1">
        <v>-6478.57</v>
      </c>
    </row>
    <row r="118" spans="1:18" x14ac:dyDescent="0.2">
      <c r="A118">
        <v>215</v>
      </c>
      <c r="D118" t="s">
        <v>230</v>
      </c>
      <c r="I118" t="s">
        <v>61</v>
      </c>
      <c r="R118">
        <v>-516.5</v>
      </c>
    </row>
    <row r="119" spans="1:18" x14ac:dyDescent="0.2">
      <c r="A119">
        <v>225</v>
      </c>
      <c r="D119" t="s">
        <v>170</v>
      </c>
      <c r="I119" t="s">
        <v>26</v>
      </c>
      <c r="R119">
        <v>-126.18</v>
      </c>
    </row>
    <row r="120" spans="1:18" x14ac:dyDescent="0.2">
      <c r="A120">
        <v>226</v>
      </c>
      <c r="D120" t="s">
        <v>242</v>
      </c>
      <c r="I120" t="s">
        <v>243</v>
      </c>
      <c r="R120">
        <v>-143.19</v>
      </c>
    </row>
    <row r="121" spans="1:18" x14ac:dyDescent="0.2">
      <c r="A121">
        <v>227</v>
      </c>
      <c r="D121" t="s">
        <v>171</v>
      </c>
      <c r="I121" t="s">
        <v>27</v>
      </c>
      <c r="R121">
        <v>-662.48</v>
      </c>
    </row>
    <row r="122" spans="1:18" x14ac:dyDescent="0.2">
      <c r="A122">
        <v>231</v>
      </c>
      <c r="D122" t="s">
        <v>172</v>
      </c>
      <c r="I122" t="s">
        <v>29</v>
      </c>
      <c r="R122">
        <v>-39.99</v>
      </c>
    </row>
    <row r="123" spans="1:18" x14ac:dyDescent="0.2">
      <c r="A123">
        <v>238</v>
      </c>
      <c r="D123" t="s">
        <v>174</v>
      </c>
      <c r="I123" t="s">
        <v>33</v>
      </c>
      <c r="R123">
        <v>-924.18</v>
      </c>
    </row>
    <row r="124" spans="1:18" x14ac:dyDescent="0.2">
      <c r="A124">
        <v>243</v>
      </c>
      <c r="D124" t="s">
        <v>175</v>
      </c>
      <c r="I124" t="s">
        <v>176</v>
      </c>
      <c r="R124" s="1">
        <v>-2879.7</v>
      </c>
    </row>
    <row r="125" spans="1:18" x14ac:dyDescent="0.2">
      <c r="A125">
        <v>251</v>
      </c>
      <c r="D125" t="s">
        <v>177</v>
      </c>
      <c r="I125" t="s">
        <v>36</v>
      </c>
      <c r="R125">
        <v>-0.17</v>
      </c>
    </row>
    <row r="126" spans="1:18" x14ac:dyDescent="0.2">
      <c r="A126">
        <v>263</v>
      </c>
      <c r="D126" t="s">
        <v>179</v>
      </c>
      <c r="I126" t="s">
        <v>43</v>
      </c>
      <c r="R126" s="1">
        <v>-1186.18</v>
      </c>
    </row>
    <row r="127" spans="1:18" x14ac:dyDescent="0.2">
      <c r="H127" t="s">
        <v>180</v>
      </c>
      <c r="R127" s="1">
        <v>136558.95000000001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28"/>
  <sheetViews>
    <sheetView topLeftCell="A118" workbookViewId="0">
      <selection sqref="A1:U127"/>
    </sheetView>
  </sheetViews>
  <sheetFormatPr baseColWidth="10" defaultColWidth="8.83203125" defaultRowHeight="15" x14ac:dyDescent="0.2"/>
  <cols>
    <col min="18" max="18" width="11.6640625" bestFit="1" customWidth="1"/>
  </cols>
  <sheetData>
    <row r="1" spans="1:18" x14ac:dyDescent="0.2">
      <c r="A1" t="s">
        <v>65</v>
      </c>
      <c r="D1" t="s">
        <v>66</v>
      </c>
      <c r="H1" t="s">
        <v>5</v>
      </c>
      <c r="R1" t="s">
        <v>6</v>
      </c>
    </row>
    <row r="2" spans="1:18" x14ac:dyDescent="0.2">
      <c r="H2" t="s">
        <v>67</v>
      </c>
      <c r="R2" s="1">
        <v>532921.71</v>
      </c>
    </row>
    <row r="3" spans="1:18" x14ac:dyDescent="0.2">
      <c r="A3">
        <v>860</v>
      </c>
      <c r="D3" t="s">
        <v>68</v>
      </c>
      <c r="I3" t="s">
        <v>69</v>
      </c>
      <c r="R3" s="1">
        <v>196602.12</v>
      </c>
    </row>
    <row r="4" spans="1:18" x14ac:dyDescent="0.2">
      <c r="A4">
        <v>861</v>
      </c>
      <c r="D4" t="s">
        <v>70</v>
      </c>
      <c r="I4" t="s">
        <v>71</v>
      </c>
      <c r="R4" s="1">
        <v>211081.53</v>
      </c>
    </row>
    <row r="5" spans="1:18" x14ac:dyDescent="0.2">
      <c r="A5">
        <v>862</v>
      </c>
      <c r="D5" t="s">
        <v>184</v>
      </c>
      <c r="I5" t="s">
        <v>185</v>
      </c>
      <c r="R5" s="1">
        <v>2312.6999999999998</v>
      </c>
    </row>
    <row r="6" spans="1:18" x14ac:dyDescent="0.2">
      <c r="A6">
        <v>865</v>
      </c>
      <c r="D6" t="s">
        <v>72</v>
      </c>
      <c r="I6" t="s">
        <v>73</v>
      </c>
      <c r="R6" s="1">
        <v>121460.56</v>
      </c>
    </row>
    <row r="7" spans="1:18" x14ac:dyDescent="0.2">
      <c r="A7">
        <v>868</v>
      </c>
      <c r="D7" t="s">
        <v>244</v>
      </c>
      <c r="I7" t="s">
        <v>245</v>
      </c>
      <c r="R7" s="1">
        <v>1464.8</v>
      </c>
    </row>
    <row r="8" spans="1:18" x14ac:dyDescent="0.2">
      <c r="H8" t="s">
        <v>74</v>
      </c>
      <c r="R8" s="1">
        <v>115473.06</v>
      </c>
    </row>
    <row r="9" spans="1:18" x14ac:dyDescent="0.2">
      <c r="A9">
        <v>863</v>
      </c>
      <c r="D9" t="s">
        <v>75</v>
      </c>
      <c r="I9" t="s">
        <v>76</v>
      </c>
      <c r="R9" s="1">
        <v>26276.33</v>
      </c>
    </row>
    <row r="10" spans="1:18" x14ac:dyDescent="0.2">
      <c r="A10">
        <v>864</v>
      </c>
      <c r="D10" t="s">
        <v>77</v>
      </c>
      <c r="I10" t="s">
        <v>78</v>
      </c>
      <c r="R10" s="1">
        <v>83583.13</v>
      </c>
    </row>
    <row r="11" spans="1:18" x14ac:dyDescent="0.2">
      <c r="A11">
        <v>866</v>
      </c>
      <c r="D11" t="s">
        <v>238</v>
      </c>
      <c r="I11" t="s">
        <v>239</v>
      </c>
      <c r="R11" s="1">
        <v>1260.7</v>
      </c>
    </row>
    <row r="12" spans="1:18" x14ac:dyDescent="0.2">
      <c r="A12">
        <v>869</v>
      </c>
      <c r="D12" t="s">
        <v>247</v>
      </c>
      <c r="I12" t="s">
        <v>248</v>
      </c>
      <c r="R12" s="1">
        <v>4352.8999999999996</v>
      </c>
    </row>
    <row r="13" spans="1:18" x14ac:dyDescent="0.2">
      <c r="H13" t="s">
        <v>79</v>
      </c>
      <c r="R13" s="1">
        <v>648394.77</v>
      </c>
    </row>
    <row r="14" spans="1:18" x14ac:dyDescent="0.2">
      <c r="I14" t="s">
        <v>7</v>
      </c>
    </row>
    <row r="15" spans="1:18" x14ac:dyDescent="0.2">
      <c r="H15" t="s">
        <v>80</v>
      </c>
      <c r="R15" s="1">
        <v>-1321.6</v>
      </c>
    </row>
    <row r="16" spans="1:18" x14ac:dyDescent="0.2">
      <c r="A16">
        <v>166</v>
      </c>
      <c r="D16" t="s">
        <v>81</v>
      </c>
      <c r="I16" t="s">
        <v>10</v>
      </c>
      <c r="R16" s="1">
        <v>-1321.6</v>
      </c>
    </row>
    <row r="17" spans="1:18" x14ac:dyDescent="0.2">
      <c r="H17" t="s">
        <v>83</v>
      </c>
      <c r="R17" s="1">
        <v>647073.17000000004</v>
      </c>
    </row>
    <row r="18" spans="1:18" x14ac:dyDescent="0.2">
      <c r="I18" t="s">
        <v>7</v>
      </c>
    </row>
    <row r="19" spans="1:18" x14ac:dyDescent="0.2">
      <c r="H19" t="s">
        <v>84</v>
      </c>
      <c r="R19" s="1">
        <v>43241.57</v>
      </c>
    </row>
    <row r="20" spans="1:18" x14ac:dyDescent="0.2">
      <c r="A20">
        <v>749</v>
      </c>
      <c r="D20" t="s">
        <v>85</v>
      </c>
      <c r="I20" t="s">
        <v>58</v>
      </c>
      <c r="R20" s="1">
        <v>43241.57</v>
      </c>
    </row>
    <row r="21" spans="1:18" x14ac:dyDescent="0.2">
      <c r="H21" t="s">
        <v>86</v>
      </c>
      <c r="R21" s="1">
        <v>690314.74</v>
      </c>
    </row>
    <row r="22" spans="1:18" x14ac:dyDescent="0.2">
      <c r="I22" t="s">
        <v>7</v>
      </c>
    </row>
    <row r="23" spans="1:18" x14ac:dyDescent="0.2">
      <c r="H23" t="s">
        <v>87</v>
      </c>
      <c r="R23" s="1">
        <v>-268554.59999999998</v>
      </c>
    </row>
    <row r="24" spans="1:18" x14ac:dyDescent="0.2">
      <c r="A24">
        <v>162</v>
      </c>
      <c r="D24" t="s">
        <v>88</v>
      </c>
      <c r="I24" t="s">
        <v>8</v>
      </c>
      <c r="R24" s="1">
        <v>-226388.73</v>
      </c>
    </row>
    <row r="25" spans="1:18" x14ac:dyDescent="0.2">
      <c r="A25">
        <v>165</v>
      </c>
      <c r="D25" t="s">
        <v>89</v>
      </c>
      <c r="I25" t="s">
        <v>9</v>
      </c>
      <c r="R25" s="1">
        <v>-24922.51</v>
      </c>
    </row>
    <row r="26" spans="1:18" x14ac:dyDescent="0.2">
      <c r="A26">
        <v>170</v>
      </c>
      <c r="D26" t="s">
        <v>91</v>
      </c>
      <c r="I26" t="s">
        <v>92</v>
      </c>
      <c r="R26" s="1">
        <v>-17243.36</v>
      </c>
    </row>
    <row r="27" spans="1:18" x14ac:dyDescent="0.2">
      <c r="H27" t="s">
        <v>93</v>
      </c>
      <c r="R27" s="1">
        <v>-268554.59999999998</v>
      </c>
    </row>
    <row r="28" spans="1:18" x14ac:dyDescent="0.2">
      <c r="I28" t="s">
        <v>7</v>
      </c>
    </row>
    <row r="29" spans="1:18" x14ac:dyDescent="0.2">
      <c r="H29" t="s">
        <v>197</v>
      </c>
      <c r="R29">
        <v>12.69</v>
      </c>
    </row>
    <row r="30" spans="1:18" x14ac:dyDescent="0.2">
      <c r="A30">
        <v>135</v>
      </c>
      <c r="D30" t="s">
        <v>198</v>
      </c>
      <c r="I30" t="s">
        <v>59</v>
      </c>
      <c r="R30">
        <v>12.69</v>
      </c>
    </row>
    <row r="31" spans="1:18" x14ac:dyDescent="0.2">
      <c r="H31" t="s">
        <v>252</v>
      </c>
      <c r="R31" s="1">
        <v>1831.47</v>
      </c>
    </row>
    <row r="32" spans="1:18" x14ac:dyDescent="0.2">
      <c r="A32">
        <v>159</v>
      </c>
      <c r="D32" t="s">
        <v>253</v>
      </c>
      <c r="I32" t="s">
        <v>252</v>
      </c>
      <c r="R32" s="1">
        <v>1831.47</v>
      </c>
    </row>
    <row r="33" spans="1:18" x14ac:dyDescent="0.2">
      <c r="H33" t="s">
        <v>94</v>
      </c>
      <c r="R33" s="1">
        <v>423604.3</v>
      </c>
    </row>
    <row r="34" spans="1:18" x14ac:dyDescent="0.2">
      <c r="I34" t="s">
        <v>7</v>
      </c>
    </row>
    <row r="35" spans="1:18" x14ac:dyDescent="0.2">
      <c r="H35" t="s">
        <v>95</v>
      </c>
      <c r="R35" s="1">
        <v>-41897.449999999997</v>
      </c>
    </row>
    <row r="36" spans="1:18" x14ac:dyDescent="0.2">
      <c r="A36">
        <v>164</v>
      </c>
      <c r="D36" t="s">
        <v>96</v>
      </c>
      <c r="I36" t="s">
        <v>97</v>
      </c>
      <c r="R36" s="1">
        <v>-37902.870000000003</v>
      </c>
    </row>
    <row r="37" spans="1:18" x14ac:dyDescent="0.2">
      <c r="A37">
        <v>206</v>
      </c>
      <c r="D37" t="s">
        <v>98</v>
      </c>
      <c r="I37" t="s">
        <v>13</v>
      </c>
      <c r="R37" s="1">
        <v>-1397.61</v>
      </c>
    </row>
    <row r="38" spans="1:18" x14ac:dyDescent="0.2">
      <c r="A38">
        <v>207</v>
      </c>
      <c r="D38" t="s">
        <v>192</v>
      </c>
      <c r="I38" t="s">
        <v>14</v>
      </c>
      <c r="R38">
        <v>-450</v>
      </c>
    </row>
    <row r="39" spans="1:18" x14ac:dyDescent="0.2">
      <c r="A39">
        <v>224</v>
      </c>
      <c r="D39" t="s">
        <v>100</v>
      </c>
      <c r="I39" t="s">
        <v>25</v>
      </c>
      <c r="R39" s="1">
        <v>-2146.9699999999998</v>
      </c>
    </row>
    <row r="40" spans="1:18" x14ac:dyDescent="0.2">
      <c r="H40" t="s">
        <v>101</v>
      </c>
      <c r="R40" s="1">
        <v>-47957.89</v>
      </c>
    </row>
    <row r="41" spans="1:18" x14ac:dyDescent="0.2">
      <c r="A41">
        <v>250</v>
      </c>
      <c r="D41" t="s">
        <v>102</v>
      </c>
      <c r="I41" t="s">
        <v>35</v>
      </c>
      <c r="R41" s="1">
        <v>-7748.07</v>
      </c>
    </row>
    <row r="42" spans="1:18" x14ac:dyDescent="0.2">
      <c r="A42">
        <v>253</v>
      </c>
      <c r="D42" t="s">
        <v>103</v>
      </c>
      <c r="I42" t="s">
        <v>38</v>
      </c>
      <c r="R42" s="1">
        <v>-24656.73</v>
      </c>
    </row>
    <row r="43" spans="1:18" x14ac:dyDescent="0.2">
      <c r="A43">
        <v>651</v>
      </c>
      <c r="D43" t="s">
        <v>104</v>
      </c>
      <c r="I43" t="s">
        <v>39</v>
      </c>
      <c r="R43" s="1">
        <v>-10705.12</v>
      </c>
    </row>
    <row r="44" spans="1:18" x14ac:dyDescent="0.2">
      <c r="A44">
        <v>653</v>
      </c>
      <c r="D44" t="s">
        <v>105</v>
      </c>
      <c r="I44" t="s">
        <v>40</v>
      </c>
      <c r="R44" s="1">
        <v>-4847.97</v>
      </c>
    </row>
    <row r="45" spans="1:18" x14ac:dyDescent="0.2">
      <c r="H45" t="s">
        <v>107</v>
      </c>
      <c r="R45" s="1">
        <v>-89855.34</v>
      </c>
    </row>
    <row r="46" spans="1:18" x14ac:dyDescent="0.2">
      <c r="I46" t="s">
        <v>7</v>
      </c>
    </row>
    <row r="47" spans="1:18" x14ac:dyDescent="0.2">
      <c r="H47" t="s">
        <v>108</v>
      </c>
      <c r="R47" s="1">
        <v>333748.96000000002</v>
      </c>
    </row>
    <row r="48" spans="1:18" x14ac:dyDescent="0.2">
      <c r="I48" t="s">
        <v>7</v>
      </c>
    </row>
    <row r="49" spans="1:18" x14ac:dyDescent="0.2">
      <c r="H49" t="s">
        <v>109</v>
      </c>
      <c r="R49" s="1">
        <v>-98463.87</v>
      </c>
    </row>
    <row r="50" spans="1:18" x14ac:dyDescent="0.2">
      <c r="I50" t="s">
        <v>7</v>
      </c>
    </row>
    <row r="51" spans="1:18" x14ac:dyDescent="0.2">
      <c r="H51" t="s">
        <v>110</v>
      </c>
      <c r="R51" s="1">
        <v>-98463.87</v>
      </c>
    </row>
    <row r="52" spans="1:18" x14ac:dyDescent="0.2">
      <c r="I52" t="s">
        <v>7</v>
      </c>
    </row>
    <row r="53" spans="1:18" x14ac:dyDescent="0.2">
      <c r="H53" t="s">
        <v>111</v>
      </c>
      <c r="R53" s="1">
        <v>-3000</v>
      </c>
    </row>
    <row r="54" spans="1:18" x14ac:dyDescent="0.2">
      <c r="A54">
        <v>182</v>
      </c>
      <c r="D54" t="s">
        <v>112</v>
      </c>
      <c r="I54" t="s">
        <v>54</v>
      </c>
      <c r="R54" s="1">
        <v>-3000</v>
      </c>
    </row>
    <row r="55" spans="1:18" x14ac:dyDescent="0.2">
      <c r="H55" t="s">
        <v>113</v>
      </c>
      <c r="R55" s="1">
        <v>-16818.05</v>
      </c>
    </row>
    <row r="56" spans="1:18" x14ac:dyDescent="0.2">
      <c r="A56">
        <v>181</v>
      </c>
      <c r="D56" t="s">
        <v>114</v>
      </c>
      <c r="I56" t="s">
        <v>53</v>
      </c>
      <c r="R56" s="1">
        <v>-10666.8</v>
      </c>
    </row>
    <row r="57" spans="1:18" x14ac:dyDescent="0.2">
      <c r="A57">
        <v>188</v>
      </c>
      <c r="D57" t="s">
        <v>115</v>
      </c>
      <c r="I57" t="s">
        <v>116</v>
      </c>
      <c r="R57" s="1">
        <v>-5355</v>
      </c>
    </row>
    <row r="58" spans="1:18" x14ac:dyDescent="0.2">
      <c r="A58">
        <v>535</v>
      </c>
      <c r="D58" t="s">
        <v>199</v>
      </c>
      <c r="I58" t="s">
        <v>232</v>
      </c>
      <c r="R58" s="1">
        <v>-350</v>
      </c>
    </row>
    <row r="59" spans="1:18" x14ac:dyDescent="0.2">
      <c r="A59">
        <v>536</v>
      </c>
      <c r="D59" t="s">
        <v>200</v>
      </c>
      <c r="I59" t="s">
        <v>201</v>
      </c>
      <c r="R59" s="1">
        <v>-446.25</v>
      </c>
    </row>
    <row r="60" spans="1:18" x14ac:dyDescent="0.2">
      <c r="H60" t="s">
        <v>73</v>
      </c>
      <c r="R60" s="1">
        <v>-8810</v>
      </c>
    </row>
    <row r="61" spans="1:18" x14ac:dyDescent="0.2">
      <c r="A61">
        <v>184</v>
      </c>
      <c r="D61" t="s">
        <v>117</v>
      </c>
      <c r="I61" t="s">
        <v>57</v>
      </c>
      <c r="R61" s="1">
        <v>-8810</v>
      </c>
    </row>
    <row r="62" spans="1:18" x14ac:dyDescent="0.2">
      <c r="H62" t="s">
        <v>118</v>
      </c>
      <c r="R62" s="1">
        <v>-2171.39</v>
      </c>
    </row>
    <row r="63" spans="1:18" x14ac:dyDescent="0.2">
      <c r="A63">
        <v>502</v>
      </c>
      <c r="D63" t="s">
        <v>119</v>
      </c>
      <c r="I63" t="s">
        <v>120</v>
      </c>
      <c r="R63" s="1">
        <v>-1408.37</v>
      </c>
    </row>
    <row r="64" spans="1:18" x14ac:dyDescent="0.2">
      <c r="A64">
        <v>503</v>
      </c>
      <c r="D64" t="s">
        <v>121</v>
      </c>
      <c r="I64" t="s">
        <v>122</v>
      </c>
      <c r="R64">
        <v>-428.4</v>
      </c>
    </row>
    <row r="65" spans="1:18" x14ac:dyDescent="0.2">
      <c r="A65">
        <v>504</v>
      </c>
      <c r="D65" t="s">
        <v>123</v>
      </c>
      <c r="I65" t="s">
        <v>124</v>
      </c>
      <c r="R65">
        <v>-53.55</v>
      </c>
    </row>
    <row r="66" spans="1:18" x14ac:dyDescent="0.2">
      <c r="A66">
        <v>505</v>
      </c>
      <c r="D66" t="s">
        <v>202</v>
      </c>
      <c r="I66" t="s">
        <v>203</v>
      </c>
      <c r="R66">
        <v>-92.05</v>
      </c>
    </row>
    <row r="67" spans="1:18" x14ac:dyDescent="0.2">
      <c r="A67">
        <v>506</v>
      </c>
      <c r="D67" t="s">
        <v>204</v>
      </c>
      <c r="I67" t="s">
        <v>205</v>
      </c>
      <c r="R67">
        <v>-28</v>
      </c>
    </row>
    <row r="68" spans="1:18" x14ac:dyDescent="0.2">
      <c r="A68">
        <v>508</v>
      </c>
      <c r="D68" t="s">
        <v>206</v>
      </c>
      <c r="I68" t="s">
        <v>207</v>
      </c>
      <c r="R68">
        <v>-3.5</v>
      </c>
    </row>
    <row r="69" spans="1:18" x14ac:dyDescent="0.2">
      <c r="A69">
        <v>527</v>
      </c>
      <c r="D69" t="s">
        <v>208</v>
      </c>
      <c r="I69" t="s">
        <v>209</v>
      </c>
      <c r="R69">
        <v>-117.36</v>
      </c>
    </row>
    <row r="70" spans="1:18" x14ac:dyDescent="0.2">
      <c r="A70">
        <v>528</v>
      </c>
      <c r="D70" t="s">
        <v>210</v>
      </c>
      <c r="I70" t="s">
        <v>211</v>
      </c>
      <c r="R70" s="1">
        <v>-35.700000000000003</v>
      </c>
    </row>
    <row r="71" spans="1:18" x14ac:dyDescent="0.2">
      <c r="A71">
        <v>529</v>
      </c>
      <c r="D71" t="s">
        <v>212</v>
      </c>
      <c r="I71" t="s">
        <v>213</v>
      </c>
      <c r="R71" s="1">
        <v>-4.46</v>
      </c>
    </row>
    <row r="72" spans="1:18" x14ac:dyDescent="0.2">
      <c r="H72" t="s">
        <v>182</v>
      </c>
      <c r="R72" s="1">
        <v>-1625.71</v>
      </c>
    </row>
    <row r="73" spans="1:18" x14ac:dyDescent="0.2">
      <c r="A73">
        <v>710</v>
      </c>
      <c r="D73" t="s">
        <v>128</v>
      </c>
      <c r="I73" t="s">
        <v>183</v>
      </c>
      <c r="R73" s="1">
        <v>-1625.71</v>
      </c>
    </row>
    <row r="74" spans="1:18" x14ac:dyDescent="0.2">
      <c r="H74" t="s">
        <v>181</v>
      </c>
      <c r="R74" s="1">
        <v>-8369.86</v>
      </c>
    </row>
    <row r="75" spans="1:18" x14ac:dyDescent="0.2">
      <c r="A75">
        <v>247</v>
      </c>
      <c r="D75" t="s">
        <v>193</v>
      </c>
      <c r="I75" t="s">
        <v>51</v>
      </c>
      <c r="R75" s="1">
        <v>-8335.1200000000008</v>
      </c>
    </row>
    <row r="76" spans="1:18" x14ac:dyDescent="0.2">
      <c r="A76">
        <v>711</v>
      </c>
      <c r="D76" t="s">
        <v>249</v>
      </c>
      <c r="I76" t="s">
        <v>30</v>
      </c>
      <c r="R76" s="1">
        <v>-34.74</v>
      </c>
    </row>
    <row r="77" spans="1:18" x14ac:dyDescent="0.2">
      <c r="H77" t="s">
        <v>130</v>
      </c>
      <c r="R77" s="1">
        <v>-57668.86</v>
      </c>
    </row>
    <row r="78" spans="1:18" x14ac:dyDescent="0.2">
      <c r="A78">
        <v>171</v>
      </c>
      <c r="D78" t="s">
        <v>131</v>
      </c>
      <c r="I78" t="s">
        <v>60</v>
      </c>
      <c r="R78" s="1">
        <v>-56239.25</v>
      </c>
    </row>
    <row r="79" spans="1:18" x14ac:dyDescent="0.2">
      <c r="A79">
        <v>245</v>
      </c>
      <c r="D79" t="s">
        <v>132</v>
      </c>
      <c r="I79" t="s">
        <v>191</v>
      </c>
      <c r="R79" s="1">
        <v>-1429.61</v>
      </c>
    </row>
    <row r="80" spans="1:18" x14ac:dyDescent="0.2">
      <c r="H80" t="s">
        <v>133</v>
      </c>
      <c r="R80" s="1">
        <v>-119652.68</v>
      </c>
    </row>
    <row r="81" spans="1:18" x14ac:dyDescent="0.2">
      <c r="I81" t="s">
        <v>7</v>
      </c>
      <c r="R81" s="1"/>
    </row>
    <row r="82" spans="1:18" x14ac:dyDescent="0.2">
      <c r="H82" t="s">
        <v>134</v>
      </c>
      <c r="R82" s="1">
        <v>-73595.59</v>
      </c>
    </row>
    <row r="83" spans="1:18" x14ac:dyDescent="0.2">
      <c r="A83">
        <v>179</v>
      </c>
      <c r="D83" t="s">
        <v>233</v>
      </c>
      <c r="I83" t="s">
        <v>234</v>
      </c>
      <c r="R83" s="1">
        <v>-6750</v>
      </c>
    </row>
    <row r="84" spans="1:18" x14ac:dyDescent="0.2">
      <c r="A84">
        <v>180</v>
      </c>
      <c r="D84" t="s">
        <v>135</v>
      </c>
      <c r="I84" t="s">
        <v>52</v>
      </c>
      <c r="R84" s="1">
        <v>-18460.98</v>
      </c>
    </row>
    <row r="85" spans="1:18" x14ac:dyDescent="0.2">
      <c r="A85">
        <v>185</v>
      </c>
      <c r="D85" t="s">
        <v>254</v>
      </c>
      <c r="I85" t="s">
        <v>235</v>
      </c>
      <c r="R85" s="1">
        <v>-1672.74</v>
      </c>
    </row>
    <row r="86" spans="1:18" x14ac:dyDescent="0.2">
      <c r="A86">
        <v>186</v>
      </c>
      <c r="D86" t="s">
        <v>187</v>
      </c>
      <c r="I86" t="s">
        <v>55</v>
      </c>
      <c r="R86" s="1">
        <v>-7200</v>
      </c>
    </row>
    <row r="87" spans="1:18" x14ac:dyDescent="0.2">
      <c r="A87">
        <v>187</v>
      </c>
      <c r="D87" t="s">
        <v>136</v>
      </c>
      <c r="I87" t="s">
        <v>56</v>
      </c>
      <c r="R87" s="1">
        <v>-12217.82</v>
      </c>
    </row>
    <row r="88" spans="1:18" x14ac:dyDescent="0.2">
      <c r="A88">
        <v>189</v>
      </c>
      <c r="D88" t="s">
        <v>137</v>
      </c>
      <c r="I88" t="s">
        <v>138</v>
      </c>
      <c r="R88" s="1">
        <v>-6969</v>
      </c>
    </row>
    <row r="89" spans="1:18" x14ac:dyDescent="0.2">
      <c r="A89">
        <v>190</v>
      </c>
      <c r="D89" t="s">
        <v>139</v>
      </c>
      <c r="I89" t="s">
        <v>140</v>
      </c>
      <c r="R89" s="1">
        <v>-3704.4</v>
      </c>
    </row>
    <row r="90" spans="1:18" x14ac:dyDescent="0.2">
      <c r="A90">
        <v>193</v>
      </c>
      <c r="D90" t="s">
        <v>143</v>
      </c>
      <c r="I90" t="s">
        <v>45</v>
      </c>
      <c r="R90">
        <v>-104.77</v>
      </c>
    </row>
    <row r="91" spans="1:18" x14ac:dyDescent="0.2">
      <c r="A91">
        <v>530</v>
      </c>
      <c r="D91" t="s">
        <v>214</v>
      </c>
      <c r="I91" t="s">
        <v>215</v>
      </c>
      <c r="R91" s="1">
        <v>-1215.52</v>
      </c>
    </row>
    <row r="92" spans="1:18" x14ac:dyDescent="0.2">
      <c r="A92">
        <v>531</v>
      </c>
      <c r="D92" t="s">
        <v>216</v>
      </c>
      <c r="I92" t="s">
        <v>217</v>
      </c>
      <c r="R92" s="1">
        <v>-135.84</v>
      </c>
    </row>
    <row r="93" spans="1:18" x14ac:dyDescent="0.2">
      <c r="A93">
        <v>195</v>
      </c>
      <c r="D93" t="s">
        <v>144</v>
      </c>
      <c r="I93" t="s">
        <v>145</v>
      </c>
      <c r="R93" s="1">
        <v>-2807.08</v>
      </c>
    </row>
    <row r="94" spans="1:18" x14ac:dyDescent="0.2">
      <c r="A94">
        <v>196</v>
      </c>
      <c r="D94" t="s">
        <v>146</v>
      </c>
      <c r="I94" t="s">
        <v>147</v>
      </c>
      <c r="R94">
        <v>-853.87</v>
      </c>
    </row>
    <row r="95" spans="1:18" x14ac:dyDescent="0.2">
      <c r="A95">
        <v>197</v>
      </c>
      <c r="D95" t="s">
        <v>148</v>
      </c>
      <c r="I95" t="s">
        <v>149</v>
      </c>
      <c r="R95">
        <v>-106.73</v>
      </c>
    </row>
    <row r="96" spans="1:18" x14ac:dyDescent="0.2">
      <c r="A96">
        <v>499</v>
      </c>
      <c r="D96" t="s">
        <v>218</v>
      </c>
      <c r="I96" t="s">
        <v>219</v>
      </c>
      <c r="R96">
        <v>-12.17</v>
      </c>
    </row>
    <row r="97" spans="1:18" x14ac:dyDescent="0.2">
      <c r="A97">
        <v>500</v>
      </c>
      <c r="D97" t="s">
        <v>220</v>
      </c>
      <c r="I97" t="s">
        <v>221</v>
      </c>
      <c r="R97">
        <v>-319.64999999999998</v>
      </c>
    </row>
    <row r="98" spans="1:18" x14ac:dyDescent="0.2">
      <c r="A98">
        <v>501</v>
      </c>
      <c r="D98" t="s">
        <v>222</v>
      </c>
      <c r="I98" t="s">
        <v>223</v>
      </c>
      <c r="R98">
        <v>-97.24</v>
      </c>
    </row>
    <row r="99" spans="1:18" x14ac:dyDescent="0.2">
      <c r="A99">
        <v>522</v>
      </c>
      <c r="D99" t="s">
        <v>224</v>
      </c>
      <c r="I99" t="s">
        <v>225</v>
      </c>
      <c r="R99">
        <v>-239.72</v>
      </c>
    </row>
    <row r="100" spans="1:18" x14ac:dyDescent="0.2">
      <c r="A100">
        <v>523</v>
      </c>
      <c r="D100" t="s">
        <v>226</v>
      </c>
      <c r="I100" t="s">
        <v>227</v>
      </c>
      <c r="R100" s="1">
        <v>272.83</v>
      </c>
    </row>
    <row r="101" spans="1:18" x14ac:dyDescent="0.2">
      <c r="A101">
        <v>524</v>
      </c>
      <c r="D101" t="s">
        <v>228</v>
      </c>
      <c r="I101" t="s">
        <v>229</v>
      </c>
      <c r="R101" s="1">
        <v>-9.11</v>
      </c>
    </row>
    <row r="102" spans="1:18" x14ac:dyDescent="0.2">
      <c r="A102">
        <v>200</v>
      </c>
      <c r="D102" t="s">
        <v>150</v>
      </c>
      <c r="I102" t="s">
        <v>15</v>
      </c>
      <c r="R102" s="1">
        <v>-1449.89</v>
      </c>
    </row>
    <row r="103" spans="1:18" x14ac:dyDescent="0.2">
      <c r="A103">
        <v>201</v>
      </c>
      <c r="D103" t="s">
        <v>151</v>
      </c>
      <c r="I103" t="s">
        <v>152</v>
      </c>
      <c r="R103" s="1">
        <v>-2349.89</v>
      </c>
    </row>
    <row r="104" spans="1:18" x14ac:dyDescent="0.2">
      <c r="A104">
        <v>202</v>
      </c>
      <c r="D104" t="s">
        <v>153</v>
      </c>
      <c r="I104" t="s">
        <v>16</v>
      </c>
      <c r="R104" s="1">
        <v>-6977</v>
      </c>
    </row>
    <row r="105" spans="1:18" x14ac:dyDescent="0.2">
      <c r="A105">
        <v>203</v>
      </c>
      <c r="D105" t="s">
        <v>154</v>
      </c>
      <c r="I105" t="s">
        <v>17</v>
      </c>
      <c r="R105" s="1">
        <v>-215</v>
      </c>
    </row>
    <row r="106" spans="1:18" x14ac:dyDescent="0.2">
      <c r="H106" t="s">
        <v>156</v>
      </c>
      <c r="R106" s="1">
        <v>-12029.67</v>
      </c>
    </row>
    <row r="107" spans="1:18" x14ac:dyDescent="0.2">
      <c r="A107">
        <v>229</v>
      </c>
      <c r="D107" t="s">
        <v>157</v>
      </c>
      <c r="I107" t="s">
        <v>28</v>
      </c>
      <c r="R107" s="1">
        <v>-12029.67</v>
      </c>
    </row>
    <row r="108" spans="1:18" x14ac:dyDescent="0.2">
      <c r="H108" t="s">
        <v>159</v>
      </c>
      <c r="R108" s="1">
        <v>-4826</v>
      </c>
    </row>
    <row r="109" spans="1:18" x14ac:dyDescent="0.2">
      <c r="A109">
        <v>214</v>
      </c>
      <c r="D109" t="s">
        <v>160</v>
      </c>
      <c r="I109" t="s">
        <v>21</v>
      </c>
      <c r="R109" s="1">
        <v>-4826</v>
      </c>
    </row>
    <row r="110" spans="1:18" x14ac:dyDescent="0.2">
      <c r="H110" t="s">
        <v>161</v>
      </c>
      <c r="R110" s="1">
        <v>-4379.2</v>
      </c>
    </row>
    <row r="111" spans="1:18" x14ac:dyDescent="0.2">
      <c r="A111">
        <v>217</v>
      </c>
      <c r="D111" t="s">
        <v>162</v>
      </c>
      <c r="I111" t="s">
        <v>23</v>
      </c>
      <c r="R111" s="1">
        <v>-4379.2</v>
      </c>
    </row>
    <row r="112" spans="1:18" x14ac:dyDescent="0.2">
      <c r="H112" t="s">
        <v>163</v>
      </c>
      <c r="R112">
        <v>-577.4</v>
      </c>
    </row>
    <row r="113" spans="1:18" x14ac:dyDescent="0.2">
      <c r="A113">
        <v>220</v>
      </c>
      <c r="D113" t="s">
        <v>164</v>
      </c>
      <c r="I113" t="s">
        <v>24</v>
      </c>
      <c r="R113" s="1">
        <v>-433.31</v>
      </c>
    </row>
    <row r="114" spans="1:18" x14ac:dyDescent="0.2">
      <c r="A114">
        <v>233</v>
      </c>
      <c r="D114" t="s">
        <v>195</v>
      </c>
      <c r="I114" t="s">
        <v>50</v>
      </c>
      <c r="R114" s="1">
        <v>-144.09</v>
      </c>
    </row>
    <row r="115" spans="1:18" x14ac:dyDescent="0.2">
      <c r="H115" t="s">
        <v>127</v>
      </c>
      <c r="R115" s="1">
        <v>-15915.1</v>
      </c>
    </row>
    <row r="116" spans="1:18" x14ac:dyDescent="0.2">
      <c r="A116">
        <v>244</v>
      </c>
      <c r="D116" t="s">
        <v>165</v>
      </c>
      <c r="I116" t="s">
        <v>34</v>
      </c>
      <c r="R116" s="1">
        <v>-15915.1</v>
      </c>
    </row>
    <row r="117" spans="1:18" x14ac:dyDescent="0.2">
      <c r="H117" t="s">
        <v>166</v>
      </c>
      <c r="R117" s="1">
        <v>-346.4</v>
      </c>
    </row>
    <row r="118" spans="1:18" x14ac:dyDescent="0.2">
      <c r="A118">
        <v>252</v>
      </c>
      <c r="D118" t="s">
        <v>167</v>
      </c>
      <c r="I118" t="s">
        <v>37</v>
      </c>
      <c r="R118" s="1">
        <v>-346.4</v>
      </c>
    </row>
    <row r="119" spans="1:18" x14ac:dyDescent="0.2">
      <c r="H119" t="s">
        <v>129</v>
      </c>
      <c r="R119" s="1">
        <v>-7983.32</v>
      </c>
    </row>
    <row r="120" spans="1:18" x14ac:dyDescent="0.2">
      <c r="A120">
        <v>215</v>
      </c>
      <c r="D120" t="s">
        <v>230</v>
      </c>
      <c r="I120" t="s">
        <v>61</v>
      </c>
      <c r="R120">
        <v>-439.5</v>
      </c>
    </row>
    <row r="121" spans="1:18" x14ac:dyDescent="0.2">
      <c r="A121">
        <v>225</v>
      </c>
      <c r="D121" t="s">
        <v>170</v>
      </c>
      <c r="I121" t="s">
        <v>26</v>
      </c>
      <c r="R121">
        <v>-110.71</v>
      </c>
    </row>
    <row r="122" spans="1:18" x14ac:dyDescent="0.2">
      <c r="A122">
        <v>226</v>
      </c>
      <c r="D122" t="s">
        <v>242</v>
      </c>
      <c r="I122" t="s">
        <v>243</v>
      </c>
      <c r="R122">
        <v>-143.19</v>
      </c>
    </row>
    <row r="123" spans="1:18" x14ac:dyDescent="0.2">
      <c r="A123">
        <v>231</v>
      </c>
      <c r="D123" t="s">
        <v>172</v>
      </c>
      <c r="I123" t="s">
        <v>29</v>
      </c>
      <c r="R123" s="1">
        <v>-352</v>
      </c>
    </row>
    <row r="124" spans="1:18" x14ac:dyDescent="0.2">
      <c r="A124">
        <v>238</v>
      </c>
      <c r="D124" t="s">
        <v>174</v>
      </c>
      <c r="I124" t="s">
        <v>33</v>
      </c>
      <c r="R124" s="1">
        <v>-126.63</v>
      </c>
    </row>
    <row r="125" spans="1:18" x14ac:dyDescent="0.2">
      <c r="A125">
        <v>243</v>
      </c>
      <c r="D125" t="s">
        <v>175</v>
      </c>
      <c r="I125" t="s">
        <v>176</v>
      </c>
      <c r="R125" s="1">
        <v>-2879.7</v>
      </c>
    </row>
    <row r="126" spans="1:18" x14ac:dyDescent="0.2">
      <c r="A126">
        <v>263</v>
      </c>
      <c r="D126" t="s">
        <v>179</v>
      </c>
      <c r="I126" t="s">
        <v>43</v>
      </c>
      <c r="R126" s="1">
        <v>-3931.59</v>
      </c>
    </row>
    <row r="127" spans="1:18" x14ac:dyDescent="0.2">
      <c r="H127" t="s">
        <v>180</v>
      </c>
      <c r="R127" s="1">
        <v>115632.41</v>
      </c>
    </row>
    <row r="128" spans="1:18" x14ac:dyDescent="0.2">
      <c r="R128" s="1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30"/>
  <sheetViews>
    <sheetView workbookViewId="0">
      <selection sqref="A1:U130"/>
    </sheetView>
  </sheetViews>
  <sheetFormatPr baseColWidth="10" defaultColWidth="8.83203125" defaultRowHeight="15" x14ac:dyDescent="0.2"/>
  <cols>
    <col min="18" max="18" width="11.6640625" bestFit="1" customWidth="1"/>
  </cols>
  <sheetData>
    <row r="1" spans="1:18" x14ac:dyDescent="0.2">
      <c r="A1" t="s">
        <v>65</v>
      </c>
      <c r="D1" t="s">
        <v>66</v>
      </c>
      <c r="H1" t="s">
        <v>5</v>
      </c>
      <c r="R1" t="s">
        <v>6</v>
      </c>
    </row>
    <row r="2" spans="1:18" x14ac:dyDescent="0.2">
      <c r="H2" t="s">
        <v>67</v>
      </c>
      <c r="R2" s="1">
        <v>1222558.07</v>
      </c>
    </row>
    <row r="3" spans="1:18" x14ac:dyDescent="0.2">
      <c r="A3">
        <v>860</v>
      </c>
      <c r="D3" t="s">
        <v>68</v>
      </c>
      <c r="I3" t="s">
        <v>69</v>
      </c>
      <c r="R3" s="1">
        <v>493553.31</v>
      </c>
    </row>
    <row r="4" spans="1:18" x14ac:dyDescent="0.2">
      <c r="A4">
        <v>861</v>
      </c>
      <c r="D4" t="s">
        <v>70</v>
      </c>
      <c r="I4" t="s">
        <v>71</v>
      </c>
      <c r="R4" s="1">
        <v>512627.38</v>
      </c>
    </row>
    <row r="5" spans="1:18" x14ac:dyDescent="0.2">
      <c r="A5">
        <v>862</v>
      </c>
      <c r="D5" t="s">
        <v>184</v>
      </c>
      <c r="I5" t="s">
        <v>185</v>
      </c>
      <c r="R5" s="1">
        <v>2312.6999999999998</v>
      </c>
    </row>
    <row r="6" spans="1:18" x14ac:dyDescent="0.2">
      <c r="A6">
        <v>865</v>
      </c>
      <c r="D6" t="s">
        <v>72</v>
      </c>
      <c r="I6" t="s">
        <v>73</v>
      </c>
      <c r="R6" s="1">
        <v>211633</v>
      </c>
    </row>
    <row r="7" spans="1:18" x14ac:dyDescent="0.2">
      <c r="A7">
        <v>868</v>
      </c>
      <c r="D7" t="s">
        <v>244</v>
      </c>
      <c r="I7" t="s">
        <v>245</v>
      </c>
      <c r="R7" s="1">
        <v>2431.6799999999998</v>
      </c>
    </row>
    <row r="8" spans="1:18" x14ac:dyDescent="0.2">
      <c r="H8" t="s">
        <v>74</v>
      </c>
      <c r="R8" s="1">
        <v>307176.01</v>
      </c>
    </row>
    <row r="9" spans="1:18" x14ac:dyDescent="0.2">
      <c r="A9">
        <v>863</v>
      </c>
      <c r="D9" t="s">
        <v>75</v>
      </c>
      <c r="I9" t="s">
        <v>76</v>
      </c>
      <c r="R9" s="1">
        <v>101255.41</v>
      </c>
    </row>
    <row r="10" spans="1:18" x14ac:dyDescent="0.2">
      <c r="A10">
        <v>864</v>
      </c>
      <c r="D10" t="s">
        <v>77</v>
      </c>
      <c r="I10" t="s">
        <v>78</v>
      </c>
      <c r="R10" s="1">
        <v>192300.05</v>
      </c>
    </row>
    <row r="11" spans="1:18" x14ac:dyDescent="0.2">
      <c r="A11">
        <v>866</v>
      </c>
      <c r="D11" t="s">
        <v>238</v>
      </c>
      <c r="I11" t="s">
        <v>239</v>
      </c>
      <c r="R11" s="1">
        <v>3454.05</v>
      </c>
    </row>
    <row r="12" spans="1:18" x14ac:dyDescent="0.2">
      <c r="A12">
        <v>869</v>
      </c>
      <c r="D12" t="s">
        <v>247</v>
      </c>
      <c r="I12" t="s">
        <v>248</v>
      </c>
      <c r="R12" s="1">
        <v>10166.5</v>
      </c>
    </row>
    <row r="13" spans="1:18" x14ac:dyDescent="0.2">
      <c r="H13" t="s">
        <v>79</v>
      </c>
      <c r="R13" s="1">
        <v>1529734.08</v>
      </c>
    </row>
    <row r="14" spans="1:18" x14ac:dyDescent="0.2">
      <c r="I14" t="s">
        <v>7</v>
      </c>
      <c r="R14" s="1"/>
    </row>
    <row r="15" spans="1:18" x14ac:dyDescent="0.2">
      <c r="H15" t="s">
        <v>80</v>
      </c>
      <c r="R15" s="1">
        <v>-7316.85</v>
      </c>
    </row>
    <row r="16" spans="1:18" x14ac:dyDescent="0.2">
      <c r="A16">
        <v>166</v>
      </c>
      <c r="D16" t="s">
        <v>81</v>
      </c>
      <c r="I16" t="s">
        <v>10</v>
      </c>
      <c r="R16" s="1">
        <v>-7316.85</v>
      </c>
    </row>
    <row r="17" spans="1:18" x14ac:dyDescent="0.2">
      <c r="H17" t="s">
        <v>83</v>
      </c>
      <c r="R17" s="1">
        <v>1522417.23</v>
      </c>
    </row>
    <row r="18" spans="1:18" x14ac:dyDescent="0.2">
      <c r="I18" t="s">
        <v>7</v>
      </c>
      <c r="R18" s="1"/>
    </row>
    <row r="19" spans="1:18" x14ac:dyDescent="0.2">
      <c r="H19" t="s">
        <v>84</v>
      </c>
      <c r="R19" s="1">
        <v>101213.87</v>
      </c>
    </row>
    <row r="20" spans="1:18" x14ac:dyDescent="0.2">
      <c r="A20">
        <v>749</v>
      </c>
      <c r="D20" t="s">
        <v>85</v>
      </c>
      <c r="I20" t="s">
        <v>58</v>
      </c>
      <c r="R20" s="1">
        <v>101213.87</v>
      </c>
    </row>
    <row r="21" spans="1:18" x14ac:dyDescent="0.2">
      <c r="H21" t="s">
        <v>86</v>
      </c>
      <c r="R21" s="1">
        <v>1623631.1</v>
      </c>
    </row>
    <row r="22" spans="1:18" x14ac:dyDescent="0.2">
      <c r="I22" t="s">
        <v>7</v>
      </c>
      <c r="R22" s="1"/>
    </row>
    <row r="23" spans="1:18" x14ac:dyDescent="0.2">
      <c r="H23" t="s">
        <v>87</v>
      </c>
      <c r="R23" s="1">
        <v>-591616.57999999996</v>
      </c>
    </row>
    <row r="24" spans="1:18" x14ac:dyDescent="0.2">
      <c r="A24">
        <v>162</v>
      </c>
      <c r="D24" t="s">
        <v>88</v>
      </c>
      <c r="I24" t="s">
        <v>8</v>
      </c>
      <c r="R24" s="1">
        <v>-450893.51</v>
      </c>
    </row>
    <row r="25" spans="1:18" x14ac:dyDescent="0.2">
      <c r="A25">
        <v>165</v>
      </c>
      <c r="D25" t="s">
        <v>89</v>
      </c>
      <c r="I25" t="s">
        <v>9</v>
      </c>
      <c r="R25" s="1">
        <v>-80585.070000000007</v>
      </c>
    </row>
    <row r="26" spans="1:18" x14ac:dyDescent="0.2">
      <c r="A26">
        <v>170</v>
      </c>
      <c r="D26" t="s">
        <v>91</v>
      </c>
      <c r="I26" t="s">
        <v>92</v>
      </c>
      <c r="R26" s="1">
        <v>-60138</v>
      </c>
    </row>
    <row r="27" spans="1:18" x14ac:dyDescent="0.2">
      <c r="H27" t="s">
        <v>93</v>
      </c>
      <c r="R27" s="1">
        <v>-591616.57999999996</v>
      </c>
    </row>
    <row r="28" spans="1:18" x14ac:dyDescent="0.2">
      <c r="I28" t="s">
        <v>7</v>
      </c>
    </row>
    <row r="29" spans="1:18" x14ac:dyDescent="0.2">
      <c r="H29" t="s">
        <v>197</v>
      </c>
      <c r="R29">
        <v>53.28</v>
      </c>
    </row>
    <row r="30" spans="1:18" x14ac:dyDescent="0.2">
      <c r="A30">
        <v>135</v>
      </c>
      <c r="D30" t="s">
        <v>198</v>
      </c>
      <c r="I30" t="s">
        <v>59</v>
      </c>
      <c r="R30" s="1">
        <v>53.28</v>
      </c>
    </row>
    <row r="31" spans="1:18" x14ac:dyDescent="0.2">
      <c r="H31" t="s">
        <v>252</v>
      </c>
      <c r="R31" s="1">
        <v>3063.37</v>
      </c>
    </row>
    <row r="32" spans="1:18" x14ac:dyDescent="0.2">
      <c r="A32">
        <v>159</v>
      </c>
      <c r="D32" t="s">
        <v>253</v>
      </c>
      <c r="I32" t="s">
        <v>252</v>
      </c>
      <c r="R32" s="1">
        <v>3063.37</v>
      </c>
    </row>
    <row r="33" spans="1:18" x14ac:dyDescent="0.2">
      <c r="H33" t="s">
        <v>94</v>
      </c>
      <c r="R33" s="1">
        <v>1035131.17</v>
      </c>
    </row>
    <row r="34" spans="1:18" x14ac:dyDescent="0.2">
      <c r="I34" t="s">
        <v>7</v>
      </c>
      <c r="R34" s="1"/>
    </row>
    <row r="35" spans="1:18" x14ac:dyDescent="0.2">
      <c r="H35" t="s">
        <v>95</v>
      </c>
      <c r="R35" s="1">
        <v>-114132.02</v>
      </c>
    </row>
    <row r="36" spans="1:18" x14ac:dyDescent="0.2">
      <c r="A36">
        <v>164</v>
      </c>
      <c r="D36" t="s">
        <v>96</v>
      </c>
      <c r="I36" t="s">
        <v>97</v>
      </c>
      <c r="R36" s="1">
        <v>-93862.98</v>
      </c>
    </row>
    <row r="37" spans="1:18" x14ac:dyDescent="0.2">
      <c r="A37">
        <v>206</v>
      </c>
      <c r="D37" t="s">
        <v>98</v>
      </c>
      <c r="I37" t="s">
        <v>13</v>
      </c>
      <c r="R37" s="1">
        <v>-9322.84</v>
      </c>
    </row>
    <row r="38" spans="1:18" x14ac:dyDescent="0.2">
      <c r="A38">
        <v>207</v>
      </c>
      <c r="D38" t="s">
        <v>192</v>
      </c>
      <c r="I38" t="s">
        <v>14</v>
      </c>
      <c r="R38" s="1">
        <v>-900</v>
      </c>
    </row>
    <row r="39" spans="1:18" x14ac:dyDescent="0.2">
      <c r="A39">
        <v>224</v>
      </c>
      <c r="D39" t="s">
        <v>100</v>
      </c>
      <c r="I39" t="s">
        <v>25</v>
      </c>
      <c r="R39" s="1">
        <v>-10046.200000000001</v>
      </c>
    </row>
    <row r="40" spans="1:18" x14ac:dyDescent="0.2">
      <c r="H40" t="s">
        <v>101</v>
      </c>
      <c r="R40" s="1">
        <v>-128005.81</v>
      </c>
    </row>
    <row r="41" spans="1:18" x14ac:dyDescent="0.2">
      <c r="A41">
        <v>250</v>
      </c>
      <c r="D41" t="s">
        <v>102</v>
      </c>
      <c r="I41" t="s">
        <v>35</v>
      </c>
      <c r="R41" s="1">
        <v>-17377.82</v>
      </c>
    </row>
    <row r="42" spans="1:18" x14ac:dyDescent="0.2">
      <c r="A42">
        <v>253</v>
      </c>
      <c r="D42" t="s">
        <v>103</v>
      </c>
      <c r="I42" t="s">
        <v>38</v>
      </c>
      <c r="R42" s="1">
        <v>-69776</v>
      </c>
    </row>
    <row r="43" spans="1:18" x14ac:dyDescent="0.2">
      <c r="A43">
        <v>651</v>
      </c>
      <c r="D43" t="s">
        <v>104</v>
      </c>
      <c r="I43" t="s">
        <v>39</v>
      </c>
      <c r="R43" s="1">
        <v>-32450.6</v>
      </c>
    </row>
    <row r="44" spans="1:18" x14ac:dyDescent="0.2">
      <c r="A44">
        <v>653</v>
      </c>
      <c r="D44" t="s">
        <v>105</v>
      </c>
      <c r="I44" t="s">
        <v>40</v>
      </c>
      <c r="R44" s="1">
        <v>-8401.39</v>
      </c>
    </row>
    <row r="45" spans="1:18" x14ac:dyDescent="0.2">
      <c r="H45" t="s">
        <v>107</v>
      </c>
      <c r="R45" s="1">
        <v>-242137.83</v>
      </c>
    </row>
    <row r="46" spans="1:18" x14ac:dyDescent="0.2">
      <c r="I46" t="s">
        <v>7</v>
      </c>
      <c r="R46" s="1"/>
    </row>
    <row r="47" spans="1:18" x14ac:dyDescent="0.2">
      <c r="H47" t="s">
        <v>108</v>
      </c>
      <c r="R47" s="1">
        <v>792993.34</v>
      </c>
    </row>
    <row r="48" spans="1:18" x14ac:dyDescent="0.2">
      <c r="I48" t="s">
        <v>7</v>
      </c>
      <c r="R48" s="1"/>
    </row>
    <row r="49" spans="1:18" x14ac:dyDescent="0.2">
      <c r="H49" t="s">
        <v>109</v>
      </c>
      <c r="R49" s="1">
        <v>-289021.19</v>
      </c>
    </row>
    <row r="50" spans="1:18" x14ac:dyDescent="0.2">
      <c r="I50" t="s">
        <v>7</v>
      </c>
      <c r="R50" s="1"/>
    </row>
    <row r="51" spans="1:18" x14ac:dyDescent="0.2">
      <c r="H51" t="s">
        <v>110</v>
      </c>
      <c r="R51" s="1">
        <v>-289021.19</v>
      </c>
    </row>
    <row r="52" spans="1:18" x14ac:dyDescent="0.2">
      <c r="I52" t="s">
        <v>7</v>
      </c>
      <c r="R52" s="1"/>
    </row>
    <row r="53" spans="1:18" x14ac:dyDescent="0.2">
      <c r="H53" t="s">
        <v>111</v>
      </c>
      <c r="R53" s="1">
        <v>-3000</v>
      </c>
    </row>
    <row r="54" spans="1:18" x14ac:dyDescent="0.2">
      <c r="A54">
        <v>182</v>
      </c>
      <c r="D54" t="s">
        <v>112</v>
      </c>
      <c r="I54" t="s">
        <v>54</v>
      </c>
      <c r="R54" s="1">
        <v>-3000</v>
      </c>
    </row>
    <row r="55" spans="1:18" x14ac:dyDescent="0.2">
      <c r="H55" t="s">
        <v>113</v>
      </c>
      <c r="R55" s="1">
        <v>-34107.18</v>
      </c>
    </row>
    <row r="56" spans="1:18" x14ac:dyDescent="0.2">
      <c r="A56">
        <v>181</v>
      </c>
      <c r="D56" t="s">
        <v>114</v>
      </c>
      <c r="I56" t="s">
        <v>53</v>
      </c>
      <c r="R56" s="1">
        <v>-21333.599999999999</v>
      </c>
    </row>
    <row r="57" spans="1:18" x14ac:dyDescent="0.2">
      <c r="A57">
        <v>188</v>
      </c>
      <c r="D57" t="s">
        <v>115</v>
      </c>
      <c r="I57" t="s">
        <v>116</v>
      </c>
      <c r="R57" s="1">
        <v>-10923.06</v>
      </c>
    </row>
    <row r="58" spans="1:18" x14ac:dyDescent="0.2">
      <c r="A58">
        <v>535</v>
      </c>
      <c r="D58" t="s">
        <v>199</v>
      </c>
      <c r="I58" t="s">
        <v>232</v>
      </c>
      <c r="R58" s="1">
        <v>-952.44</v>
      </c>
    </row>
    <row r="59" spans="1:18" x14ac:dyDescent="0.2">
      <c r="A59">
        <v>536</v>
      </c>
      <c r="D59" t="s">
        <v>200</v>
      </c>
      <c r="I59" t="s">
        <v>201</v>
      </c>
      <c r="R59" s="1">
        <v>-898.08</v>
      </c>
    </row>
    <row r="60" spans="1:18" x14ac:dyDescent="0.2">
      <c r="H60" t="s">
        <v>73</v>
      </c>
      <c r="R60" s="1">
        <v>-16930</v>
      </c>
    </row>
    <row r="61" spans="1:18" x14ac:dyDescent="0.2">
      <c r="A61">
        <v>184</v>
      </c>
      <c r="D61" t="s">
        <v>117</v>
      </c>
      <c r="I61" t="s">
        <v>57</v>
      </c>
      <c r="R61" s="1">
        <v>-16930</v>
      </c>
    </row>
    <row r="62" spans="1:18" x14ac:dyDescent="0.2">
      <c r="H62" t="s">
        <v>118</v>
      </c>
      <c r="R62" s="1">
        <v>-4462.01</v>
      </c>
    </row>
    <row r="63" spans="1:18" x14ac:dyDescent="0.2">
      <c r="A63">
        <v>502</v>
      </c>
      <c r="D63" t="s">
        <v>119</v>
      </c>
      <c r="I63" t="s">
        <v>120</v>
      </c>
      <c r="R63" s="1">
        <v>-2837.73</v>
      </c>
    </row>
    <row r="64" spans="1:18" x14ac:dyDescent="0.2">
      <c r="A64">
        <v>503</v>
      </c>
      <c r="D64" t="s">
        <v>121</v>
      </c>
      <c r="I64" t="s">
        <v>122</v>
      </c>
      <c r="R64">
        <v>-863.18</v>
      </c>
    </row>
    <row r="65" spans="1:18" x14ac:dyDescent="0.2">
      <c r="A65">
        <v>504</v>
      </c>
      <c r="D65" t="s">
        <v>123</v>
      </c>
      <c r="I65" t="s">
        <v>124</v>
      </c>
      <c r="R65">
        <v>-107.9</v>
      </c>
    </row>
    <row r="66" spans="1:18" x14ac:dyDescent="0.2">
      <c r="A66">
        <v>505</v>
      </c>
      <c r="D66" t="s">
        <v>202</v>
      </c>
      <c r="I66" t="s">
        <v>203</v>
      </c>
      <c r="R66">
        <v>-250.47</v>
      </c>
    </row>
    <row r="67" spans="1:18" x14ac:dyDescent="0.2">
      <c r="A67">
        <v>506</v>
      </c>
      <c r="D67" t="s">
        <v>204</v>
      </c>
      <c r="I67" t="s">
        <v>205</v>
      </c>
      <c r="R67">
        <v>-76.19</v>
      </c>
    </row>
    <row r="68" spans="1:18" x14ac:dyDescent="0.2">
      <c r="A68">
        <v>508</v>
      </c>
      <c r="D68" t="s">
        <v>206</v>
      </c>
      <c r="I68" t="s">
        <v>207</v>
      </c>
      <c r="R68">
        <v>-9.52</v>
      </c>
    </row>
    <row r="69" spans="1:18" x14ac:dyDescent="0.2">
      <c r="A69">
        <v>527</v>
      </c>
      <c r="D69" t="s">
        <v>208</v>
      </c>
      <c r="I69" t="s">
        <v>209</v>
      </c>
      <c r="R69" s="1">
        <v>-236.2</v>
      </c>
    </row>
    <row r="70" spans="1:18" x14ac:dyDescent="0.2">
      <c r="A70">
        <v>528</v>
      </c>
      <c r="D70" t="s">
        <v>210</v>
      </c>
      <c r="I70" t="s">
        <v>211</v>
      </c>
      <c r="R70" s="1">
        <v>-71.84</v>
      </c>
    </row>
    <row r="71" spans="1:18" x14ac:dyDescent="0.2">
      <c r="A71">
        <v>529</v>
      </c>
      <c r="D71" t="s">
        <v>212</v>
      </c>
      <c r="I71" t="s">
        <v>213</v>
      </c>
      <c r="R71" s="1">
        <v>-8.98</v>
      </c>
    </row>
    <row r="72" spans="1:18" x14ac:dyDescent="0.2">
      <c r="H72" t="s">
        <v>182</v>
      </c>
      <c r="R72" s="1">
        <v>-4390.9399999999996</v>
      </c>
    </row>
    <row r="73" spans="1:18" x14ac:dyDescent="0.2">
      <c r="A73">
        <v>710</v>
      </c>
      <c r="D73" t="s">
        <v>128</v>
      </c>
      <c r="I73" t="s">
        <v>183</v>
      </c>
      <c r="R73" s="1">
        <v>-4390.9399999999996</v>
      </c>
    </row>
    <row r="74" spans="1:18" x14ac:dyDescent="0.2">
      <c r="H74" t="s">
        <v>181</v>
      </c>
      <c r="R74" s="1">
        <v>-20241.97</v>
      </c>
    </row>
    <row r="75" spans="1:18" x14ac:dyDescent="0.2">
      <c r="A75">
        <v>247</v>
      </c>
      <c r="D75" t="s">
        <v>193</v>
      </c>
      <c r="I75" t="s">
        <v>51</v>
      </c>
      <c r="R75" s="1">
        <v>-20142.490000000002</v>
      </c>
    </row>
    <row r="76" spans="1:18" x14ac:dyDescent="0.2">
      <c r="A76">
        <v>711</v>
      </c>
      <c r="D76" t="s">
        <v>249</v>
      </c>
      <c r="I76" t="s">
        <v>30</v>
      </c>
      <c r="R76" s="1">
        <v>-99.48</v>
      </c>
    </row>
    <row r="77" spans="1:18" x14ac:dyDescent="0.2">
      <c r="H77" t="s">
        <v>130</v>
      </c>
      <c r="R77" s="1">
        <v>-205889.09</v>
      </c>
    </row>
    <row r="78" spans="1:18" x14ac:dyDescent="0.2">
      <c r="A78">
        <v>171</v>
      </c>
      <c r="D78" t="s">
        <v>131</v>
      </c>
      <c r="I78" t="s">
        <v>60</v>
      </c>
      <c r="R78" s="1">
        <v>-155052.54</v>
      </c>
    </row>
    <row r="79" spans="1:18" x14ac:dyDescent="0.2">
      <c r="A79">
        <v>245</v>
      </c>
      <c r="D79" t="s">
        <v>132</v>
      </c>
      <c r="I79" t="s">
        <v>191</v>
      </c>
      <c r="R79" s="1">
        <v>-50836.55</v>
      </c>
    </row>
    <row r="80" spans="1:18" x14ac:dyDescent="0.2">
      <c r="H80" t="s">
        <v>133</v>
      </c>
      <c r="R80" s="1">
        <v>-251780.79</v>
      </c>
    </row>
    <row r="81" spans="1:18" x14ac:dyDescent="0.2">
      <c r="I81" t="s">
        <v>7</v>
      </c>
      <c r="R81" s="1"/>
    </row>
    <row r="82" spans="1:18" x14ac:dyDescent="0.2">
      <c r="H82" t="s">
        <v>134</v>
      </c>
      <c r="R82" s="1">
        <v>-154571.72</v>
      </c>
    </row>
    <row r="83" spans="1:18" x14ac:dyDescent="0.2">
      <c r="A83">
        <v>179</v>
      </c>
      <c r="D83" t="s">
        <v>233</v>
      </c>
      <c r="I83" t="s">
        <v>234</v>
      </c>
      <c r="R83" s="1">
        <v>-13500</v>
      </c>
    </row>
    <row r="84" spans="1:18" x14ac:dyDescent="0.2">
      <c r="A84">
        <v>180</v>
      </c>
      <c r="D84" t="s">
        <v>135</v>
      </c>
      <c r="I84" t="s">
        <v>52</v>
      </c>
      <c r="R84" s="1">
        <v>-36896.89</v>
      </c>
    </row>
    <row r="85" spans="1:18" x14ac:dyDescent="0.2">
      <c r="A85">
        <v>185</v>
      </c>
      <c r="D85" t="s">
        <v>254</v>
      </c>
      <c r="I85" t="s">
        <v>235</v>
      </c>
      <c r="R85" s="1">
        <v>-10525.29</v>
      </c>
    </row>
    <row r="86" spans="1:18" x14ac:dyDescent="0.2">
      <c r="A86">
        <v>186</v>
      </c>
      <c r="D86" t="s">
        <v>187</v>
      </c>
      <c r="I86" t="s">
        <v>55</v>
      </c>
      <c r="R86" s="1">
        <v>-17022.5</v>
      </c>
    </row>
    <row r="87" spans="1:18" x14ac:dyDescent="0.2">
      <c r="A87">
        <v>187</v>
      </c>
      <c r="D87" t="s">
        <v>136</v>
      </c>
      <c r="I87" t="s">
        <v>56</v>
      </c>
      <c r="R87" s="1">
        <v>-24435.64</v>
      </c>
    </row>
    <row r="88" spans="1:18" x14ac:dyDescent="0.2">
      <c r="A88">
        <v>189</v>
      </c>
      <c r="D88" t="s">
        <v>137</v>
      </c>
      <c r="I88" t="s">
        <v>138</v>
      </c>
      <c r="R88" s="1">
        <v>-12277.53</v>
      </c>
    </row>
    <row r="89" spans="1:18" x14ac:dyDescent="0.2">
      <c r="A89">
        <v>190</v>
      </c>
      <c r="D89" t="s">
        <v>139</v>
      </c>
      <c r="I89" t="s">
        <v>140</v>
      </c>
      <c r="R89" s="1">
        <v>-5760.57</v>
      </c>
    </row>
    <row r="90" spans="1:18" x14ac:dyDescent="0.2">
      <c r="A90">
        <v>193</v>
      </c>
      <c r="D90" t="s">
        <v>143</v>
      </c>
      <c r="I90" t="s">
        <v>45</v>
      </c>
      <c r="R90" s="1">
        <v>-209.54</v>
      </c>
    </row>
    <row r="91" spans="1:18" x14ac:dyDescent="0.2">
      <c r="A91">
        <v>530</v>
      </c>
      <c r="D91" t="s">
        <v>214</v>
      </c>
      <c r="I91" t="s">
        <v>215</v>
      </c>
      <c r="R91" s="1">
        <v>-2240.1799999999998</v>
      </c>
    </row>
    <row r="92" spans="1:18" x14ac:dyDescent="0.2">
      <c r="A92">
        <v>531</v>
      </c>
      <c r="D92" t="s">
        <v>216</v>
      </c>
      <c r="I92" t="s">
        <v>217</v>
      </c>
      <c r="R92" s="1">
        <v>-730.45</v>
      </c>
    </row>
    <row r="93" spans="1:18" x14ac:dyDescent="0.2">
      <c r="A93">
        <v>195</v>
      </c>
      <c r="D93" t="s">
        <v>144</v>
      </c>
      <c r="I93" t="s">
        <v>145</v>
      </c>
      <c r="R93" s="1">
        <v>-4779</v>
      </c>
    </row>
    <row r="94" spans="1:18" x14ac:dyDescent="0.2">
      <c r="A94">
        <v>196</v>
      </c>
      <c r="D94" t="s">
        <v>146</v>
      </c>
      <c r="I94" t="s">
        <v>147</v>
      </c>
      <c r="R94" s="1">
        <v>-1453.7</v>
      </c>
    </row>
    <row r="95" spans="1:18" x14ac:dyDescent="0.2">
      <c r="A95">
        <v>197</v>
      </c>
      <c r="D95" t="s">
        <v>148</v>
      </c>
      <c r="I95" t="s">
        <v>149</v>
      </c>
      <c r="R95">
        <v>-181.71</v>
      </c>
    </row>
    <row r="96" spans="1:18" x14ac:dyDescent="0.2">
      <c r="A96">
        <v>499</v>
      </c>
      <c r="D96" t="s">
        <v>218</v>
      </c>
      <c r="I96" t="s">
        <v>219</v>
      </c>
      <c r="R96">
        <v>-22.41</v>
      </c>
    </row>
    <row r="97" spans="1:18" x14ac:dyDescent="0.2">
      <c r="A97">
        <v>500</v>
      </c>
      <c r="D97" t="s">
        <v>220</v>
      </c>
      <c r="I97" t="s">
        <v>221</v>
      </c>
      <c r="R97">
        <v>-589.15</v>
      </c>
    </row>
    <row r="98" spans="1:18" x14ac:dyDescent="0.2">
      <c r="A98">
        <v>501</v>
      </c>
      <c r="D98" t="s">
        <v>222</v>
      </c>
      <c r="I98" t="s">
        <v>223</v>
      </c>
      <c r="R98">
        <v>-179.2</v>
      </c>
    </row>
    <row r="99" spans="1:18" x14ac:dyDescent="0.2">
      <c r="A99">
        <v>522</v>
      </c>
      <c r="D99" t="s">
        <v>224</v>
      </c>
      <c r="I99" t="s">
        <v>225</v>
      </c>
      <c r="R99" s="1">
        <v>-396.1</v>
      </c>
    </row>
    <row r="100" spans="1:18" x14ac:dyDescent="0.2">
      <c r="A100">
        <v>523</v>
      </c>
      <c r="D100" t="s">
        <v>226</v>
      </c>
      <c r="I100" t="s">
        <v>227</v>
      </c>
      <c r="R100" s="1">
        <v>225.27</v>
      </c>
    </row>
    <row r="101" spans="1:18" x14ac:dyDescent="0.2">
      <c r="A101">
        <v>524</v>
      </c>
      <c r="D101" t="s">
        <v>228</v>
      </c>
      <c r="I101" t="s">
        <v>229</v>
      </c>
      <c r="R101" s="1">
        <v>-15.06</v>
      </c>
    </row>
    <row r="102" spans="1:18" x14ac:dyDescent="0.2">
      <c r="A102">
        <v>200</v>
      </c>
      <c r="D102" t="s">
        <v>150</v>
      </c>
      <c r="I102" t="s">
        <v>15</v>
      </c>
      <c r="R102" s="1">
        <v>-7026.81</v>
      </c>
    </row>
    <row r="103" spans="1:18" x14ac:dyDescent="0.2">
      <c r="A103">
        <v>201</v>
      </c>
      <c r="D103" t="s">
        <v>151</v>
      </c>
      <c r="I103" t="s">
        <v>152</v>
      </c>
      <c r="R103" s="1">
        <v>-3689.26</v>
      </c>
    </row>
    <row r="104" spans="1:18" x14ac:dyDescent="0.2">
      <c r="A104">
        <v>202</v>
      </c>
      <c r="D104" t="s">
        <v>153</v>
      </c>
      <c r="I104" t="s">
        <v>16</v>
      </c>
      <c r="R104" s="1">
        <v>-11361</v>
      </c>
    </row>
    <row r="105" spans="1:18" x14ac:dyDescent="0.2">
      <c r="A105">
        <v>203</v>
      </c>
      <c r="D105" t="s">
        <v>154</v>
      </c>
      <c r="I105" t="s">
        <v>17</v>
      </c>
      <c r="R105" s="1">
        <v>-1505</v>
      </c>
    </row>
    <row r="106" spans="1:18" x14ac:dyDescent="0.2">
      <c r="H106" t="s">
        <v>156</v>
      </c>
      <c r="R106" s="1">
        <v>-23498.33</v>
      </c>
    </row>
    <row r="107" spans="1:18" x14ac:dyDescent="0.2">
      <c r="A107">
        <v>229</v>
      </c>
      <c r="D107" t="s">
        <v>157</v>
      </c>
      <c r="I107" t="s">
        <v>28</v>
      </c>
      <c r="R107" s="1">
        <v>-23498.33</v>
      </c>
    </row>
    <row r="108" spans="1:18" x14ac:dyDescent="0.2">
      <c r="H108" t="s">
        <v>159</v>
      </c>
      <c r="R108" s="1">
        <v>-11331</v>
      </c>
    </row>
    <row r="109" spans="1:18" x14ac:dyDescent="0.2">
      <c r="A109">
        <v>214</v>
      </c>
      <c r="D109" t="s">
        <v>160</v>
      </c>
      <c r="I109" t="s">
        <v>21</v>
      </c>
      <c r="R109" s="1">
        <v>-11331</v>
      </c>
    </row>
    <row r="110" spans="1:18" x14ac:dyDescent="0.2">
      <c r="H110" t="s">
        <v>161</v>
      </c>
      <c r="R110" s="1">
        <v>-11008</v>
      </c>
    </row>
    <row r="111" spans="1:18" x14ac:dyDescent="0.2">
      <c r="A111">
        <v>217</v>
      </c>
      <c r="D111" t="s">
        <v>162</v>
      </c>
      <c r="I111" t="s">
        <v>23</v>
      </c>
      <c r="R111" s="1">
        <v>-11008</v>
      </c>
    </row>
    <row r="112" spans="1:18" x14ac:dyDescent="0.2">
      <c r="H112" t="s">
        <v>163</v>
      </c>
      <c r="R112" s="1">
        <v>-4729.3100000000004</v>
      </c>
    </row>
    <row r="113" spans="1:18" x14ac:dyDescent="0.2">
      <c r="A113">
        <v>219</v>
      </c>
      <c r="D113" t="s">
        <v>194</v>
      </c>
      <c r="I113" t="s">
        <v>49</v>
      </c>
      <c r="R113" s="1">
        <v>-3552.75</v>
      </c>
    </row>
    <row r="114" spans="1:18" x14ac:dyDescent="0.2">
      <c r="A114">
        <v>220</v>
      </c>
      <c r="D114" t="s">
        <v>164</v>
      </c>
      <c r="I114" t="s">
        <v>24</v>
      </c>
      <c r="R114" s="1">
        <v>-888.38</v>
      </c>
    </row>
    <row r="115" spans="1:18" x14ac:dyDescent="0.2">
      <c r="A115">
        <v>233</v>
      </c>
      <c r="D115" t="s">
        <v>195</v>
      </c>
      <c r="I115" t="s">
        <v>50</v>
      </c>
      <c r="R115" s="1">
        <v>-288.18</v>
      </c>
    </row>
    <row r="116" spans="1:18" x14ac:dyDescent="0.2">
      <c r="H116" t="s">
        <v>127</v>
      </c>
      <c r="R116" s="1">
        <v>-31565.07</v>
      </c>
    </row>
    <row r="117" spans="1:18" x14ac:dyDescent="0.2">
      <c r="A117">
        <v>244</v>
      </c>
      <c r="D117" t="s">
        <v>165</v>
      </c>
      <c r="I117" t="s">
        <v>34</v>
      </c>
      <c r="R117" s="1">
        <v>-31565.07</v>
      </c>
    </row>
    <row r="118" spans="1:18" x14ac:dyDescent="0.2">
      <c r="H118" t="s">
        <v>166</v>
      </c>
      <c r="R118" s="1">
        <v>-615.47</v>
      </c>
    </row>
    <row r="119" spans="1:18" x14ac:dyDescent="0.2">
      <c r="A119">
        <v>252</v>
      </c>
      <c r="D119" t="s">
        <v>167</v>
      </c>
      <c r="I119" t="s">
        <v>37</v>
      </c>
      <c r="R119">
        <v>-615.47</v>
      </c>
    </row>
    <row r="120" spans="1:18" x14ac:dyDescent="0.2">
      <c r="H120" t="s">
        <v>129</v>
      </c>
      <c r="R120" s="1">
        <v>-14461.89</v>
      </c>
    </row>
    <row r="121" spans="1:18" x14ac:dyDescent="0.2">
      <c r="A121">
        <v>215</v>
      </c>
      <c r="D121" t="s">
        <v>230</v>
      </c>
      <c r="I121" t="s">
        <v>61</v>
      </c>
      <c r="R121">
        <v>-956</v>
      </c>
    </row>
    <row r="122" spans="1:18" x14ac:dyDescent="0.2">
      <c r="A122">
        <v>225</v>
      </c>
      <c r="D122" t="s">
        <v>170</v>
      </c>
      <c r="I122" t="s">
        <v>26</v>
      </c>
      <c r="R122">
        <v>-236.89</v>
      </c>
    </row>
    <row r="123" spans="1:18" x14ac:dyDescent="0.2">
      <c r="A123">
        <v>226</v>
      </c>
      <c r="D123" t="s">
        <v>242</v>
      </c>
      <c r="I123" t="s">
        <v>243</v>
      </c>
      <c r="R123">
        <v>-286.38</v>
      </c>
    </row>
    <row r="124" spans="1:18" x14ac:dyDescent="0.2">
      <c r="A124">
        <v>227</v>
      </c>
      <c r="D124" t="s">
        <v>171</v>
      </c>
      <c r="I124" t="s">
        <v>27</v>
      </c>
      <c r="R124" s="1">
        <v>-662.48</v>
      </c>
    </row>
    <row r="125" spans="1:18" x14ac:dyDescent="0.2">
      <c r="A125">
        <v>231</v>
      </c>
      <c r="D125" t="s">
        <v>172</v>
      </c>
      <c r="I125" t="s">
        <v>29</v>
      </c>
      <c r="R125" s="1">
        <v>-391.99</v>
      </c>
    </row>
    <row r="126" spans="1:18" x14ac:dyDescent="0.2">
      <c r="A126">
        <v>238</v>
      </c>
      <c r="D126" t="s">
        <v>174</v>
      </c>
      <c r="I126" t="s">
        <v>33</v>
      </c>
      <c r="R126" s="1">
        <v>-1050.81</v>
      </c>
    </row>
    <row r="127" spans="1:18" x14ac:dyDescent="0.2">
      <c r="A127">
        <v>243</v>
      </c>
      <c r="D127" t="s">
        <v>175</v>
      </c>
      <c r="I127" t="s">
        <v>176</v>
      </c>
      <c r="R127" s="1">
        <v>-5759.4</v>
      </c>
    </row>
    <row r="128" spans="1:18" x14ac:dyDescent="0.2">
      <c r="A128">
        <v>251</v>
      </c>
      <c r="D128" t="s">
        <v>177</v>
      </c>
      <c r="I128" t="s">
        <v>36</v>
      </c>
      <c r="R128" s="1">
        <v>-0.17</v>
      </c>
    </row>
    <row r="129" spans="1:18" x14ac:dyDescent="0.2">
      <c r="A129">
        <v>263</v>
      </c>
      <c r="D129" t="s">
        <v>179</v>
      </c>
      <c r="I129" t="s">
        <v>43</v>
      </c>
      <c r="R129" s="1">
        <v>-5117.7700000000004</v>
      </c>
    </row>
    <row r="130" spans="1:18" x14ac:dyDescent="0.2">
      <c r="H130" t="s">
        <v>180</v>
      </c>
      <c r="R130" s="1">
        <v>252191.35999999999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84"/>
  <sheetViews>
    <sheetView showGridLines="0" tabSelected="1" topLeftCell="A9" zoomScaleNormal="100" workbookViewId="0">
      <selection activeCell="K27" sqref="K27"/>
    </sheetView>
  </sheetViews>
  <sheetFormatPr baseColWidth="10" defaultColWidth="9.1640625" defaultRowHeight="15" x14ac:dyDescent="0.2"/>
  <cols>
    <col min="5" max="8" width="9.1640625" customWidth="1"/>
    <col min="9" max="19" width="10.83203125" customWidth="1"/>
    <col min="20" max="20" width="11.6640625" bestFit="1" customWidth="1"/>
    <col min="21" max="21" width="11.6640625" customWidth="1"/>
    <col min="22" max="23" width="11.6640625" bestFit="1" customWidth="1"/>
    <col min="24" max="24" width="9.83203125" customWidth="1"/>
    <col min="25" max="25" width="12.5" customWidth="1"/>
    <col min="26" max="26" width="12.5" hidden="1" customWidth="1"/>
  </cols>
  <sheetData>
    <row r="1" spans="1:26" x14ac:dyDescent="0.2">
      <c r="A1" s="12" t="s">
        <v>0</v>
      </c>
      <c r="D1" s="12" t="s">
        <v>1</v>
      </c>
      <c r="X1" t="s">
        <v>2</v>
      </c>
      <c r="Y1" s="13">
        <v>1</v>
      </c>
    </row>
    <row r="2" spans="1:26" x14ac:dyDescent="0.2">
      <c r="A2" t="s">
        <v>3</v>
      </c>
      <c r="D2" s="12" t="s">
        <v>4</v>
      </c>
    </row>
    <row r="4" spans="1:26" x14ac:dyDescent="0.2">
      <c r="A4" s="12" t="s">
        <v>64</v>
      </c>
    </row>
    <row r="6" spans="1:26" x14ac:dyDescent="0.2">
      <c r="A6" t="s">
        <v>5</v>
      </c>
      <c r="I6" s="15">
        <v>45658</v>
      </c>
      <c r="J6" s="15">
        <v>45689</v>
      </c>
      <c r="K6" s="15">
        <v>45717</v>
      </c>
      <c r="L6" s="15">
        <v>45748</v>
      </c>
      <c r="M6" s="15">
        <v>45778</v>
      </c>
      <c r="N6" s="15">
        <v>45809</v>
      </c>
      <c r="O6" s="15">
        <v>45839</v>
      </c>
      <c r="P6" s="15">
        <v>45870</v>
      </c>
      <c r="Q6" s="15">
        <v>45901</v>
      </c>
      <c r="R6" s="15">
        <v>45931</v>
      </c>
      <c r="S6" s="15">
        <v>45962</v>
      </c>
      <c r="T6" s="15">
        <v>45992</v>
      </c>
      <c r="U6" s="17"/>
      <c r="V6" s="15">
        <v>46023</v>
      </c>
      <c r="W6" s="15">
        <v>46054</v>
      </c>
      <c r="Y6" s="16">
        <v>2026</v>
      </c>
    </row>
    <row r="7" spans="1:26" x14ac:dyDescent="0.2">
      <c r="A7" s="7" t="s">
        <v>67</v>
      </c>
      <c r="B7" s="7"/>
      <c r="C7" s="7"/>
      <c r="D7" s="7"/>
      <c r="E7" s="7"/>
      <c r="F7" s="7"/>
      <c r="G7" s="7"/>
      <c r="H7" s="7"/>
      <c r="I7" s="8">
        <f>SUMIF(Planilha1!$H$1:$H$110,A7,Planilha1!$R$1:$R$150)</f>
        <v>495905.57</v>
      </c>
      <c r="J7" s="8">
        <f>SUMIF(Planilha2!$H$1:$H$110,A7,Planilha2!$R$1:$R$150)</f>
        <v>418702.3</v>
      </c>
      <c r="K7" s="8">
        <f>SUMIF(Planilha3!$H$1:$H$110,A7,Planilha3!$R$1:$R$150)</f>
        <v>467954.66</v>
      </c>
      <c r="L7" s="8">
        <f>SUMIF(Planilha4!$H$1:$H$110,A7,Planilha4!$R$1:$R$150)</f>
        <v>388073.88</v>
      </c>
      <c r="M7" s="8">
        <f>SUMIF(Planilha5!$H$1:$H$110,A7,Planilha5!$R$1:$R$150)</f>
        <v>503039.55</v>
      </c>
      <c r="N7" s="8">
        <f>SUMIF(Planilha6!$H$1:$H$110,A7,Planilha6!$R$1:$R$150)</f>
        <v>347333.52</v>
      </c>
      <c r="O7" s="8">
        <f>SUMIF(Planilha7!$H$1:$H$110,A7,Planilha7!$R$1:$R$150)</f>
        <v>316622.52</v>
      </c>
      <c r="P7" s="8">
        <f>SUMIF(Planilha8!$H$1:$H$110,A7,Planilha8!$R$1:$R$150)</f>
        <v>393480.25</v>
      </c>
      <c r="Q7" s="8">
        <f>SUMIF(Planilha9!$H$1:$H$110,A7,Planilha9!$R$1:$R$150)</f>
        <v>365887.99</v>
      </c>
      <c r="R7" s="8">
        <f>SUMIF(Planilha10!$H$1:$H$110,A7,Planilha10!$R$1:$R$150)</f>
        <v>581307.37</v>
      </c>
      <c r="S7" s="8">
        <f>SUMIF(Planilha11!$H$1:$H$110,A7,Planilha11!$R$1:$R$150)</f>
        <v>721066.96</v>
      </c>
      <c r="T7" s="8">
        <f>SUMIF(Planilha12!$H$1:$H$110,A7,Planilha12!$R$1:$R$150)</f>
        <v>891397.91</v>
      </c>
      <c r="U7" s="18"/>
      <c r="V7" s="8">
        <f>SUMIF(Planilha13!$H$1:$H$110,A7,Planilha13!$R$1:$R$150)</f>
        <v>689636.36</v>
      </c>
      <c r="W7" s="8">
        <f>SUMIF(Planilha14!$H$1:$H$110,A7,Planilha14!$R$1:$R$150)</f>
        <v>532921.71</v>
      </c>
      <c r="X7" s="10"/>
      <c r="Y7" s="8">
        <f>SUMIF('2026'!$H$1:$H$110,A7,'2026'!$R$1:$R$150)</f>
        <v>1222558.07</v>
      </c>
      <c r="Z7" s="1">
        <f>SUM(V7:W7)-Y7</f>
        <v>0</v>
      </c>
    </row>
    <row r="8" spans="1:26" x14ac:dyDescent="0.2">
      <c r="A8" s="3"/>
      <c r="B8" s="3" t="s">
        <v>69</v>
      </c>
      <c r="C8" s="3"/>
      <c r="D8" s="3"/>
      <c r="E8" s="3"/>
      <c r="F8" s="3"/>
      <c r="G8" s="3"/>
      <c r="H8" s="3"/>
      <c r="I8" s="11">
        <f>SUMIF(Planilha1!$I$1:$I$150,B8,Planilha1!$R$1:RL$150)</f>
        <v>254042.11</v>
      </c>
      <c r="J8" s="11">
        <f>SUMIF(Planilha2!$I$1:$I$150,B8,Planilha2!$R$1:RM$150)</f>
        <v>164622.6</v>
      </c>
      <c r="K8" s="11">
        <f>SUMIF(Planilha3!$I$1:$I$150,B8,Planilha3!$R$1:RN$150)</f>
        <v>193567.41</v>
      </c>
      <c r="L8" s="11">
        <f>SUMIF(Planilha4!$I$1:$I$150,B8,Planilha4!$R$1:RO$150)</f>
        <v>132575.25</v>
      </c>
      <c r="M8" s="11">
        <f>SUMIF(Planilha5!$I$1:$I$150,B8,Planilha5!$R$1:RP$150)</f>
        <v>219556.41</v>
      </c>
      <c r="N8" s="11">
        <f>SUMIF(Planilha6!$I$1:$I$150,B8,Planilha6!$R$1:RQ$150)</f>
        <v>60852.57</v>
      </c>
      <c r="O8" s="11">
        <f>SUMIF(Planilha7!$I$1:$I$150,B8,Planilha7!$R$1:RR$150)</f>
        <v>60934.28</v>
      </c>
      <c r="P8" s="11">
        <f>SUMIF(Planilha8!$I$1:$I$150,B8,Planilha8!$R$1:RS$150)</f>
        <v>67772.31</v>
      </c>
      <c r="Q8" s="11">
        <f>SUMIF(Planilha9!$I$1:$I$150,B8,Planilha9!$R$1:RT$150)</f>
        <v>119355.57</v>
      </c>
      <c r="R8" s="11">
        <f>SUMIF(Planilha10!$I$1:$I$150,B8,Planilha10!$R$1:RU$150)</f>
        <v>103628.97</v>
      </c>
      <c r="S8" s="11">
        <f>SUMIF(Planilha11!$I$1:$I$150,B8,Planilha11!$R$1:RV$150)</f>
        <v>81748.929999999993</v>
      </c>
      <c r="T8" s="11">
        <f>SUMIF(Planilha12!$I$1:$I$150,B8,Planilha12!$R$1:RW$150)</f>
        <v>302775.76</v>
      </c>
      <c r="U8" s="11"/>
      <c r="V8" s="11">
        <f>SUMIF(Planilha13!$I$1:$I$150,B8,Planilha13!$R$1:RY$150)</f>
        <v>296951.19</v>
      </c>
      <c r="W8" s="11">
        <f>SUMIF(Planilha14!$I$1:$I$150,B8,Planilha14!$R$1:RZ$150)</f>
        <v>196602.12</v>
      </c>
      <c r="X8" s="11"/>
      <c r="Y8" s="11">
        <f>SUMIF('2026'!$I$1:$I$150,B8,'2026'!$R$1:RQ$150)</f>
        <v>493553.31</v>
      </c>
      <c r="Z8" s="1">
        <f t="shared" ref="Z8:Z56" si="0">SUM(V8:W8)-Y8</f>
        <v>0</v>
      </c>
    </row>
    <row r="9" spans="1:26" x14ac:dyDescent="0.2">
      <c r="B9" t="s">
        <v>71</v>
      </c>
      <c r="I9" s="1">
        <f>SUMIF(Planilha1!$I$1:$I$150,B9,Planilha1!$R$1:RL$150)</f>
        <v>163266.31</v>
      </c>
      <c r="J9" s="1">
        <f>SUMIF(Planilha2!$I$1:$I$150,B9,Planilha2!$R$1:RM$150)</f>
        <v>128055.93</v>
      </c>
      <c r="K9" s="1">
        <f>SUMIF(Planilha3!$I$1:$I$150,B9,Planilha3!$R$1:RN$150)</f>
        <v>164134.17000000001</v>
      </c>
      <c r="L9" s="1">
        <f>SUMIF(Planilha4!$I$1:$I$150,B9,Planilha4!$R$1:RO$150)</f>
        <v>161518.87</v>
      </c>
      <c r="M9" s="1">
        <f>SUMIF(Planilha5!$I$1:$I$150,B9,Planilha5!$R$1:RP$150)</f>
        <v>167517.93</v>
      </c>
      <c r="N9" s="1">
        <f>SUMIF(Planilha6!$I$1:$I$150,B9,Planilha6!$R$1:RQ$150)</f>
        <v>173821.57</v>
      </c>
      <c r="O9" s="1">
        <f>SUMIF(Planilha7!$I$1:$I$150,B9,Planilha7!$R$1:RR$150)</f>
        <v>158614.03</v>
      </c>
      <c r="P9" s="1">
        <f>SUMIF(Planilha8!$I$1:$I$150,B9,Planilha8!$R$1:RS$150)</f>
        <v>183185.27</v>
      </c>
      <c r="Q9" s="1">
        <f>SUMIF(Planilha9!$I$1:$I$150,B9,Planilha9!$R$1:RT$150)</f>
        <v>128905.32</v>
      </c>
      <c r="R9" s="1">
        <f>SUMIF(Planilha10!$I$1:$I$150,B9,Planilha10!$R$1:RU$150)</f>
        <v>362077.95</v>
      </c>
      <c r="S9" s="1">
        <f>SUMIF(Planilha11!$I$1:$I$150,B9,Planilha11!$R$1:RV$150)</f>
        <v>337371.61</v>
      </c>
      <c r="T9" s="1">
        <f>SUMIF(Planilha12!$I$1:$I$150,B9,Planilha12!$R$1:RW$150)</f>
        <v>451807.46</v>
      </c>
      <c r="U9" s="1"/>
      <c r="V9" s="1">
        <f>SUMIF(Planilha13!$I$1:$I$150,B9,Planilha13!$R$1:RY$150)</f>
        <v>301545.84999999998</v>
      </c>
      <c r="W9" s="1">
        <f>SUMIF(Planilha14!$I$1:$I$150,B9,Planilha14!$R$1:RZ$150)</f>
        <v>211081.53</v>
      </c>
      <c r="X9" s="1"/>
      <c r="Y9" s="1">
        <f>SUMIF('2026'!$I$1:$I$150,B9,'2026'!$R$1:RQ$150)</f>
        <v>512627.38</v>
      </c>
      <c r="Z9" s="1">
        <f t="shared" si="0"/>
        <v>0</v>
      </c>
    </row>
    <row r="10" spans="1:26" x14ac:dyDescent="0.2">
      <c r="A10" s="3"/>
      <c r="B10" s="3" t="s">
        <v>185</v>
      </c>
      <c r="C10" s="3"/>
      <c r="D10" s="3"/>
      <c r="E10" s="3"/>
      <c r="F10" s="3"/>
      <c r="G10" s="3"/>
      <c r="H10" s="3"/>
      <c r="I10" s="11">
        <f>SUMIF(Planilha1!$I$1:$I$150,B10,Planilha1!$R$1:RL$150)</f>
        <v>0</v>
      </c>
      <c r="J10" s="11">
        <f>SUMIF(Planilha2!$I$1:$I$150,B10,Planilha2!$R$1:RM$150)</f>
        <v>47047.21</v>
      </c>
      <c r="K10" s="11">
        <f>SUMIF(Planilha3!$I$1:$I$150,B10,Planilha3!$R$1:RN$150)</f>
        <v>20118.810000000001</v>
      </c>
      <c r="L10" s="11">
        <f>SUMIF(Planilha4!$I$1:$I$150,B10,Planilha4!$R$1:RO$150)</f>
        <v>1613.05</v>
      </c>
      <c r="M10" s="11">
        <f>SUMIF(Planilha5!$I$1:$I$150,B10,Planilha5!$R$1:RP$150)</f>
        <v>2953.61</v>
      </c>
      <c r="N10" s="11">
        <f>SUMIF(Planilha6!$I$1:$I$150,B10,Planilha6!$R$1:RQ$150)</f>
        <v>4466.5</v>
      </c>
      <c r="O10" s="11">
        <f>SUMIF(Planilha7!$I$1:$I$150,B10,Planilha7!$R$1:RR$150)</f>
        <v>193.79</v>
      </c>
      <c r="P10" s="11">
        <f>SUMIF(Planilha8!$I$1:$I$150,B10,Planilha8!$R$1:RS$150)</f>
        <v>5920.9</v>
      </c>
      <c r="Q10" s="11">
        <f>SUMIF(Planilha9!$I$1:$I$150,B10,Planilha9!$R$1:RT$150)</f>
        <v>2022.62</v>
      </c>
      <c r="R10" s="11">
        <f>SUMIF(Planilha10!$I$1:$I$150,B10,Planilha10!$R$1:RU$150)</f>
        <v>0</v>
      </c>
      <c r="S10" s="11">
        <f>SUMIF(Planilha11!$I$1:$I$150,B10,Planilha11!$R$1:RV$150)</f>
        <v>139352.76</v>
      </c>
      <c r="T10" s="11">
        <f>SUMIF(Planilha12!$I$1:$I$150,B10,Planilha12!$R$1:RW$150)</f>
        <v>0</v>
      </c>
      <c r="U10" s="11"/>
      <c r="V10" s="11">
        <f>SUMIF(Planilha13!$I$1:$I$150,B10,Planilha13!$R$1:RY$150)</f>
        <v>0</v>
      </c>
      <c r="W10" s="11">
        <f>SUMIF(Planilha14!$I$1:$I$150,B10,Planilha14!$R$1:RZ$150)</f>
        <v>2312.6999999999998</v>
      </c>
      <c r="X10" s="11"/>
      <c r="Y10" s="11">
        <f>SUMIF('2026'!$I$1:$I$150,B10,'2026'!$R$1:RQ$150)</f>
        <v>2312.6999999999998</v>
      </c>
      <c r="Z10" s="1">
        <f t="shared" si="0"/>
        <v>0</v>
      </c>
    </row>
    <row r="11" spans="1:26" x14ac:dyDescent="0.2">
      <c r="B11" t="s">
        <v>73</v>
      </c>
      <c r="I11" s="1">
        <f>SUMIF(Planilha1!$I$1:$I$150,B11,Planilha1!$R$1:RL$150)</f>
        <v>78597.149999999994</v>
      </c>
      <c r="J11" s="1">
        <f>SUMIF(Planilha2!$I$1:$I$150,B11,Planilha2!$R$1:RM$150)</f>
        <v>78976.56</v>
      </c>
      <c r="K11" s="1">
        <f>SUMIF(Planilha3!$I$1:$I$150,B11,Planilha3!$R$1:RN$150)</f>
        <v>90134.27</v>
      </c>
      <c r="L11" s="1">
        <f>SUMIF(Planilha4!$I$1:$I$150,B11,Planilha4!$R$1:RO$150)</f>
        <v>92366.71</v>
      </c>
      <c r="M11" s="1">
        <f>SUMIF(Planilha5!$I$1:$I$150,B11,Planilha5!$R$1:RP$150)</f>
        <v>113011.6</v>
      </c>
      <c r="N11" s="1">
        <f>SUMIF(Planilha6!$I$1:$I$150,B11,Planilha6!$R$1:RQ$150)</f>
        <v>108192.88</v>
      </c>
      <c r="O11" s="1">
        <f>SUMIF(Planilha7!$I$1:$I$150,B11,Planilha7!$R$1:RR$150)</f>
        <v>96573.67</v>
      </c>
      <c r="P11" s="1">
        <f>SUMIF(Planilha8!$I$1:$I$150,B11,Planilha8!$R$1:RS$150)</f>
        <v>132362.67000000001</v>
      </c>
      <c r="Q11" s="1">
        <f>SUMIF(Planilha9!$I$1:$I$150,B11,Planilha9!$R$1:RT$150)</f>
        <v>108371.46</v>
      </c>
      <c r="R11" s="1">
        <f>SUMIF(Planilha10!$I$1:$I$150,B11,Planilha10!$R$1:RU$150)</f>
        <v>114754.37</v>
      </c>
      <c r="S11" s="1">
        <f>SUMIF(Planilha11!$I$1:$I$150,B11,Planilha11!$R$1:RV$150)</f>
        <v>159575.85</v>
      </c>
      <c r="T11" s="1">
        <f>SUMIF(Planilha12!$I$1:$I$150,B11,Planilha12!$R$1:RW$150)</f>
        <v>135979.09</v>
      </c>
      <c r="U11" s="1"/>
      <c r="V11" s="1">
        <f>SUMIF(Planilha13!$I$1:$I$150,B11,Planilha13!$R$1:RY$150)</f>
        <v>90172.44</v>
      </c>
      <c r="W11" s="1">
        <f>SUMIF(Planilha14!$I$1:$I$150,B11,Planilha14!$R$1:RZ$150)</f>
        <v>121460.56</v>
      </c>
      <c r="X11" s="1"/>
      <c r="Y11" s="1">
        <f>SUMIF('2026'!$I$1:$I$150,B11,'2026'!$R$1:RQ$150)</f>
        <v>211633</v>
      </c>
      <c r="Z11" s="1">
        <f t="shared" si="0"/>
        <v>0</v>
      </c>
    </row>
    <row r="12" spans="1:26" x14ac:dyDescent="0.2">
      <c r="A12" s="3"/>
      <c r="B12" s="3" t="s">
        <v>245</v>
      </c>
      <c r="C12" s="3"/>
      <c r="D12" s="3"/>
      <c r="E12" s="3"/>
      <c r="F12" s="3"/>
      <c r="G12" s="3"/>
      <c r="H12" s="3"/>
      <c r="I12" s="11">
        <f>SUMIF(Planilha1!$I$1:$I$150,B12,Planilha1!$R$1:RL$150)</f>
        <v>0</v>
      </c>
      <c r="J12" s="11">
        <f>SUMIF(Planilha2!$I$1:$I$150,B12,Planilha2!$R$1:RM$150)</f>
        <v>0</v>
      </c>
      <c r="K12" s="11">
        <f>SUMIF(Planilha3!$I$1:$I$150,B12,Planilha3!$R$1:RN$150)</f>
        <v>0</v>
      </c>
      <c r="L12" s="11">
        <f>SUMIF(Planilha4!$I$1:$I$150,B12,Planilha4!$R$1:RO$150)</f>
        <v>0</v>
      </c>
      <c r="M12" s="11">
        <f>SUMIF(Planilha5!$I$1:$I$150,B12,Planilha5!$R$1:RP$150)</f>
        <v>0</v>
      </c>
      <c r="N12" s="11">
        <f>SUMIF(Planilha6!$I$1:$I$150,B12,Planilha6!$R$1:RQ$150)</f>
        <v>0</v>
      </c>
      <c r="O12" s="11">
        <f>SUMIF(Planilha7!$I$1:$I$150,B12,Planilha7!$R$1:RR$150)</f>
        <v>306.75</v>
      </c>
      <c r="P12" s="11">
        <f>SUMIF(Planilha8!$I$1:$I$150,B12,Planilha8!$R$1:RS$150)</f>
        <v>4239.1000000000004</v>
      </c>
      <c r="Q12" s="11">
        <f>SUMIF(Planilha9!$I$1:$I$150,B12,Planilha9!$R$1:RT$150)</f>
        <v>7233.02</v>
      </c>
      <c r="R12" s="11">
        <f>SUMIF(Planilha10!$I$1:$I$150,B12,Planilha10!$R$1:RU$150)</f>
        <v>846.08</v>
      </c>
      <c r="S12" s="11">
        <f>SUMIF(Planilha11!$I$1:$I$150,B12,Planilha11!$R$1:RV$150)</f>
        <v>3017.81</v>
      </c>
      <c r="T12" s="11">
        <f>SUMIF(Planilha12!$I$1:$I$150,B12,Planilha12!$R$1:RW$150)</f>
        <v>835.6</v>
      </c>
      <c r="U12" s="11"/>
      <c r="V12" s="11">
        <f>SUMIF(Planilha13!$I$1:$I$150,B12,Planilha13!$R$1:RY$150)</f>
        <v>966.88</v>
      </c>
      <c r="W12" s="11">
        <f>SUMIF(Planilha14!$I$1:$I$150,B12,Planilha14!$R$1:RZ$150)</f>
        <v>1464.8</v>
      </c>
      <c r="X12" s="11"/>
      <c r="Y12" s="11">
        <f>SUMIF('2026'!$I$1:$I$150,B12,'2026'!$R$1:RQ$150)</f>
        <v>2431.6799999999998</v>
      </c>
      <c r="Z12" s="1">
        <f t="shared" si="0"/>
        <v>0</v>
      </c>
    </row>
    <row r="13" spans="1:26" x14ac:dyDescent="0.2">
      <c r="A13" s="7" t="s">
        <v>74</v>
      </c>
      <c r="B13" s="7"/>
      <c r="C13" s="9"/>
      <c r="D13" s="9"/>
      <c r="E13" s="9"/>
      <c r="F13" s="7"/>
      <c r="G13" s="7"/>
      <c r="H13" s="7"/>
      <c r="I13" s="8">
        <f>SUMIF(Planilha1!$H$1:$H$110,A13,Planilha1!$R$1:$R$150)</f>
        <v>13298.19</v>
      </c>
      <c r="J13" s="8">
        <f>SUMIF(Planilha2!$H$1:$H$110,A13,Planilha2!$R$1:$R$150)</f>
        <v>4630.01</v>
      </c>
      <c r="K13" s="8">
        <f>SUMIF(Planilha3!$H$1:$H$110,A13,Planilha3!$R$1:$R$150)</f>
        <v>28379.02</v>
      </c>
      <c r="L13" s="8">
        <f>SUMIF(Planilha4!$H$1:$H$110,A13,Planilha4!$R$1:$R$150)</f>
        <v>22410.2</v>
      </c>
      <c r="M13" s="8">
        <f>SUMIF(Planilha5!$H$1:$H$110,A13,Planilha5!$R$1:$R$150)</f>
        <v>14548.79</v>
      </c>
      <c r="N13" s="8">
        <f>SUMIF(Planilha6!$H$1:$H$110,A13,Planilha6!$R$1:$R$150)</f>
        <v>32617.49</v>
      </c>
      <c r="O13" s="8">
        <f>SUMIF(Planilha7!$H$1:$H$110,A13,Planilha7!$R$1:$R$150)</f>
        <v>52521.49</v>
      </c>
      <c r="P13" s="8">
        <f>SUMIF(Planilha8!$H$1:$H$110,A13,Planilha8!$R$1:$R$150)</f>
        <v>102348.89</v>
      </c>
      <c r="Q13" s="8">
        <f>SUMIF(Planilha9!$H$1:$H$110,A13,Planilha9!$R$1:$R$150)</f>
        <v>76825.929999999993</v>
      </c>
      <c r="R13" s="8">
        <f>SUMIF(Planilha10!$H$1:$H$110,A13,Planilha10!$R$1:$R$150)</f>
        <v>66278.899999999994</v>
      </c>
      <c r="S13" s="8">
        <f>SUMIF(Planilha11!$H$1:$H$110,A13,Planilha11!$R$1:$R$150)</f>
        <v>97895.65</v>
      </c>
      <c r="T13" s="8">
        <f>SUMIF(Planilha12!$H$1:$H$110,A13,Planilha12!$R$1:$R$150)</f>
        <v>217313.13</v>
      </c>
      <c r="U13" s="18"/>
      <c r="V13" s="8">
        <f>SUMIF(Planilha13!$H$1:$H$110,A13,Planilha13!$R$1:$R$150)</f>
        <v>191702.95</v>
      </c>
      <c r="W13" s="8">
        <f>SUMIF(Planilha14!$H$1:$H$110,A13,Planilha14!$R$1:$R$150)</f>
        <v>115473.06</v>
      </c>
      <c r="X13" s="10"/>
      <c r="Y13" s="8">
        <f>SUMIF('2026'!$H$1:$H$110,A13,'2026'!$R$1:$R$150)</f>
        <v>307176.01</v>
      </c>
      <c r="Z13" s="1">
        <f t="shared" si="0"/>
        <v>0</v>
      </c>
    </row>
    <row r="14" spans="1:26" x14ac:dyDescent="0.2">
      <c r="B14" t="s">
        <v>76</v>
      </c>
      <c r="C14" s="6"/>
      <c r="D14" s="6"/>
      <c r="E14" s="6"/>
      <c r="I14" s="1">
        <f>SUMIF(Planilha1!$I$1:$I$150,B14,Planilha1!$R$1:RL$150)</f>
        <v>11612.4</v>
      </c>
      <c r="J14" s="1">
        <f>SUMIF(Planilha2!$I$1:$I$150,B14,Planilha2!$R$1:RM$150)</f>
        <v>1393.5</v>
      </c>
      <c r="K14" s="1">
        <f>SUMIF(Planilha3!$I$1:$I$150,B14,Planilha3!$R$1:RN$150)</f>
        <v>22701.73</v>
      </c>
      <c r="L14" s="1">
        <f>SUMIF(Planilha4!$I$1:$I$150,B14,Planilha4!$R$1:RO$150)</f>
        <v>19863</v>
      </c>
      <c r="M14" s="1">
        <f>SUMIF(Planilha5!$I$1:$I$150,B14,Planilha5!$R$1:RP$150)</f>
        <v>11019.65</v>
      </c>
      <c r="N14" s="1">
        <f>SUMIF(Planilha6!$I$1:$I$150,B14,Planilha6!$R$1:RQ$150)</f>
        <v>11271.66</v>
      </c>
      <c r="O14" s="1">
        <f>SUMIF(Planilha7!$I$1:$I$150,B14,Planilha7!$R$1:RR$150)</f>
        <v>5295.83</v>
      </c>
      <c r="P14" s="1">
        <f>SUMIF(Planilha8!$I$1:$I$150,B14,Planilha8!$R$1:RS$150)</f>
        <v>12708.58</v>
      </c>
      <c r="Q14" s="1">
        <f>SUMIF(Planilha9!$I$1:$I$150,B14,Planilha9!$R$1:RT$150)</f>
        <v>14195.45</v>
      </c>
      <c r="R14" s="1">
        <f>SUMIF(Planilha10!$I$1:$I$150,B14,Planilha10!$R$1:RU$150)</f>
        <v>23873.87</v>
      </c>
      <c r="S14" s="1">
        <f>SUMIF(Planilha11!$I$1:$I$150,B14,Planilha11!$R$1:RV$150)</f>
        <v>43014.559999999998</v>
      </c>
      <c r="T14" s="1">
        <f>SUMIF(Planilha12!$I$1:$I$150,B14,Planilha12!$R$1:RW$150)</f>
        <v>62324.86</v>
      </c>
      <c r="U14" s="1"/>
      <c r="V14" s="1">
        <f>SUMIF(Planilha13!$I$1:$I$150,B14,Planilha13!$R$1:RY$150)</f>
        <v>74979.08</v>
      </c>
      <c r="W14" s="1">
        <f>SUMIF(Planilha14!$I$1:$I$150,B14,Planilha14!$R$1:RZ$150)</f>
        <v>26276.33</v>
      </c>
      <c r="X14" s="1"/>
      <c r="Y14" s="1">
        <f>SUMIF('2026'!$I$1:$I$150,B14,'2026'!$R$1:RQ$150)</f>
        <v>101255.41</v>
      </c>
      <c r="Z14" s="1">
        <f t="shared" si="0"/>
        <v>0</v>
      </c>
    </row>
    <row r="15" spans="1:26" x14ac:dyDescent="0.2">
      <c r="A15" s="3"/>
      <c r="B15" s="3" t="s">
        <v>248</v>
      </c>
      <c r="C15" s="5"/>
      <c r="D15" s="5"/>
      <c r="E15" s="5"/>
      <c r="F15" s="3"/>
      <c r="G15" s="3"/>
      <c r="H15" s="3"/>
      <c r="I15" s="11">
        <f>SUMIF(Planilha1!$I$1:$I$150,B15,Planilha1!$R$1:RL$150)</f>
        <v>0</v>
      </c>
      <c r="J15" s="11">
        <f>SUMIF(Planilha2!$I$1:$I$150,B15,Planilha2!$R$1:RM$150)</f>
        <v>0</v>
      </c>
      <c r="K15" s="11">
        <f>SUMIF(Planilha3!$I$1:$I$150,B15,Planilha3!$R$1:RN$150)</f>
        <v>0</v>
      </c>
      <c r="L15" s="11">
        <f>SUMIF(Planilha4!$I$1:$I$150,B15,Planilha4!$R$1:RO$150)</f>
        <v>0</v>
      </c>
      <c r="M15" s="11">
        <f>SUMIF(Planilha5!$I$1:$I$150,B15,Planilha5!$R$1:RP$150)</f>
        <v>0</v>
      </c>
      <c r="N15" s="11">
        <f>SUMIF(Planilha6!$I$1:$I$150,B15,Planilha6!$R$1:RQ$150)</f>
        <v>0</v>
      </c>
      <c r="O15" s="11">
        <f>SUMIF(Planilha7!$I$1:$I$150,B15,Planilha7!$R$1:RR$150)</f>
        <v>0</v>
      </c>
      <c r="P15" s="11">
        <f>SUMIF(Planilha8!$I$1:$I$150,B15,Planilha8!$R$1:RS$150)</f>
        <v>5694</v>
      </c>
      <c r="Q15" s="11">
        <f>SUMIF(Planilha9!$I$1:$I$150,B15,Planilha9!$R$1:RT$150)</f>
        <v>3145.7</v>
      </c>
      <c r="R15" s="11">
        <f>SUMIF(Planilha10!$I$1:$I$150,B15,Planilha10!$R$1:RU$150)</f>
        <v>3145.7</v>
      </c>
      <c r="S15" s="11">
        <f>SUMIF(Planilha11!$I$1:$I$150,B15,Planilha11!$R$1:RV$150)</f>
        <v>1229.0999999999999</v>
      </c>
      <c r="T15" s="11">
        <f>SUMIF(Planilha12!$I$1:$I$150,B15,Planilha12!$R$1:RW$150)</f>
        <v>2091</v>
      </c>
      <c r="U15" s="11"/>
      <c r="V15" s="11">
        <f>SUMIF(Planilha13!$I$1:$I$150,B15,Planilha13!$R$1:RY$150)</f>
        <v>5813.6</v>
      </c>
      <c r="W15" s="11">
        <f>SUMIF(Planilha14!$I$1:$I$150,B15,Planilha14!$R$1:RZ$150)</f>
        <v>4352.8999999999996</v>
      </c>
      <c r="X15" s="11"/>
      <c r="Y15" s="11">
        <f>SUMIF('2026'!$I$1:$I$150,B15,'2026'!$R$1:RQ$150)</f>
        <v>10166.5</v>
      </c>
      <c r="Z15" s="1">
        <f t="shared" si="0"/>
        <v>0</v>
      </c>
    </row>
    <row r="16" spans="1:26" x14ac:dyDescent="0.2">
      <c r="B16" t="s">
        <v>78</v>
      </c>
      <c r="C16" s="6"/>
      <c r="D16" s="6"/>
      <c r="E16" s="6"/>
      <c r="I16" s="1">
        <f>SUMIF(Planilha1!$I$1:$I$150,B16,Planilha1!$R$1:RL$150)</f>
        <v>1685.79</v>
      </c>
      <c r="J16" s="1">
        <f>SUMIF(Planilha2!$I$1:$I$150,B16,Planilha2!$R$1:RM$150)</f>
        <v>3236.51</v>
      </c>
      <c r="K16" s="1">
        <f>SUMIF(Planilha3!$I$1:$I$150,B16,Planilha3!$R$1:RN$150)</f>
        <v>5677.29</v>
      </c>
      <c r="L16" s="1">
        <f>SUMIF(Planilha4!$I$1:$I$150,B16,Planilha4!$R$1:RO$150)</f>
        <v>2547.1999999999998</v>
      </c>
      <c r="M16" s="1">
        <f>SUMIF(Planilha5!$I$1:$I$150,B16,Planilha5!$R$1:RP$150)</f>
        <v>3529.14</v>
      </c>
      <c r="N16" s="1">
        <f>SUMIF(Planilha6!$I$1:$I$150,B16,Planilha6!$R$1:RQ$150)</f>
        <v>18965.25</v>
      </c>
      <c r="O16" s="1">
        <f>SUMIF(Planilha7!$I$1:$I$150,B16,Planilha7!$R$1:RR$150)</f>
        <v>26286.41</v>
      </c>
      <c r="P16" s="1">
        <f>SUMIF(Planilha8!$I$1:$I$150,B16,Planilha8!$R$1:RS$150)</f>
        <v>56458.35</v>
      </c>
      <c r="Q16" s="1">
        <f>SUMIF(Planilha9!$I$1:$I$150,B16,Planilha9!$R$1:RT$150)</f>
        <v>36501</v>
      </c>
      <c r="R16" s="1">
        <f>SUMIF(Planilha10!$I$1:$I$150,B16,Planilha10!$R$1:RU$150)</f>
        <v>17237.34</v>
      </c>
      <c r="S16" s="1">
        <f>SUMIF(Planilha11!$I$1:$I$150,B16,Planilha11!$R$1:RV$150)</f>
        <v>34575.46</v>
      </c>
      <c r="T16" s="1">
        <f>SUMIF(Planilha12!$I$1:$I$150,B16,Planilha12!$R$1:RW$150)</f>
        <v>143877.78</v>
      </c>
      <c r="U16" s="1"/>
      <c r="V16" s="1">
        <f>SUMIF(Planilha13!$I$1:$I$150,B16,Planilha13!$R$1:RY$150)</f>
        <v>108716.92</v>
      </c>
      <c r="W16" s="1">
        <f>SUMIF(Planilha14!$I$1:$I$150,B16,Planilha14!$R$1:RZ$150)</f>
        <v>83583.13</v>
      </c>
      <c r="X16" s="1"/>
      <c r="Y16" s="1">
        <f>SUMIF('2026'!$I$1:$I$150,B16,'2026'!$R$1:RQ$150)</f>
        <v>192300.05</v>
      </c>
      <c r="Z16" s="1">
        <f t="shared" si="0"/>
        <v>0</v>
      </c>
    </row>
    <row r="17" spans="1:26" x14ac:dyDescent="0.2">
      <c r="A17" s="3"/>
      <c r="B17" s="3" t="s">
        <v>239</v>
      </c>
      <c r="C17" s="3"/>
      <c r="D17" s="3"/>
      <c r="E17" s="3"/>
      <c r="F17" s="3"/>
      <c r="G17" s="3"/>
      <c r="H17" s="3"/>
      <c r="I17" s="11">
        <f>SUMIF(Planilha1!$I$1:$I$150,B17,Planilha1!$R$1:RL$150)</f>
        <v>0</v>
      </c>
      <c r="J17" s="11">
        <f>SUMIF(Planilha2!$I$1:$I$150,B17,Planilha2!$R$1:RM$150)</f>
        <v>0</v>
      </c>
      <c r="K17" s="11">
        <f>SUMIF(Planilha3!$I$1:$I$150,B17,Planilha3!$R$1:RN$150)</f>
        <v>0</v>
      </c>
      <c r="L17" s="11">
        <f>SUMIF(Planilha4!$I$1:$I$150,B17,Planilha4!$R$1:RO$150)</f>
        <v>0</v>
      </c>
      <c r="M17" s="11">
        <f>SUMIF(Planilha5!$I$1:$I$150,B17,Planilha5!$R$1:RP$150)</f>
        <v>0</v>
      </c>
      <c r="N17" s="11">
        <f>SUMIF(Planilha6!$I$1:$I$150,B17,Planilha6!$R$1:RQ$150)</f>
        <v>2281.66</v>
      </c>
      <c r="O17" s="11">
        <f>SUMIF(Planilha7!$I$1:$I$150,B17,Planilha7!$R$1:RR$150)</f>
        <v>20939.25</v>
      </c>
      <c r="P17" s="11">
        <f>SUMIF(Planilha8!$I$1:$I$150,B17,Planilha8!$R$1:RS$150)</f>
        <v>27487.96</v>
      </c>
      <c r="Q17" s="11">
        <f>SUMIF(Planilha9!$I$1:$I$150,B17,Planilha9!$R$1:RT$150)</f>
        <v>22983.78</v>
      </c>
      <c r="R17" s="11">
        <f>SUMIF(Planilha10!$I$1:$I$150,B17,Planilha10!$R$1:RU$150)</f>
        <v>22021.99</v>
      </c>
      <c r="S17" s="11">
        <f>SUMIF(Planilha11!$I$1:$I$150,B17,Planilha11!$R$1:RV$150)</f>
        <v>19076.53</v>
      </c>
      <c r="T17" s="11">
        <f>SUMIF(Planilha12!$I$1:$I$150,B17,Planilha12!$R$1:RW$150)</f>
        <v>9019.49</v>
      </c>
      <c r="U17" s="11"/>
      <c r="V17" s="11">
        <f>SUMIF(Planilha13!$I$1:$I$150,B17,Planilha13!$R$1:RY$150)</f>
        <v>2193.35</v>
      </c>
      <c r="W17" s="11">
        <f>SUMIF(Planilha14!$I$1:$I$150,B17,Planilha14!$R$1:RZ$150)</f>
        <v>1260.7</v>
      </c>
      <c r="X17" s="11"/>
      <c r="Y17" s="11">
        <f>SUMIF('2026'!$I$1:$I$150,B17,'2026'!$R$1:RQ$150)</f>
        <v>3454.05</v>
      </c>
      <c r="Z17" s="1">
        <f t="shared" si="0"/>
        <v>0</v>
      </c>
    </row>
    <row r="18" spans="1:26" x14ac:dyDescent="0.2">
      <c r="B18" t="s">
        <v>241</v>
      </c>
      <c r="I18" s="1">
        <f>SUMIF(Planilha1!$I$1:$I$150,B18,Planilha1!$R$1:RL$150)</f>
        <v>0</v>
      </c>
      <c r="J18" s="1">
        <f>SUMIF(Planilha2!$I$1:$I$150,B18,Planilha2!$R$1:RM$150)</f>
        <v>0</v>
      </c>
      <c r="K18" s="1">
        <f>SUMIF(Planilha3!$I$1:$I$150,B18,Planilha3!$R$1:RN$150)</f>
        <v>0</v>
      </c>
      <c r="L18" s="1">
        <f>SUMIF(Planilha4!$I$1:$I$150,B18,Planilha4!$R$1:RO$150)</f>
        <v>0</v>
      </c>
      <c r="M18" s="1">
        <f>SUMIF(Planilha5!$I$1:$I$150,B18,Planilha5!$R$1:RP$150)</f>
        <v>0</v>
      </c>
      <c r="N18" s="1">
        <f>SUMIF(Planilha6!$I$1:$I$150,B18,Planilha6!$R$1:RQ$150)</f>
        <v>98.92</v>
      </c>
      <c r="O18" s="1">
        <f>SUMIF(Planilha7!$I$1:$I$150,B18,Planilha7!$R$1:RR$150)</f>
        <v>0</v>
      </c>
      <c r="P18" s="1">
        <f>SUMIF(Planilha8!$I$1:$I$150,B18,Planilha8!$R$1:RS$150)</f>
        <v>0</v>
      </c>
      <c r="Q18" s="1">
        <f>SUMIF(Planilha9!$I$1:$I$150,B18,Planilha9!$R$1:RT$150)</f>
        <v>0</v>
      </c>
      <c r="R18" s="1">
        <f>SUMIF(Planilha10!$I$1:$I$150,B18,Planilha10!$R$1:RU$150)</f>
        <v>0</v>
      </c>
      <c r="S18" s="1">
        <f>SUMIF(Planilha11!$I$1:$I$150,B18,Planilha11!$R$1:RV$150)</f>
        <v>0</v>
      </c>
      <c r="T18" s="1">
        <f>SUMIF(Planilha12!$I$1:$I$150,B18,Planilha12!$R$1:RW$150)</f>
        <v>0</v>
      </c>
      <c r="U18" s="1"/>
      <c r="V18" s="1">
        <f>SUMIF(Planilha13!$I$1:$I$150,B18,Planilha13!$R$1:RY$150)</f>
        <v>0</v>
      </c>
      <c r="W18" s="1">
        <f>SUMIF(Planilha14!$I$1:$I$150,B18,Planilha14!$R$1:RZ$150)</f>
        <v>0</v>
      </c>
      <c r="X18" s="1"/>
      <c r="Y18" s="1">
        <f>SUMIF('2026'!$I$1:$I$150,B18,'2026'!$R$1:RQ$150)</f>
        <v>0</v>
      </c>
      <c r="Z18" s="1">
        <f t="shared" si="0"/>
        <v>0</v>
      </c>
    </row>
    <row r="19" spans="1:26" x14ac:dyDescent="0.2">
      <c r="A19" s="7" t="s">
        <v>79</v>
      </c>
      <c r="B19" s="7"/>
      <c r="C19" s="9"/>
      <c r="D19" s="9"/>
      <c r="E19" s="9"/>
      <c r="F19" s="7"/>
      <c r="G19" s="7"/>
      <c r="H19" s="7"/>
      <c r="I19" s="8">
        <f>SUMIF(Planilha1!$H$1:$H$110,A19,Planilha1!$R$1:$R$150)</f>
        <v>509203.76</v>
      </c>
      <c r="J19" s="8">
        <f>SUMIF(Planilha2!$H$1:$H$110,A19,Planilha2!$R$1:$R$150)</f>
        <v>423332.31</v>
      </c>
      <c r="K19" s="8">
        <f>SUMIF(Planilha3!$H$1:$H$110,A19,Planilha3!$R$1:$R$150)</f>
        <v>496333.68</v>
      </c>
      <c r="L19" s="8">
        <f>SUMIF(Planilha4!$H$1:$H$110,A19,Planilha4!$R$1:$R$150)</f>
        <v>410484.08</v>
      </c>
      <c r="M19" s="8">
        <f>SUMIF(Planilha5!$H$1:$H$110,A19,Planilha5!$R$1:$R$150)</f>
        <v>517588.34</v>
      </c>
      <c r="N19" s="8">
        <f>SUMIF(Planilha6!$H$1:$H$110,A19,Planilha6!$R$1:$R$150)</f>
        <v>379951.01</v>
      </c>
      <c r="O19" s="8">
        <f>SUMIF(Planilha7!$H$1:$H$110,A19,Planilha7!$R$1:$R$150)</f>
        <v>369144.01</v>
      </c>
      <c r="P19" s="8">
        <f>SUMIF(Planilha8!$H$1:$H$110,A19,Planilha8!$R$1:$R$150)</f>
        <v>495829.14</v>
      </c>
      <c r="Q19" s="8">
        <f>SUMIF(Planilha9!$H$1:$H$110,A19,Planilha9!$R$1:$R$150)</f>
        <v>442713.92</v>
      </c>
      <c r="R19" s="8">
        <f>SUMIF(Planilha10!$H$1:$H$110,A19,Planilha10!$R$1:$R$150)</f>
        <v>647586.27</v>
      </c>
      <c r="S19" s="8">
        <f>SUMIF(Planilha11!$H$1:$H$110,A19,Planilha11!$R$1:$R$150)</f>
        <v>818962.61</v>
      </c>
      <c r="T19" s="8">
        <f>SUMIF(Planilha12!$H$1:$H$110,A19,Planilha12!$R$1:$R$150)</f>
        <v>1108711.04</v>
      </c>
      <c r="U19" s="18"/>
      <c r="V19" s="8">
        <f>SUMIF(Planilha13!$H$1:$H$110,A19,Planilha13!$R$1:$R$150)</f>
        <v>881339.31</v>
      </c>
      <c r="W19" s="8">
        <f>SUMIF(Planilha14!$H$1:$H$110,A19,Planilha14!$R$1:$R$150)</f>
        <v>648394.77</v>
      </c>
      <c r="X19" s="10"/>
      <c r="Y19" s="8">
        <f>SUMIF('2026'!$H$1:$H$110,A19,'2026'!$R$1:$R$150)</f>
        <v>1529734.08</v>
      </c>
      <c r="Z19" s="1">
        <f t="shared" si="0"/>
        <v>0</v>
      </c>
    </row>
    <row r="20" spans="1:26" x14ac:dyDescent="0.2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>
        <f t="shared" si="0"/>
        <v>0</v>
      </c>
    </row>
    <row r="21" spans="1:26" x14ac:dyDescent="0.2">
      <c r="A21" s="7" t="s">
        <v>80</v>
      </c>
      <c r="B21" s="7"/>
      <c r="C21" s="7"/>
      <c r="D21" s="7"/>
      <c r="E21" s="7"/>
      <c r="F21" s="7"/>
      <c r="G21" s="7"/>
      <c r="H21" s="7"/>
      <c r="I21" s="8">
        <f>SUMIF(Planilha1!$H$1:$H$110,A21,Planilha1!$R$1:$R$150)</f>
        <v>-318.25</v>
      </c>
      <c r="J21" s="8">
        <f>SUMIF(Planilha2!$H$1:$H$110,A21,Planilha2!$R$1:$R$150)</f>
        <v>-743.82</v>
      </c>
      <c r="K21" s="8">
        <f>SUMIF(Planilha3!$H$1:$H$110,A21,Planilha3!$R$1:$R$150)</f>
        <v>-109.63</v>
      </c>
      <c r="L21" s="8">
        <f>SUMIF(Planilha4!$H$1:$H$110,A21,Planilha4!$R$1:$R$150)</f>
        <v>-967.46</v>
      </c>
      <c r="M21" s="8">
        <f>SUMIF(Planilha5!$H$1:$H$110,A21,Planilha5!$R$1:$R$150)</f>
        <v>-569.79999999999995</v>
      </c>
      <c r="N21" s="8">
        <f>SUMIF(Planilha6!$H$1:$H$110,A21,Planilha6!$R$1:$R$150)</f>
        <v>-1607.93</v>
      </c>
      <c r="O21" s="8">
        <f>SUMIF(Planilha7!$H$1:$H$110,A21,Planilha7!$R$1:$R$150)</f>
        <v>-3996.41</v>
      </c>
      <c r="P21" s="8">
        <f>SUMIF(Planilha8!$H$1:$H$110,A21,Planilha8!$R$1:$R$150)</f>
        <v>-4964.76</v>
      </c>
      <c r="Q21" s="8">
        <f>SUMIF(Planilha9!$H$1:$H$110,A21,Planilha9!$R$1:$R$150)</f>
        <v>-5299.1</v>
      </c>
      <c r="R21" s="8">
        <f>SUMIF(Planilha10!$H$1:$H$110,A21,Planilha10!$R$1:$R$150)</f>
        <v>-1467.16</v>
      </c>
      <c r="S21" s="8">
        <f>SUMIF(Planilha11!$H$1:$H$110,A21,Planilha11!$R$1:$R$150)</f>
        <v>-2839.49</v>
      </c>
      <c r="T21" s="8">
        <f>SUMIF(Planilha12!$H$1:$H$110,A21,Planilha12!$R$1:$R$150)</f>
        <v>-4693.04</v>
      </c>
      <c r="U21" s="18"/>
      <c r="V21" s="8">
        <f>SUMIF(Planilha13!$H$1:$H$110,A21,Planilha13!$R$1:$R$150)</f>
        <v>-5995.25</v>
      </c>
      <c r="W21" s="8">
        <f>SUMIF(Planilha14!$H$1:$H$110,A21,Planilha14!$R$1:$R$150)</f>
        <v>-1321.6</v>
      </c>
      <c r="X21" s="10"/>
      <c r="Y21" s="8">
        <f>SUMIF('2026'!$H$1:$H$110,A21,'2026'!$R$1:$R$150)</f>
        <v>-7316.85</v>
      </c>
      <c r="Z21" s="1">
        <f t="shared" si="0"/>
        <v>0</v>
      </c>
    </row>
    <row r="22" spans="1:26" x14ac:dyDescent="0.2">
      <c r="A22" s="3"/>
      <c r="B22" s="3" t="s">
        <v>10</v>
      </c>
      <c r="C22" s="3"/>
      <c r="D22" s="3"/>
      <c r="E22" s="3"/>
      <c r="F22" s="3"/>
      <c r="G22" s="3"/>
      <c r="H22" s="3"/>
      <c r="I22" s="11">
        <f>SUMIF(Planilha1!$I$1:$I$150,B22,Planilha1!$R$1:RL$150)</f>
        <v>-296.45</v>
      </c>
      <c r="J22" s="11">
        <f>SUMIF(Planilha2!$I$1:$I$150,B22,Planilha2!$R$1:RM$150)</f>
        <v>-743.82</v>
      </c>
      <c r="K22" s="11">
        <f>SUMIF(Planilha3!$I$1:$I$150,B22,Planilha3!$R$1:RN$150)</f>
        <v>-109.63</v>
      </c>
      <c r="L22" s="11">
        <f>SUMIF(Planilha4!$I$1:$I$150,B22,Planilha4!$R$1:RO$150)</f>
        <v>-967.46</v>
      </c>
      <c r="M22" s="11">
        <f>SUMIF(Planilha5!$I$1:$I$150,B22,Planilha5!$R$1:RP$150)</f>
        <v>-569.79999999999995</v>
      </c>
      <c r="N22" s="11">
        <f>SUMIF(Planilha6!$I$1:$I$150,B22,Planilha6!$R$1:RQ$150)</f>
        <v>-1607.93</v>
      </c>
      <c r="O22" s="11">
        <f>SUMIF(Planilha7!$I$1:$I$150,B22,Planilha7!$R$1:RR$150)</f>
        <v>-3996.41</v>
      </c>
      <c r="P22" s="11">
        <f>SUMIF(Planilha8!$I$1:$I$150,B22,Planilha8!$R$1:RS$150)</f>
        <v>-4964.76</v>
      </c>
      <c r="Q22" s="11">
        <f>SUMIF(Planilha9!$I$1:$I$150,B22,Planilha9!$R$1:RT$150)</f>
        <v>-5299.1</v>
      </c>
      <c r="R22" s="11">
        <f>SUMIF(Planilha10!$I$1:$I$150,B22,Planilha10!$R$1:RU$150)</f>
        <v>-1467.16</v>
      </c>
      <c r="S22" s="11">
        <f>SUMIF(Planilha11!$I$1:$I$150,B22,Planilha11!$R$1:RV$150)</f>
        <v>-2839.49</v>
      </c>
      <c r="T22" s="11">
        <f>SUMIF(Planilha12!$I$1:$I$150,B22,Planilha12!$R$1:RW$150)</f>
        <v>-4693.04</v>
      </c>
      <c r="U22" s="11"/>
      <c r="V22" s="11">
        <f>SUMIF(Planilha13!$I$1:$I$150,B22,Planilha13!$R$1:RY$150)</f>
        <v>-5995.25</v>
      </c>
      <c r="W22" s="11">
        <f>SUMIF(Planilha14!$I$1:$I$150,B22,Planilha14!$R$1:RZ$150)</f>
        <v>-1321.6</v>
      </c>
      <c r="X22" s="11"/>
      <c r="Y22" s="11">
        <f>SUMIF('2026'!$I$1:$I$150,B22,'2026'!$R$1:RQ$150)</f>
        <v>-7316.85</v>
      </c>
      <c r="Z22" s="1">
        <f t="shared" si="0"/>
        <v>0</v>
      </c>
    </row>
    <row r="23" spans="1:26" x14ac:dyDescent="0.2">
      <c r="B23" t="s">
        <v>12</v>
      </c>
      <c r="I23" s="1">
        <f>SUMIF(Planilha1!$I$1:$I$150,B23,Planilha1!$R$1:RL$150)</f>
        <v>-21.8</v>
      </c>
      <c r="J23" s="1">
        <f>SUMIF(Planilha2!$I$1:$I$150,B23,Planilha2!$R$1:RM$150)</f>
        <v>0</v>
      </c>
      <c r="K23" s="1">
        <f>SUMIF(Planilha3!$I$1:$I$150,B23,Planilha3!$R$1:RN$150)</f>
        <v>0</v>
      </c>
      <c r="L23" s="1">
        <f>SUMIF(Planilha4!$I$1:$I$150,B23,Planilha4!$R$1:RO$150)</f>
        <v>0</v>
      </c>
      <c r="M23" s="1">
        <f>SUMIF(Planilha5!$I$1:$I$150,B23,Planilha5!$R$1:RP$150)</f>
        <v>0</v>
      </c>
      <c r="N23" s="1">
        <f>SUMIF(Planilha6!$I$1:$I$150,B23,Planilha6!$R$1:RQ$150)</f>
        <v>0</v>
      </c>
      <c r="O23" s="1">
        <f>SUMIF(Planilha7!$I$1:$I$150,B23,Planilha7!$R$1:RR$150)</f>
        <v>0</v>
      </c>
      <c r="P23" s="1">
        <f>SUMIF(Planilha8!$I$1:$I$150,B23,Planilha8!$R$1:RS$150)</f>
        <v>0</v>
      </c>
      <c r="Q23" s="1">
        <f>SUMIF(Planilha9!$I$1:$I$150,B23,Planilha9!$R$1:RT$150)</f>
        <v>0</v>
      </c>
      <c r="R23" s="1">
        <f>SUMIF(Planilha10!$I$1:$I$150,B23,Planilha10!$R$1:RU$150)</f>
        <v>0</v>
      </c>
      <c r="S23" s="1">
        <f>SUMIF(Planilha11!$I$1:$I$150,B23,Planilha11!$R$1:RV$150)</f>
        <v>0</v>
      </c>
      <c r="T23" s="1">
        <f>SUMIF(Planilha12!$I$1:$I$150,B23,Planilha12!$R$1:RW$150)</f>
        <v>0</v>
      </c>
      <c r="U23" s="1"/>
      <c r="V23" s="1">
        <f>SUMIF(Planilha13!$I$1:$I$150,B23,Planilha13!$R$1:RY$150)</f>
        <v>0</v>
      </c>
      <c r="W23" s="1">
        <f>SUMIF(Planilha14!$I$1:$I$150,B23,Planilha14!$R$1:RZ$150)</f>
        <v>0</v>
      </c>
      <c r="X23" s="1"/>
      <c r="Y23" s="1">
        <f>SUMIF('2026'!$I$1:$I$150,B23,'2026'!$R$1:RQ$150)</f>
        <v>0</v>
      </c>
      <c r="Z23" s="1">
        <f t="shared" si="0"/>
        <v>0</v>
      </c>
    </row>
    <row r="24" spans="1:26" x14ac:dyDescent="0.2">
      <c r="A24" s="7" t="s">
        <v>83</v>
      </c>
      <c r="B24" s="7"/>
      <c r="C24" s="7"/>
      <c r="D24" s="7"/>
      <c r="E24" s="7"/>
      <c r="F24" s="7"/>
      <c r="G24" s="7"/>
      <c r="H24" s="7"/>
      <c r="I24" s="8">
        <f>SUMIF(Planilha1!$H$1:$H$110,A24,Planilha1!$R$1:$R$150)</f>
        <v>508885.51</v>
      </c>
      <c r="J24" s="8">
        <f>SUMIF(Planilha2!$H$1:$H$110,A24,Planilha2!$R$1:$R$150)</f>
        <v>422588.49</v>
      </c>
      <c r="K24" s="8">
        <f>SUMIF(Planilha3!$H$1:$H$110,A24,Planilha3!$R$1:$R$150)</f>
        <v>496224.05</v>
      </c>
      <c r="L24" s="8">
        <f>SUMIF(Planilha4!$H$1:$H$110,A24,Planilha4!$R$1:$R$150)</f>
        <v>409516.62</v>
      </c>
      <c r="M24" s="8">
        <f>SUMIF(Planilha5!$H$1:$H$110,A24,Planilha5!$R$1:$R$150)</f>
        <v>517018.54</v>
      </c>
      <c r="N24" s="8">
        <f>SUMIF(Planilha6!$H$1:$H$110,A24,Planilha6!$R$1:$R$150)</f>
        <v>378343.08</v>
      </c>
      <c r="O24" s="8">
        <f>SUMIF(Planilha7!$H$1:$H$110,A24,Planilha7!$R$1:$R$150)</f>
        <v>365147.6</v>
      </c>
      <c r="P24" s="8">
        <f>SUMIF(Planilha8!$H$1:$H$110,A24,Planilha8!$R$1:$R$150)</f>
        <v>490864.38</v>
      </c>
      <c r="Q24" s="8">
        <f>SUMIF(Planilha9!$H$1:$H$110,A24,Planilha9!$R$1:$R$150)</f>
        <v>437414.82</v>
      </c>
      <c r="R24" s="8">
        <f>SUMIF(Planilha10!$H$1:$H$110,A24,Planilha10!$R$1:$R$150)</f>
        <v>646119.11</v>
      </c>
      <c r="S24" s="8">
        <f>SUMIF(Planilha11!$H$1:$H$110,A24,Planilha11!$R$1:$R$150)</f>
        <v>816123.12</v>
      </c>
      <c r="T24" s="8">
        <f>SUMIF(Planilha12!$H$1:$H$110,A24,Planilha12!$R$1:$R$150)</f>
        <v>1104018</v>
      </c>
      <c r="U24" s="18"/>
      <c r="V24" s="8">
        <f>SUMIF(Planilha13!$H$1:$H$110,A24,Planilha13!$R$1:$R$150)</f>
        <v>875344.06</v>
      </c>
      <c r="W24" s="8">
        <f>SUMIF(Planilha14!$H$1:$H$110,A24,Planilha14!$R$1:$R$150)</f>
        <v>647073.17000000004</v>
      </c>
      <c r="X24" s="10"/>
      <c r="Y24" s="8">
        <f>SUMIF('2026'!$H$1:$H$110,A24,'2026'!$R$1:$R$150)</f>
        <v>1522417.23</v>
      </c>
      <c r="Z24" s="1">
        <f t="shared" si="0"/>
        <v>0</v>
      </c>
    </row>
    <row r="25" spans="1:26" x14ac:dyDescent="0.2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>
        <f t="shared" si="0"/>
        <v>0</v>
      </c>
    </row>
    <row r="26" spans="1:26" x14ac:dyDescent="0.2">
      <c r="A26" s="7" t="s">
        <v>84</v>
      </c>
      <c r="B26" s="7"/>
      <c r="C26" s="7"/>
      <c r="D26" s="7"/>
      <c r="E26" s="7"/>
      <c r="F26" s="7"/>
      <c r="G26" s="7"/>
      <c r="H26" s="7"/>
      <c r="I26" s="8">
        <f>SUMIF(Planilha1!$H$1:$H$110,A26,Planilha1!$R$1:$R$150)</f>
        <v>35417.32</v>
      </c>
      <c r="J26" s="8">
        <f>SUMIF(Planilha2!$H$1:$H$110,A26,Planilha2!$R$1:$R$150)</f>
        <v>25291.83</v>
      </c>
      <c r="K26" s="8">
        <f>SUMIF(Planilha3!$H$1:$H$110,A26,Planilha3!$R$1:$R$150)</f>
        <v>29999.19</v>
      </c>
      <c r="L26" s="8">
        <f>SUMIF(Planilha4!$H$1:$H$110,A26,Planilha4!$R$1:$R$150)</f>
        <v>29685.64</v>
      </c>
      <c r="M26" s="8">
        <f>SUMIF(Planilha5!$H$1:$H$110,A26,Planilha5!$R$1:$R$150)</f>
        <v>34698.870000000003</v>
      </c>
      <c r="N26" s="8">
        <f>SUMIF(Planilha6!$H$1:$H$110,A26,Planilha6!$R$1:$R$150)</f>
        <v>26661.5</v>
      </c>
      <c r="O26" s="8">
        <f>SUMIF(Planilha7!$H$1:$H$110,A26,Planilha7!$R$1:$R$150)</f>
        <v>25319.27</v>
      </c>
      <c r="P26" s="8">
        <f>SUMIF(Planilha8!$H$1:$H$110,A26,Planilha8!$R$1:$R$150)</f>
        <v>27185.91</v>
      </c>
      <c r="Q26" s="8">
        <f>SUMIF(Planilha9!$H$1:$H$110,A26,Planilha9!$R$1:$R$150)</f>
        <v>20968.57</v>
      </c>
      <c r="R26" s="8">
        <f>SUMIF(Planilha10!$H$1:$H$110,A26,Planilha10!$R$1:$R$150)</f>
        <v>34011.269999999997</v>
      </c>
      <c r="S26" s="8">
        <f>SUMIF(Planilha11!$H$1:$H$110,A26,Planilha11!$R$1:$R$150)</f>
        <v>41078.720000000001</v>
      </c>
      <c r="T26" s="8">
        <f>SUMIF(Planilha12!$H$1:$H$110,A26,Planilha12!$R$1:$R$150)</f>
        <v>70994.149999999994</v>
      </c>
      <c r="U26" s="18"/>
      <c r="V26" s="8">
        <f>SUMIF(Planilha13!$H$1:$H$110,A26,Planilha13!$R$1:$R$150)</f>
        <v>57972.3</v>
      </c>
      <c r="W26" s="8">
        <f>SUMIF(Planilha14!$H$1:$H$110,A26,Planilha14!$R$1:$R$150)</f>
        <v>43241.57</v>
      </c>
      <c r="X26" s="10"/>
      <c r="Y26" s="8">
        <f>SUMIF('2026'!$H$1:$H$110,A26,'2026'!$R$1:$R$150)</f>
        <v>101213.87</v>
      </c>
      <c r="Z26" s="1">
        <f t="shared" si="0"/>
        <v>0</v>
      </c>
    </row>
    <row r="27" spans="1:26" x14ac:dyDescent="0.2">
      <c r="A27" s="3"/>
      <c r="B27" s="3" t="s">
        <v>58</v>
      </c>
      <c r="C27" s="3"/>
      <c r="D27" s="3"/>
      <c r="E27" s="3"/>
      <c r="F27" s="3"/>
      <c r="G27" s="3"/>
      <c r="H27" s="3"/>
      <c r="I27" s="11">
        <f>SUMIF(Planilha1!$I$1:$I$150,B27,Planilha1!$R$1:RL$150)</f>
        <v>35417.32</v>
      </c>
      <c r="J27" s="11">
        <f>SUMIF(Planilha2!$I$1:$I$150,B27,Planilha2!$R$1:RM$150)</f>
        <v>25291.83</v>
      </c>
      <c r="K27" s="11">
        <f>SUMIF(Planilha3!$I$1:$I$150,B27,Planilha3!$R$1:RN$150)</f>
        <v>29999.19</v>
      </c>
      <c r="L27" s="11">
        <f>SUMIF(Planilha4!$I$1:$I$150,B27,Planilha4!$R$1:RO$150)</f>
        <v>29685.64</v>
      </c>
      <c r="M27" s="11">
        <f>SUMIF(Planilha5!$I$1:$I$150,B27,Planilha5!$R$1:RP$150)</f>
        <v>34698.870000000003</v>
      </c>
      <c r="N27" s="11">
        <f>SUMIF(Planilha6!$I$1:$I$150,B27,Planilha6!$R$1:RQ$150)</f>
        <v>26661.5</v>
      </c>
      <c r="O27" s="11">
        <f>SUMIF(Planilha7!$I$1:$I$150,B27,Planilha7!$R$1:RR$150)</f>
        <v>25319.27</v>
      </c>
      <c r="P27" s="11">
        <f>SUMIF(Planilha8!$I$1:$I$150,B27,Planilha8!$R$1:RS$150)</f>
        <v>27185.91</v>
      </c>
      <c r="Q27" s="11">
        <f>SUMIF(Planilha9!$I$1:$I$150,B27,Planilha9!$R$1:RT$150)</f>
        <v>20968.57</v>
      </c>
      <c r="R27" s="11">
        <f>SUMIF(Planilha10!$I$1:$I$150,B27,Planilha10!$R$1:RU$150)</f>
        <v>34011.269999999997</v>
      </c>
      <c r="S27" s="11">
        <f>SUMIF(Planilha11!$I$1:$I$150,B27,Planilha11!$R$1:RV$150)</f>
        <v>41078.720000000001</v>
      </c>
      <c r="T27" s="11">
        <f>SUMIF(Planilha12!$I$1:$I$150,B27,Planilha12!$R$1:RW$150)</f>
        <v>70994.149999999994</v>
      </c>
      <c r="U27" s="11"/>
      <c r="V27" s="11">
        <f>SUMIF(Planilha13!$I$1:$I$150,B27,Planilha13!$R$1:RY$150)</f>
        <v>57972.3</v>
      </c>
      <c r="W27" s="11">
        <f>SUMIF(Planilha14!$I$1:$I$150,B27,Planilha14!$R$1:RZ$150)</f>
        <v>43241.57</v>
      </c>
      <c r="X27" s="11"/>
      <c r="Y27" s="11">
        <f>SUMIF('2026'!$I$1:$I$150,B27,'2026'!$R$1:RQ$150)</f>
        <v>101213.87</v>
      </c>
      <c r="Z27" s="1">
        <f t="shared" si="0"/>
        <v>0</v>
      </c>
    </row>
    <row r="28" spans="1:26" x14ac:dyDescent="0.2">
      <c r="A28" s="19" t="s">
        <v>86</v>
      </c>
      <c r="B28" s="19"/>
      <c r="C28" s="19"/>
      <c r="D28" s="19"/>
      <c r="E28" s="19"/>
      <c r="F28" s="19"/>
      <c r="G28" s="19"/>
      <c r="H28" s="19"/>
      <c r="I28" s="20">
        <f>SUMIF(Planilha1!$H$1:$H$110,A28,Planilha1!$R$1:$R$150)</f>
        <v>544302.82999999996</v>
      </c>
      <c r="J28" s="20">
        <f>SUMIF(Planilha2!$H$1:$H$110,A28,Planilha2!$R$1:$R$150)</f>
        <v>447880.32</v>
      </c>
      <c r="K28" s="20">
        <f>SUMIF(Planilha3!$H$1:$H$110,A28,Planilha3!$R$1:$R$150)</f>
        <v>526223.24</v>
      </c>
      <c r="L28" s="20">
        <f>SUMIF(Planilha4!$H$1:$H$110,A28,Planilha4!$R$1:$R$150)</f>
        <v>439202.26</v>
      </c>
      <c r="M28" s="20">
        <f>SUMIF(Planilha5!$H$1:$H$110,A28,Planilha5!$R$1:$R$150)</f>
        <v>551717.41</v>
      </c>
      <c r="N28" s="20">
        <f>SUMIF(Planilha6!$H$1:$H$110,A28,Planilha6!$R$1:$R$150)</f>
        <v>405004.58</v>
      </c>
      <c r="O28" s="20">
        <f>SUMIF(Planilha7!$H$1:$H$110,A28,Planilha7!$R$1:$R$150)</f>
        <v>390466.87</v>
      </c>
      <c r="P28" s="20">
        <f>SUMIF(Planilha8!$H$1:$H$110,A28,Planilha8!$R$1:$R$150)</f>
        <v>518050.29</v>
      </c>
      <c r="Q28" s="20">
        <f>SUMIF(Planilha9!$H$1:$H$110,A28,Planilha9!$R$1:$R$150)</f>
        <v>458383.39</v>
      </c>
      <c r="R28" s="20">
        <f>SUMIF(Planilha10!$H$1:$H$110,A28,Planilha10!$R$1:$R$150)</f>
        <v>680130.38</v>
      </c>
      <c r="S28" s="20">
        <f>SUMIF(Planilha11!$H$1:$H$110,A28,Planilha11!$R$1:$R$150)</f>
        <v>857201.84</v>
      </c>
      <c r="T28" s="20">
        <f>SUMIF(Planilha12!$H$1:$H$110,A28,Planilha12!$R$1:$R$150)</f>
        <v>1175012.1499999999</v>
      </c>
      <c r="U28" s="21"/>
      <c r="V28" s="20">
        <f>SUMIF(Planilha13!$H$1:$H$110,A28,Planilha13!$R$1:$R$150)</f>
        <v>933316.36</v>
      </c>
      <c r="W28" s="20">
        <f>SUMIF(Planilha14!$H$1:$H$110,A28,Planilha14!$R$1:$R$150)</f>
        <v>690314.74</v>
      </c>
      <c r="X28" s="22"/>
      <c r="Y28" s="20">
        <f>SUMIF('2026'!$H$1:$H$110,A28,'2026'!$R$1:$R$150)</f>
        <v>1623631.1</v>
      </c>
      <c r="Z28" s="1">
        <f t="shared" si="0"/>
        <v>0</v>
      </c>
    </row>
    <row r="29" spans="1:26" x14ac:dyDescent="0.2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f t="shared" si="0"/>
        <v>0</v>
      </c>
    </row>
    <row r="30" spans="1:26" x14ac:dyDescent="0.2">
      <c r="A30" s="7" t="s">
        <v>87</v>
      </c>
      <c r="B30" s="7"/>
      <c r="C30" s="7"/>
      <c r="D30" s="7"/>
      <c r="E30" s="7"/>
      <c r="F30" s="7"/>
      <c r="G30" s="7"/>
      <c r="H30" s="7"/>
      <c r="I30" s="8">
        <f>SUMIF(Planilha1!$H$1:$H$110,A30,Planilha1!$R$1:$R$150)</f>
        <v>-229501.55</v>
      </c>
      <c r="J30" s="8">
        <f>SUMIF(Planilha2!$H$1:$H$110,A30,Planilha2!$R$1:$R$150)</f>
        <v>-205378.48</v>
      </c>
      <c r="K30" s="8">
        <f>SUMIF(Planilha3!$H$1:$H$110,A30,Planilha3!$R$1:$R$150)</f>
        <v>-262495.89</v>
      </c>
      <c r="L30" s="8">
        <f>SUMIF(Planilha4!$H$1:$H$110,A30,Planilha4!$R$1:$R$150)</f>
        <v>-216442.65</v>
      </c>
      <c r="M30" s="8">
        <f>SUMIF(Planilha5!$H$1:$H$110,A30,Planilha5!$R$1:$R$150)</f>
        <v>-316722.03000000003</v>
      </c>
      <c r="N30" s="8">
        <f>SUMIF(Planilha6!$H$1:$H$110,A30,Planilha6!$R$1:$R$150)</f>
        <v>-128709.05</v>
      </c>
      <c r="O30" s="8">
        <f>SUMIF(Planilha7!$H$1:$H$110,A30,Planilha7!$R$1:$R$150)</f>
        <v>-119343.78</v>
      </c>
      <c r="P30" s="8">
        <f>SUMIF(Planilha8!$H$1:$H$110,A30,Planilha8!$R$1:$R$150)</f>
        <v>-197655.91</v>
      </c>
      <c r="Q30" s="8">
        <f>SUMIF(Planilha9!$H$1:$H$110,A30,Planilha9!$R$1:$R$150)</f>
        <v>-116814.82</v>
      </c>
      <c r="R30" s="8">
        <f>SUMIF(Planilha10!$H$1:$H$110,A30,Planilha10!$R$1:$R$150)</f>
        <v>-149255.1</v>
      </c>
      <c r="S30" s="8">
        <f>SUMIF(Planilha11!$H$1:$H$110,A30,Planilha11!$R$1:$R$150)</f>
        <v>-295912.48</v>
      </c>
      <c r="T30" s="8">
        <f>SUMIF(Planilha12!$H$1:$H$110,A30,Planilha12!$R$1:$R$150)</f>
        <v>-418644.32</v>
      </c>
      <c r="U30" s="18"/>
      <c r="V30" s="8">
        <f>SUMIF(Planilha13!$H$1:$H$110,A30,Planilha13!$R$1:$R$150)</f>
        <v>-323061.98</v>
      </c>
      <c r="W30" s="8">
        <f>SUMIF(Planilha14!$H$1:$H$110,A30,Planilha14!$R$1:$R$150)</f>
        <v>-268554.59999999998</v>
      </c>
      <c r="X30" s="10"/>
      <c r="Y30" s="8">
        <f>SUMIF('2026'!$H$1:$H$110,A30,'2026'!$R$1:$R$150)</f>
        <v>-591616.57999999996</v>
      </c>
      <c r="Z30" s="1">
        <f t="shared" si="0"/>
        <v>0</v>
      </c>
    </row>
    <row r="31" spans="1:26" x14ac:dyDescent="0.2">
      <c r="B31" t="s">
        <v>8</v>
      </c>
      <c r="I31" s="1">
        <f>SUMIF(Planilha1!$I$1:$I$150,B31,Planilha1!$R$1:RL$150)</f>
        <v>-118537</v>
      </c>
      <c r="J31" s="1">
        <f>SUMIF(Planilha2!$I$1:$I$150,B31,Planilha2!$R$1:RM$150)</f>
        <v>-142495.37</v>
      </c>
      <c r="K31" s="1">
        <f>SUMIF(Planilha3!$I$1:$I$150,B31,Planilha3!$R$1:RN$150)</f>
        <v>-202408.68</v>
      </c>
      <c r="L31" s="1">
        <f>SUMIF(Planilha4!$I$1:$I$150,B31,Planilha4!$R$1:RO$150)</f>
        <v>-171775.47</v>
      </c>
      <c r="M31" s="1">
        <f>SUMIF(Planilha5!$I$1:$I$150,B31,Planilha5!$R$1:RP$150)</f>
        <v>-216281.18</v>
      </c>
      <c r="N31" s="1">
        <f>SUMIF(Planilha6!$I$1:$I$150,B31,Planilha6!$R$1:RQ$150)</f>
        <v>-126681.55</v>
      </c>
      <c r="O31" s="1">
        <f>SUMIF(Planilha7!$I$1:$I$150,B31,Planilha7!$R$1:RR$150)</f>
        <v>-116012.28</v>
      </c>
      <c r="P31" s="1">
        <f>SUMIF(Planilha8!$I$1:$I$150,B31,Planilha8!$R$1:RS$150)</f>
        <v>-187451.29</v>
      </c>
      <c r="Q31" s="1">
        <f>SUMIF(Planilha9!$I$1:$I$150,B31,Planilha9!$R$1:RT$150)</f>
        <v>-103605.83</v>
      </c>
      <c r="R31" s="1">
        <f>SUMIF(Planilha10!$I$1:$I$150,B31,Planilha10!$R$1:RU$150)</f>
        <v>-137158.93</v>
      </c>
      <c r="S31" s="1">
        <f>SUMIF(Planilha11!$I$1:$I$150,B31,Planilha11!$R$1:RV$150)</f>
        <v>-252632.58</v>
      </c>
      <c r="T31" s="1">
        <f>SUMIF(Planilha12!$I$1:$I$150,B31,Planilha12!$R$1:RW$150)</f>
        <v>-315364.95</v>
      </c>
      <c r="U31" s="1"/>
      <c r="V31" s="1">
        <f>SUMIF(Planilha13!$I$1:$I$150,B31,Planilha13!$R$1:RY$150)</f>
        <v>-224504.78</v>
      </c>
      <c r="W31" s="1">
        <f>SUMIF(Planilha14!$I$1:$I$150,B31,Planilha14!$R$1:RZ$150)</f>
        <v>-226388.73</v>
      </c>
      <c r="X31" s="1"/>
      <c r="Y31" s="1">
        <f>SUMIF('2026'!$I$1:$I$150,B31,'2026'!$R$1:RQ$150)</f>
        <v>-450893.51</v>
      </c>
      <c r="Z31" s="1">
        <f t="shared" si="0"/>
        <v>0</v>
      </c>
    </row>
    <row r="32" spans="1:26" x14ac:dyDescent="0.2">
      <c r="A32" s="3"/>
      <c r="B32" s="3" t="s">
        <v>9</v>
      </c>
      <c r="C32" s="3"/>
      <c r="D32" s="3"/>
      <c r="E32" s="3"/>
      <c r="F32" s="3"/>
      <c r="G32" s="3"/>
      <c r="H32" s="3"/>
      <c r="I32" s="11">
        <f>SUMIF(Planilha1!$I$1:$I$150,B32,Planilha1!$R$1:RL$150)</f>
        <v>-39097.269999999997</v>
      </c>
      <c r="J32" s="11">
        <f>SUMIF(Planilha2!$I$1:$I$150,B32,Planilha2!$R$1:RM$150)</f>
        <v>-22144.59</v>
      </c>
      <c r="K32" s="11">
        <f>SUMIF(Planilha3!$I$1:$I$150,B32,Planilha3!$R$1:RN$150)</f>
        <v>-21519.93</v>
      </c>
      <c r="L32" s="11">
        <f>SUMIF(Planilha4!$I$1:$I$150,B32,Planilha4!$R$1:RO$150)</f>
        <v>-15091.45</v>
      </c>
      <c r="M32" s="11">
        <f>SUMIF(Planilha5!$I$1:$I$150,B32,Planilha5!$R$1:RP$150)</f>
        <v>-20504.68</v>
      </c>
      <c r="N32" s="11">
        <f>SUMIF(Planilha6!$I$1:$I$150,B32,Planilha6!$R$1:RQ$150)</f>
        <v>-1895.08</v>
      </c>
      <c r="O32" s="11">
        <f>SUMIF(Planilha7!$I$1:$I$150,B32,Planilha7!$R$1:RR$150)</f>
        <v>-2867.37</v>
      </c>
      <c r="P32" s="11">
        <f>SUMIF(Planilha8!$I$1:$I$150,B32,Planilha8!$R$1:RS$150)</f>
        <v>-8035.08</v>
      </c>
      <c r="Q32" s="11">
        <f>SUMIF(Planilha9!$I$1:$I$150,B32,Planilha9!$R$1:RT$150)</f>
        <v>-13208.99</v>
      </c>
      <c r="R32" s="11">
        <f>SUMIF(Planilha10!$I$1:$I$150,B32,Planilha10!$R$1:RU$150)</f>
        <v>-9114.17</v>
      </c>
      <c r="S32" s="11">
        <f>SUMIF(Planilha11!$I$1:$I$150,B32,Planilha11!$R$1:RV$150)</f>
        <v>-43279.9</v>
      </c>
      <c r="T32" s="11">
        <f>SUMIF(Planilha12!$I$1:$I$150,B32,Planilha12!$R$1:RW$150)</f>
        <v>-73809.990000000005</v>
      </c>
      <c r="U32" s="11"/>
      <c r="V32" s="11">
        <f>SUMIF(Planilha13!$I$1:$I$150,B32,Planilha13!$R$1:RY$150)</f>
        <v>-55662.559999999998</v>
      </c>
      <c r="W32" s="11">
        <f>SUMIF(Planilha14!$I$1:$I$150,B32,Planilha14!$R$1:RZ$150)</f>
        <v>-24922.51</v>
      </c>
      <c r="X32" s="11"/>
      <c r="Y32" s="11">
        <f>SUMIF('2026'!$I$1:$I$150,B32,'2026'!$R$1:RQ$150)</f>
        <v>-80585.070000000007</v>
      </c>
      <c r="Z32" s="1">
        <f t="shared" si="0"/>
        <v>0</v>
      </c>
    </row>
    <row r="33" spans="1:26" x14ac:dyDescent="0.2">
      <c r="B33" t="s">
        <v>11</v>
      </c>
      <c r="I33" s="1">
        <f>SUMIF(Planilha1!$I$1:$I$150,B33,Planilha1!$R$1:RL$150)</f>
        <v>-2271.61</v>
      </c>
      <c r="J33" s="1">
        <f>SUMIF(Planilha2!$I$1:$I$150,B33,Planilha2!$R$1:RM$150)</f>
        <v>-1716.78</v>
      </c>
      <c r="K33" s="1">
        <f>SUMIF(Planilha3!$I$1:$I$150,B33,Planilha3!$R$1:RN$150)</f>
        <v>-4910.46</v>
      </c>
      <c r="L33" s="1">
        <f>SUMIF(Planilha4!$I$1:$I$150,B33,Planilha4!$R$1:RO$150)</f>
        <v>-2405.33</v>
      </c>
      <c r="M33" s="1">
        <f>SUMIF(Planilha5!$I$1:$I$150,B33,Planilha5!$R$1:RP$150)</f>
        <v>-281.7</v>
      </c>
      <c r="N33" s="1">
        <f>SUMIF(Planilha6!$I$1:$I$150,B33,Planilha6!$R$1:RQ$150)</f>
        <v>0</v>
      </c>
      <c r="O33" s="1">
        <f>SUMIF(Planilha7!$I$1:$I$150,B33,Planilha7!$R$1:RR$150)</f>
        <v>0</v>
      </c>
      <c r="P33" s="1">
        <f>SUMIF(Planilha8!$I$1:$I$150,B33,Planilha8!$R$1:RS$150)</f>
        <v>-2169.54</v>
      </c>
      <c r="Q33" s="1">
        <f>SUMIF(Planilha9!$I$1:$I$150,B33,Planilha9!$R$1:RT$150)</f>
        <v>0</v>
      </c>
      <c r="R33" s="1">
        <f>SUMIF(Planilha10!$I$1:$I$150,B33,Planilha10!$R$1:RU$150)</f>
        <v>-2982</v>
      </c>
      <c r="S33" s="1">
        <f>SUMIF(Planilha11!$I$1:$I$150,B33,Planilha11!$R$1:RV$150)</f>
        <v>0</v>
      </c>
      <c r="T33" s="1">
        <f>SUMIF(Planilha12!$I$1:$I$150,B33,Planilha12!$R$1:RW$150)</f>
        <v>0</v>
      </c>
      <c r="U33" s="1"/>
      <c r="V33" s="1">
        <f>SUMIF(Planilha13!$I$1:$I$150,B33,Planilha13!$R$1:RY$150)</f>
        <v>0</v>
      </c>
      <c r="W33" s="1">
        <f>SUMIF(Planilha14!$I$1:$I$150,B33,Planilha14!$R$1:RZ$150)</f>
        <v>0</v>
      </c>
      <c r="X33" s="1"/>
      <c r="Y33" s="1">
        <f>SUMIF('2026'!$I$1:$I$150,B33,'2026'!$R$1:RQ$150)</f>
        <v>0</v>
      </c>
      <c r="Z33" s="1">
        <f t="shared" si="0"/>
        <v>0</v>
      </c>
    </row>
    <row r="34" spans="1:26" x14ac:dyDescent="0.2">
      <c r="A34" s="3"/>
      <c r="B34" s="3" t="s">
        <v>92</v>
      </c>
      <c r="C34" s="3"/>
      <c r="D34" s="3"/>
      <c r="E34" s="3"/>
      <c r="F34" s="3"/>
      <c r="G34" s="3"/>
      <c r="H34" s="3"/>
      <c r="I34" s="11">
        <f>SUMIF(Planilha1!$I$1:$I$150,B34,Planilha1!$R$1:RL$150)</f>
        <v>-69595.67</v>
      </c>
      <c r="J34" s="11">
        <f>SUMIF(Planilha2!$I$1:$I$150,B34,Planilha2!$R$1:RM$150)</f>
        <v>-39021.74</v>
      </c>
      <c r="K34" s="11">
        <f>SUMIF(Planilha3!$I$1:$I$150,B34,Planilha3!$R$1:RN$150)</f>
        <v>-33656.82</v>
      </c>
      <c r="L34" s="11">
        <f>SUMIF(Planilha4!$I$1:$I$150,B34,Planilha4!$R$1:RO$150)</f>
        <v>-27170.400000000001</v>
      </c>
      <c r="M34" s="11">
        <f>SUMIF(Planilha5!$I$1:$I$150,B34,Planilha5!$R$1:RP$150)</f>
        <v>-79654.47</v>
      </c>
      <c r="N34" s="11">
        <f>SUMIF(Planilha6!$I$1:$I$150,B34,Planilha6!$R$1:RQ$150)</f>
        <v>-132.41999999999999</v>
      </c>
      <c r="O34" s="11">
        <f>SUMIF(Planilha7!$I$1:$I$150,B34,Planilha7!$R$1:RR$150)</f>
        <v>-464.13</v>
      </c>
      <c r="P34" s="11">
        <f>SUMIF(Planilha8!$I$1:$I$150,B34,Planilha8!$R$1:RS$150)</f>
        <v>0</v>
      </c>
      <c r="Q34" s="11">
        <f>SUMIF(Planilha9!$I$1:$I$150,B34,Planilha9!$R$1:RT$150)</f>
        <v>0</v>
      </c>
      <c r="R34" s="11">
        <f>SUMIF(Planilha10!$I$1:$I$150,B34,Planilha10!$R$1:RU$150)</f>
        <v>0</v>
      </c>
      <c r="S34" s="11">
        <f>SUMIF(Planilha11!$I$1:$I$150,B34,Planilha11!$R$1:RV$150)</f>
        <v>0</v>
      </c>
      <c r="T34" s="11">
        <f>SUMIF(Planilha12!$I$1:$I$150,B34,Planilha12!$R$1:RW$150)</f>
        <v>-29469.38</v>
      </c>
      <c r="U34" s="11"/>
      <c r="V34" s="11">
        <f>SUMIF(Planilha13!$I$1:$I$150,B34,Planilha13!$R$1:RY$150)</f>
        <v>-42894.64</v>
      </c>
      <c r="W34" s="11">
        <f>SUMIF(Planilha14!$I$1:$I$150,B34,Planilha14!$R$1:RZ$150)</f>
        <v>-17243.36</v>
      </c>
      <c r="X34" s="11"/>
      <c r="Y34" s="11">
        <f>SUMIF('2026'!$I$1:$I$150,B34,'2026'!$R$1:RQ$150)</f>
        <v>-60138</v>
      </c>
      <c r="Z34" s="1">
        <f t="shared" si="0"/>
        <v>0</v>
      </c>
    </row>
    <row r="35" spans="1:26" x14ac:dyDescent="0.2">
      <c r="A35" s="7" t="s">
        <v>93</v>
      </c>
      <c r="B35" s="7"/>
      <c r="C35" s="7"/>
      <c r="D35" s="7"/>
      <c r="E35" s="7"/>
      <c r="F35" s="7"/>
      <c r="G35" s="7"/>
      <c r="H35" s="7"/>
      <c r="I35" s="8">
        <f>SUMIF(Planilha1!$H$1:$H$110,A35,Planilha1!$R$1:$R$150)</f>
        <v>-229501.55</v>
      </c>
      <c r="J35" s="8">
        <f>SUMIF(Planilha2!$H$1:$H$110,A35,Planilha2!$R$1:$R$150)</f>
        <v>-205378.48</v>
      </c>
      <c r="K35" s="8">
        <f>SUMIF(Planilha3!$H$1:$H$110,A35,Planilha3!$R$1:$R$150)</f>
        <v>-262495.89</v>
      </c>
      <c r="L35" s="8">
        <f>SUMIF(Planilha4!$H$1:$H$110,A35,Planilha4!$R$1:$R$150)</f>
        <v>-216442.65</v>
      </c>
      <c r="M35" s="8">
        <f>SUMIF(Planilha5!$H$1:$H$110,A35,Planilha5!$R$1:$R$150)</f>
        <v>-316722.03000000003</v>
      </c>
      <c r="N35" s="8">
        <f>SUMIF(Planilha6!$H$1:$H$110,A35,Planilha6!$R$1:$R$150)</f>
        <v>-128709.05</v>
      </c>
      <c r="O35" s="8">
        <f>SUMIF(Planilha7!$H$1:$H$110,A35,Planilha7!$R$1:$R$150)</f>
        <v>-119343.78</v>
      </c>
      <c r="P35" s="8">
        <f>SUMIF(Planilha8!$H$1:$H$110,A35,Planilha8!$R$1:$R$150)</f>
        <v>-197655.91</v>
      </c>
      <c r="Q35" s="8">
        <f>SUMIF(Planilha9!$H$1:$H$110,A35,Planilha9!$R$1:$R$150)</f>
        <v>-116814.82</v>
      </c>
      <c r="R35" s="8">
        <f>SUMIF(Planilha10!$H$1:$H$110,A35,Planilha10!$R$1:$R$150)</f>
        <v>-149255.1</v>
      </c>
      <c r="S35" s="8">
        <f>SUMIF(Planilha11!$H$1:$H$110,A35,Planilha11!$R$1:$R$150)</f>
        <v>-295912.48</v>
      </c>
      <c r="T35" s="8">
        <f>SUMIF(Planilha12!$H$1:$H$110,A35,Planilha12!$R$1:$R$150)</f>
        <v>-418644.32</v>
      </c>
      <c r="U35" s="18"/>
      <c r="V35" s="8">
        <f>SUMIF(Planilha13!$H$1:$H$110,A35,Planilha13!$R$1:$R$150)</f>
        <v>-323061.98</v>
      </c>
      <c r="W35" s="8">
        <f>SUMIF(Planilha14!$H$1:$H$110,A35,Planilha14!$R$1:$R$150)</f>
        <v>-268554.59999999998</v>
      </c>
      <c r="X35" s="10"/>
      <c r="Y35" s="8">
        <f>SUMIF('2026'!$H$1:$H$110,A35,'2026'!$R$1:$R$150)</f>
        <v>-591616.57999999996</v>
      </c>
      <c r="Z35" s="1">
        <f t="shared" si="0"/>
        <v>0</v>
      </c>
    </row>
    <row r="36" spans="1:26" x14ac:dyDescent="0.2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f t="shared" si="0"/>
        <v>0</v>
      </c>
    </row>
    <row r="37" spans="1:26" x14ac:dyDescent="0.2">
      <c r="A37" s="7" t="s">
        <v>197</v>
      </c>
      <c r="B37" s="7"/>
      <c r="C37" s="7"/>
      <c r="D37" s="7"/>
      <c r="E37" s="7"/>
      <c r="F37" s="7"/>
      <c r="G37" s="7"/>
      <c r="H37" s="7"/>
      <c r="I37" s="8">
        <f>SUMIF(Planilha1!$H$1:$H$110,A37,Planilha1!$R$1:$R$150)</f>
        <v>0</v>
      </c>
      <c r="J37" s="8">
        <f>SUMIF(Planilha2!$H$1:$H$110,A37,Planilha2!$R$1:$R$150)</f>
        <v>0</v>
      </c>
      <c r="K37" s="8">
        <f>SUMIF(Planilha3!$H$1:$H$110,A37,Planilha3!$R$1:$R$150)</f>
        <v>0</v>
      </c>
      <c r="L37" s="8">
        <f>SUMIF(Planilha4!$H$1:$H$110,A37,Planilha4!$R$1:$R$150)</f>
        <v>10.49</v>
      </c>
      <c r="M37" s="8">
        <f>SUMIF(Planilha5!$H$1:$H$110,A37,Planilha5!$R$1:$R$150)</f>
        <v>0</v>
      </c>
      <c r="N37" s="8">
        <f>SUMIF(Planilha6!$H$1:$H$110,A37,Planilha6!$R$1:$R$150)</f>
        <v>4.16</v>
      </c>
      <c r="O37" s="8">
        <f>SUMIF(Planilha7!$H$1:$H$110,A37,Planilha7!$R$1:$R$150)</f>
        <v>0.76</v>
      </c>
      <c r="P37" s="8">
        <f>SUMIF(Planilha8!$H$1:$H$110,A37,Planilha8!$R$1:$R$150)</f>
        <v>3.2</v>
      </c>
      <c r="Q37" s="8">
        <f>SUMIF(Planilha9!$H$1:$H$110,A37,Planilha9!$R$1:$R$150)</f>
        <v>3.21</v>
      </c>
      <c r="R37" s="8">
        <f>SUMIF(Planilha10!$H$1:$H$110,A37,Planilha10!$R$1:$R$150)</f>
        <v>0</v>
      </c>
      <c r="S37" s="8">
        <f>SUMIF(Planilha11!$H$1:$H$110,A37,Planilha11!$R$1:$R$150)</f>
        <v>1.69</v>
      </c>
      <c r="T37" s="8">
        <f>SUMIF(Planilha12!$H$1:$H$110,A37,Planilha12!$R$1:$R$150)</f>
        <v>5.05</v>
      </c>
      <c r="U37" s="18"/>
      <c r="V37" s="8">
        <f>SUMIF(Planilha13!$H$1:$H$110,A37,Planilha13!$R$1:$R$150)</f>
        <v>40.590000000000003</v>
      </c>
      <c r="W37" s="8">
        <f>SUMIF(Planilha14!$H$1:$H$110,A37,Planilha14!$R$1:$R$150)</f>
        <v>12.69</v>
      </c>
      <c r="X37" s="10"/>
      <c r="Y37" s="8">
        <f>SUMIF('2026'!$H$1:$H$110,A37,'2026'!$R$1:$R$150)</f>
        <v>53.28</v>
      </c>
      <c r="Z37" s="1">
        <f t="shared" si="0"/>
        <v>0</v>
      </c>
    </row>
    <row r="38" spans="1:26" x14ac:dyDescent="0.2">
      <c r="B38" t="s">
        <v>59</v>
      </c>
      <c r="I38" s="1">
        <f>SUMIF(Planilha1!$I$1:$I$150,A38,Planilha1!$R$1:RL$150)</f>
        <v>0</v>
      </c>
      <c r="J38" s="1">
        <f>SUMIF(Planilha2!$I$1:$I$150,B38,Planilha2!$R$1:RM$150)</f>
        <v>0</v>
      </c>
      <c r="K38" s="1">
        <f>SUMIF(Planilha3!$I$1:$I$150,B38,Planilha3!$R$1:RN$150)</f>
        <v>0</v>
      </c>
      <c r="L38" s="1">
        <f>SUMIF(Planilha4!$I$1:$I$150,B38,Planilha4!$R$1:RO$150)</f>
        <v>10.49</v>
      </c>
      <c r="M38" s="1">
        <f>SUMIF(Planilha5!$I$1:$I$150,B38,Planilha5!$R$1:RP$150)</f>
        <v>0</v>
      </c>
      <c r="N38" s="1">
        <f>SUMIF(Planilha6!$I$1:$I$150,B38,Planilha6!$R$1:RQ$150)</f>
        <v>4.16</v>
      </c>
      <c r="O38" s="1">
        <f>SUMIF(Planilha7!$I$1:$I$150,B38,Planilha7!$R$1:RR$150)</f>
        <v>0.76</v>
      </c>
      <c r="P38" s="1">
        <f>SUMIF(Planilha8!$I$1:$I$150,B38,Planilha8!$R$1:RS$150)</f>
        <v>3.2</v>
      </c>
      <c r="Q38" s="1">
        <f>SUMIF(Planilha9!$I$1:$I$150,B38,Planilha9!$R$1:RT$150)</f>
        <v>3.21</v>
      </c>
      <c r="R38" s="1">
        <f>SUMIF(Planilha10!$I$1:$I$150,B38,Planilha10!$R$1:RU$150)</f>
        <v>0</v>
      </c>
      <c r="S38" s="1">
        <f>SUMIF(Planilha11!$I$1:$I$150,B38,Planilha11!$R$1:RV$150)</f>
        <v>1.69</v>
      </c>
      <c r="T38" s="1">
        <f>SUMIF(Planilha12!$I$1:$I$150,B38,Planilha12!$R$1:RW$150)</f>
        <v>5.05</v>
      </c>
      <c r="U38" s="1"/>
      <c r="V38" s="1">
        <f>SUMIF(Planilha13!$I$1:$I$150,B38,Planilha13!$R$1:RY$150)</f>
        <v>40.590000000000003</v>
      </c>
      <c r="W38" s="1">
        <f>SUMIF(Planilha14!$I$1:$I$150,B38,Planilha14!$R$1:RZ$150)</f>
        <v>12.69</v>
      </c>
      <c r="X38" s="1"/>
      <c r="Y38" s="1">
        <f>SUMIF('2026'!$I$1:$I$150,B38,'2026'!$R$1:RQ$150)</f>
        <v>53.28</v>
      </c>
      <c r="Z38" s="1">
        <f t="shared" si="0"/>
        <v>0</v>
      </c>
    </row>
    <row r="39" spans="1:26" x14ac:dyDescent="0.2">
      <c r="A39" s="7" t="s">
        <v>252</v>
      </c>
      <c r="B39" s="7"/>
      <c r="C39" s="7"/>
      <c r="D39" s="7"/>
      <c r="E39" s="7"/>
      <c r="F39" s="7"/>
      <c r="G39" s="7"/>
      <c r="H39" s="7"/>
      <c r="I39" s="8">
        <f>SUMIF(Planilha1!$H$1:$H$110,A39,Planilha1!$R$1:$R$150)</f>
        <v>0</v>
      </c>
      <c r="J39" s="8">
        <f>SUMIF(Planilha2!$H$1:$H$110,A39,Planilha2!$R$1:$R$150)</f>
        <v>0</v>
      </c>
      <c r="K39" s="8">
        <f>SUMIF(Planilha3!$H$1:$H$110,A39,Planilha3!$R$1:$R$150)</f>
        <v>0</v>
      </c>
      <c r="L39" s="8">
        <f>SUMIF(Planilha4!$H$1:$H$110,A39,Planilha4!$R$1:$R$150)</f>
        <v>0</v>
      </c>
      <c r="M39" s="8">
        <f>SUMIF(Planilha5!$H$1:$H$110,A39,Planilha5!$R$1:$R$150)</f>
        <v>0</v>
      </c>
      <c r="N39" s="8">
        <f>SUMIF(Planilha6!$H$1:$H$110,A39,Planilha6!$R$1:$R$150)</f>
        <v>8.9</v>
      </c>
      <c r="O39" s="8">
        <f>SUMIF(Planilha7!$H$1:$H$110,A39,Planilha7!$R$1:$R$150)</f>
        <v>78.94</v>
      </c>
      <c r="P39" s="8">
        <f>SUMIF(Planilha8!$H$1:$H$110,A39,Planilha8!$R$1:$R$150)</f>
        <v>352.76</v>
      </c>
      <c r="Q39" s="8">
        <f>SUMIF(Planilha9!$H$1:$H$110,A39,Planilha9!$R$1:$R$150)</f>
        <v>3834.2</v>
      </c>
      <c r="R39" s="8">
        <f>SUMIF(Planilha10!$H$1:$H$110,A39,Planilha10!$R$1:$R$150)</f>
        <v>1552.28</v>
      </c>
      <c r="S39" s="8">
        <f>SUMIF(Planilha11!$H$1:$H$110,A39,Planilha11!$R$1:$R$150)</f>
        <v>260.45</v>
      </c>
      <c r="T39" s="8">
        <f>SUMIF(Planilha12!$H$1:$H$110,A39,Planilha12!$R$1:$R$150)</f>
        <v>646.12</v>
      </c>
      <c r="U39" s="18"/>
      <c r="V39" s="8">
        <f>SUMIF(Planilha13!$H$1:$H$110,A39,Planilha13!$R$1:$R$150)</f>
        <v>1231.9000000000001</v>
      </c>
      <c r="W39" s="8">
        <f>SUMIF(Planilha14!$H$1:$H$110,A39,Planilha14!$R$1:$R$150)</f>
        <v>1831.47</v>
      </c>
      <c r="X39" s="1"/>
      <c r="Y39" s="8">
        <f>SUMIF('2026'!$H$1:$H$110,A39,'2026'!$R$1:$R$150)</f>
        <v>3063.37</v>
      </c>
      <c r="Z39" s="1">
        <f t="shared" si="0"/>
        <v>0</v>
      </c>
    </row>
    <row r="40" spans="1:26" x14ac:dyDescent="0.2">
      <c r="B40" t="s">
        <v>252</v>
      </c>
      <c r="I40" s="1">
        <f>SUMIF(Planilha1!$I$1:$I$150,A40,Planilha1!$R$1:RL$150)</f>
        <v>0</v>
      </c>
      <c r="J40" s="1">
        <f>SUMIF(Planilha2!$I$1:$I$150,B40,Planilha2!$R$1:RM$150)</f>
        <v>0</v>
      </c>
      <c r="K40" s="1">
        <f>SUMIF(Planilha3!$I$1:$I$150,B40,Planilha3!$R$1:RN$150)</f>
        <v>0</v>
      </c>
      <c r="L40" s="1">
        <f>SUMIF(Planilha4!$I$1:$I$150,B40,Planilha4!$R$1:RO$150)</f>
        <v>0</v>
      </c>
      <c r="M40" s="1">
        <f>SUMIF(Planilha5!$I$1:$I$150,B40,Planilha5!$R$1:RP$150)</f>
        <v>0</v>
      </c>
      <c r="N40" s="1">
        <f>SUMIF(Planilha6!$I$1:$I$150,B40,Planilha6!$R$1:RQ$150)</f>
        <v>8.9</v>
      </c>
      <c r="O40" s="1">
        <f>SUMIF(Planilha7!$I$1:$I$150,B40,Planilha7!$R$1:RR$150)</f>
        <v>78.94</v>
      </c>
      <c r="P40" s="1">
        <f>SUMIF(Planilha8!$I$1:$I$150,B40,Planilha8!$R$1:RS$150)</f>
        <v>352.76</v>
      </c>
      <c r="Q40" s="1">
        <f>SUMIF(Planilha9!$I$1:$I$150,B40,Planilha9!$R$1:RT$150)</f>
        <v>3834.2</v>
      </c>
      <c r="R40" s="1">
        <f>SUMIF(Planilha10!$I$1:$I$150,B40,Planilha10!$R$1:RU$150)</f>
        <v>1552.28</v>
      </c>
      <c r="S40" s="1">
        <f>SUMIF(Planilha11!$I$1:$I$150,B40,Planilha11!$R$1:RV$150)</f>
        <v>260.45</v>
      </c>
      <c r="T40" s="1">
        <f>SUMIF(Planilha12!$I$1:$I$150,B40,Planilha12!$R$1:RW$150)</f>
        <v>646.12</v>
      </c>
      <c r="U40" s="1"/>
      <c r="V40" s="1">
        <f>SUMIF(Planilha13!$I$1:$I$150,B40,Planilha13!$R$1:RY$150)</f>
        <v>1231.9000000000001</v>
      </c>
      <c r="W40" s="1">
        <f>SUMIF(Planilha14!$I$1:$I$150,B40,Planilha14!$R$1:RZ$150)</f>
        <v>1831.47</v>
      </c>
      <c r="X40" s="1"/>
      <c r="Y40" s="1">
        <f>SUMIF('2026'!$I$1:$I$150,B40,'2026'!$R$1:RQ$150)</f>
        <v>3063.37</v>
      </c>
      <c r="Z40" s="1">
        <f t="shared" si="0"/>
        <v>0</v>
      </c>
    </row>
    <row r="41" spans="1:26" x14ac:dyDescent="0.2">
      <c r="A41" s="7" t="s">
        <v>94</v>
      </c>
      <c r="B41" s="7"/>
      <c r="C41" s="7"/>
      <c r="D41" s="7"/>
      <c r="E41" s="7"/>
      <c r="F41" s="7"/>
      <c r="G41" s="7"/>
      <c r="H41" s="7"/>
      <c r="I41" s="8">
        <f>SUMIF(Planilha1!$H$1:$H$110,A41,Planilha1!$R$1:$R$150)</f>
        <v>314801.28000000003</v>
      </c>
      <c r="J41" s="8">
        <f>SUMIF(Planilha2!$H$1:$H$110,A41,Planilha2!$R$1:$R$150)</f>
        <v>242501.84</v>
      </c>
      <c r="K41" s="8">
        <f>SUMIF(Planilha3!$H$1:$H$110,A41,Planilha3!$R$1:$R$150)</f>
        <v>263727.34999999998</v>
      </c>
      <c r="L41" s="8">
        <f>SUMIF(Planilha4!$H$1:$H$110,A41,Planilha4!$R$1:$R$150)</f>
        <v>222770.1</v>
      </c>
      <c r="M41" s="8">
        <f>SUMIF(Planilha5!$H$1:$H$110,A41,Planilha5!$R$1:$R$150)</f>
        <v>234995.38</v>
      </c>
      <c r="N41" s="8">
        <f>SUMIF(Planilha6!$H$1:$H$110,A41,Planilha6!$R$1:$R$150)</f>
        <v>276308.59000000003</v>
      </c>
      <c r="O41" s="8">
        <f>SUMIF(Planilha7!$H$1:$H$110,A41,Planilha7!$R$1:$R$150)</f>
        <v>271202.78999999998</v>
      </c>
      <c r="P41" s="8">
        <f>SUMIF(Planilha8!$H$1:$H$110,A41,Planilha8!$R$1:$R$150)</f>
        <v>320750.34000000003</v>
      </c>
      <c r="Q41" s="8">
        <f>SUMIF(Planilha9!$H$1:$H$110,A41,Planilha9!$R$1:$R$150)</f>
        <v>345405.98</v>
      </c>
      <c r="R41" s="8">
        <f>SUMIF(Planilha10!$H$1:$H$110,A41,Planilha10!$R$1:$R$150)</f>
        <v>532427.56000000006</v>
      </c>
      <c r="S41" s="8">
        <f>SUMIF(Planilha11!$H$1:$H$110,A41,Planilha11!$R$1:$R$150)</f>
        <v>561551.5</v>
      </c>
      <c r="T41" s="8">
        <f>SUMIF(Planilha12!$H$1:$H$110,A41,Planilha12!$R$1:$R$150)</f>
        <v>757019</v>
      </c>
      <c r="U41" s="18"/>
      <c r="V41" s="8">
        <f>SUMIF(Planilha13!$H$1:$H$110,A41,Planilha13!$R$1:$R$150)</f>
        <v>611526.87</v>
      </c>
      <c r="W41" s="8">
        <f>SUMIF(Planilha14!$H$1:$H$110,A41,Planilha14!$R$1:$R$150)</f>
        <v>423604.3</v>
      </c>
      <c r="X41" s="10"/>
      <c r="Y41" s="8">
        <f>SUMIF('2026'!$H$1:$H$110,A41,'2026'!$R$1:$R$150)</f>
        <v>1035131.17</v>
      </c>
      <c r="Z41" s="1">
        <f t="shared" si="0"/>
        <v>0</v>
      </c>
    </row>
    <row r="42" spans="1:26" x14ac:dyDescent="0.2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>
        <f t="shared" si="0"/>
        <v>0</v>
      </c>
    </row>
    <row r="43" spans="1:26" x14ac:dyDescent="0.2">
      <c r="A43" s="7" t="s">
        <v>95</v>
      </c>
      <c r="B43" s="7"/>
      <c r="C43" s="7"/>
      <c r="D43" s="7"/>
      <c r="E43" s="7"/>
      <c r="F43" s="7"/>
      <c r="G43" s="7"/>
      <c r="H43" s="7"/>
      <c r="I43" s="8">
        <f>SUMIF(Planilha1!$H$1:$H$110,A43,Planilha1!$R$1:$R$150)</f>
        <v>-45438.63</v>
      </c>
      <c r="J43" s="8">
        <f>SUMIF(Planilha2!$H$1:$H$110,A43,Planilha2!$R$1:$R$150)</f>
        <v>-37315.230000000003</v>
      </c>
      <c r="K43" s="8">
        <f>SUMIF(Planilha3!$H$1:$H$110,A43,Planilha3!$R$1:$R$150)</f>
        <v>-38241.74</v>
      </c>
      <c r="L43" s="8">
        <f>SUMIF(Planilha4!$H$1:$H$110,A43,Planilha4!$R$1:$R$150)</f>
        <v>-36743.93</v>
      </c>
      <c r="M43" s="8">
        <f>SUMIF(Planilha5!$H$1:$H$110,A43,Planilha5!$R$1:$R$150)</f>
        <v>-46248.31</v>
      </c>
      <c r="N43" s="8">
        <f>SUMIF(Planilha6!$H$1:$H$110,A43,Planilha6!$R$1:$R$150)</f>
        <v>-33737.160000000003</v>
      </c>
      <c r="O43" s="8">
        <f>SUMIF(Planilha7!$H$1:$H$110,A43,Planilha7!$R$1:$R$150)</f>
        <v>-29155.49</v>
      </c>
      <c r="P43" s="8">
        <f>SUMIF(Planilha8!$H$1:$H$110,A43,Planilha8!$R$1:$R$150)</f>
        <v>-23752.080000000002</v>
      </c>
      <c r="Q43" s="8">
        <f>SUMIF(Planilha9!$H$1:$H$110,A43,Planilha9!$R$1:$R$150)</f>
        <v>-32588.959999999999</v>
      </c>
      <c r="R43" s="8">
        <f>SUMIF(Planilha10!$H$1:$H$110,A43,Planilha10!$R$1:$R$150)</f>
        <v>-43020.04</v>
      </c>
      <c r="S43" s="8">
        <f>SUMIF(Planilha11!$H$1:$H$110,A43,Planilha11!$R$1:$R$150)</f>
        <v>-69590.53</v>
      </c>
      <c r="T43" s="8">
        <f>SUMIF(Planilha12!$H$1:$H$110,A43,Planilha12!$R$1:$R$150)</f>
        <v>-99850.61</v>
      </c>
      <c r="U43" s="18"/>
      <c r="V43" s="8">
        <f>SUMIF(Planilha13!$H$1:$H$110,A43,Planilha13!$R$1:$R$150)</f>
        <v>-72234.570000000007</v>
      </c>
      <c r="W43" s="8">
        <f>SUMIF(Planilha14!$H$1:$H$110,A43,Planilha14!$R$1:$R$150)</f>
        <v>-41897.449999999997</v>
      </c>
      <c r="X43" s="10"/>
      <c r="Y43" s="8">
        <f>SUMIF('2026'!$H$1:$H$110,A43,'2026'!$R$1:$R$150)</f>
        <v>-114132.02</v>
      </c>
      <c r="Z43" s="1">
        <f t="shared" si="0"/>
        <v>0</v>
      </c>
    </row>
    <row r="44" spans="1:26" x14ac:dyDescent="0.2">
      <c r="A44" s="3"/>
      <c r="B44" s="3" t="s">
        <v>97</v>
      </c>
      <c r="C44" s="3"/>
      <c r="D44" s="3"/>
      <c r="E44" s="3"/>
      <c r="F44" s="3"/>
      <c r="G44" s="3"/>
      <c r="H44" s="3"/>
      <c r="I44" s="11">
        <f>SUMIF(Planilha1!$I$1:$I$150,B44,Planilha1!$R$1:RL$150)</f>
        <v>-38368.67</v>
      </c>
      <c r="J44" s="11">
        <f>SUMIF(Planilha2!$I$1:$I$150,B44,Planilha2!$R$1:RM$150)</f>
        <v>-32396.03</v>
      </c>
      <c r="K44" s="11">
        <f>SUMIF(Planilha3!$I$1:$I$150,B44,Planilha3!$R$1:RN$150)</f>
        <v>-30266.43</v>
      </c>
      <c r="L44" s="11">
        <f>SUMIF(Planilha4!$I$1:$I$150,B44,Planilha4!$R$1:RO$150)</f>
        <v>-31117.68</v>
      </c>
      <c r="M44" s="11">
        <f>SUMIF(Planilha5!$I$1:$I$150,B44,Planilha5!$R$1:RP$150)</f>
        <v>-39597.870000000003</v>
      </c>
      <c r="N44" s="11">
        <f>SUMIF(Planilha6!$I$1:$I$150,B44,Planilha6!$R$1:RQ$150)</f>
        <v>-27086.720000000001</v>
      </c>
      <c r="O44" s="11">
        <f>SUMIF(Planilha7!$I$1:$I$150,B44,Planilha7!$R$1:RR$150)</f>
        <v>-25733.24</v>
      </c>
      <c r="P44" s="11">
        <f>SUMIF(Planilha8!$I$1:$I$150,B44,Planilha8!$R$1:RS$150)</f>
        <v>-22182.95</v>
      </c>
      <c r="Q44" s="11">
        <f>SUMIF(Planilha9!$I$1:$I$150,B44,Planilha9!$R$1:RT$150)</f>
        <v>-20189.25</v>
      </c>
      <c r="R44" s="11">
        <f>SUMIF(Planilha10!$I$1:$I$150,B44,Planilha10!$R$1:RU$150)</f>
        <v>-29566.35</v>
      </c>
      <c r="S44" s="11">
        <f>SUMIF(Planilha11!$I$1:$I$150,B44,Planilha11!$R$1:RV$150)</f>
        <v>-42892.46</v>
      </c>
      <c r="T44" s="11">
        <f>SUMIF(Planilha12!$I$1:$I$150,B44,Planilha12!$R$1:RW$150)</f>
        <v>-57419.4</v>
      </c>
      <c r="U44" s="11"/>
      <c r="V44" s="11">
        <f>SUMIF(Planilha13!$I$1:$I$150,B44,Planilha13!$R$1:RY$150)</f>
        <v>-55960.11</v>
      </c>
      <c r="W44" s="11">
        <f>SUMIF(Planilha14!$I$1:$I$150,B44,Planilha14!$R$1:RZ$150)</f>
        <v>-37902.870000000003</v>
      </c>
      <c r="X44" s="11"/>
      <c r="Y44" s="11">
        <f>SUMIF('2026'!$I$1:$I$150,B44,'2026'!$R$1:RQ$150)</f>
        <v>-93862.98</v>
      </c>
      <c r="Z44" s="1">
        <f t="shared" si="0"/>
        <v>0</v>
      </c>
    </row>
    <row r="45" spans="1:26" x14ac:dyDescent="0.2">
      <c r="B45" t="s">
        <v>13</v>
      </c>
      <c r="I45" s="1">
        <f>SUMIF(Planilha1!$I$1:$I$150,B45,Planilha1!$R$1:RL$150)</f>
        <v>-5380.07</v>
      </c>
      <c r="J45" s="1">
        <f>SUMIF(Planilha2!$I$1:$I$150,B45,Planilha2!$R$1:RM$150)</f>
        <v>-4301.18</v>
      </c>
      <c r="K45" s="1">
        <f>SUMIF(Planilha3!$I$1:$I$150,B45,Planilha3!$R$1:RN$150)</f>
        <v>-4108.25</v>
      </c>
      <c r="L45" s="1">
        <f>SUMIF(Planilha4!$I$1:$I$150,B45,Planilha4!$R$1:RO$150)</f>
        <v>-2657.31</v>
      </c>
      <c r="M45" s="1">
        <f>SUMIF(Planilha5!$I$1:$I$150,B45,Planilha5!$R$1:RP$150)</f>
        <v>-3650.44</v>
      </c>
      <c r="N45" s="1">
        <f>SUMIF(Planilha6!$I$1:$I$150,B45,Planilha6!$R$1:RQ$150)</f>
        <v>-3650.44</v>
      </c>
      <c r="O45" s="1">
        <f>SUMIF(Planilha7!$I$1:$I$150,B45,Planilha7!$R$1:RR$150)</f>
        <v>-104.79</v>
      </c>
      <c r="P45" s="1">
        <f>SUMIF(Planilha8!$I$1:$I$150,B45,Planilha8!$R$1:RS$150)</f>
        <v>-219.13</v>
      </c>
      <c r="Q45" s="1">
        <f>SUMIF(Planilha9!$I$1:$I$150,B45,Planilha9!$R$1:RT$150)</f>
        <v>-569.13</v>
      </c>
      <c r="R45" s="1">
        <f>SUMIF(Planilha10!$I$1:$I$150,B45,Planilha10!$R$1:RU$150)</f>
        <v>-2093.42</v>
      </c>
      <c r="S45" s="1">
        <f>SUMIF(Planilha11!$I$1:$I$150,B45,Planilha11!$R$1:RV$150)</f>
        <v>-2570.34</v>
      </c>
      <c r="T45" s="1">
        <f>SUMIF(Planilha12!$I$1:$I$150,B45,Planilha12!$R$1:RW$150)</f>
        <v>-3885.76</v>
      </c>
      <c r="U45" s="1"/>
      <c r="V45" s="1">
        <f>SUMIF(Planilha13!$I$1:$I$150,B45,Planilha13!$R$1:RY$150)</f>
        <v>-7925.23</v>
      </c>
      <c r="W45" s="1">
        <f>SUMIF(Planilha14!$I$1:$I$150,B45,Planilha14!$R$1:RZ$150)</f>
        <v>-1397.61</v>
      </c>
      <c r="X45" s="1"/>
      <c r="Y45" s="1">
        <f>SUMIF('2026'!$I$1:$I$150,B45,'2026'!$R$1:RQ$150)</f>
        <v>-9322.84</v>
      </c>
      <c r="Z45" s="1">
        <f t="shared" si="0"/>
        <v>0</v>
      </c>
    </row>
    <row r="46" spans="1:26" x14ac:dyDescent="0.2">
      <c r="A46" s="3"/>
      <c r="B46" s="3" t="s">
        <v>19</v>
      </c>
      <c r="C46" s="3"/>
      <c r="D46" s="3"/>
      <c r="E46" s="3"/>
      <c r="F46" s="3"/>
      <c r="G46" s="3"/>
      <c r="H46" s="3"/>
      <c r="I46" s="11">
        <f>SUMIF(Planilha1!$I$1:$I$150,B46,Planilha1!$R$1:RL$150)</f>
        <v>-690.89</v>
      </c>
      <c r="J46" s="11">
        <f>SUMIF(Planilha2!$I$1:$I$150,B46,Planilha2!$R$1:RM$150)</f>
        <v>-165.05</v>
      </c>
      <c r="K46" s="11">
        <f>SUMIF(Planilha3!$I$1:$I$150,B46,Planilha3!$R$1:RN$150)</f>
        <v>0</v>
      </c>
      <c r="L46" s="11">
        <f>SUMIF(Planilha4!$I$1:$I$150,B46,Planilha4!$R$1:RO$150)</f>
        <v>-969</v>
      </c>
      <c r="M46" s="11">
        <f>SUMIF(Planilha5!$I$1:$I$150,B46,Planilha5!$R$1:RP$150)</f>
        <v>0</v>
      </c>
      <c r="N46" s="11">
        <f>SUMIF(Planilha6!$I$1:$I$150,B46,Planilha6!$R$1:RQ$150)</f>
        <v>0</v>
      </c>
      <c r="O46" s="11">
        <f>SUMIF(Planilha7!$I$1:$I$150,B46,Planilha7!$R$1:RR$150)</f>
        <v>0</v>
      </c>
      <c r="P46" s="11">
        <f>SUMIF(Planilha8!$I$1:$I$150,B46,Planilha8!$R$1:RS$150)</f>
        <v>0</v>
      </c>
      <c r="Q46" s="11">
        <f>SUMIF(Planilha9!$I$1:$I$150,B46,Planilha9!$R$1:RT$150)</f>
        <v>0</v>
      </c>
      <c r="R46" s="11">
        <f>SUMIF(Planilha10!$I$1:$I$150,B46,Planilha10!$R$1:RU$150)</f>
        <v>0</v>
      </c>
      <c r="S46" s="11">
        <f>SUMIF(Planilha11!$I$1:$I$150,B46,Planilha11!$R$1:RV$150)</f>
        <v>0</v>
      </c>
      <c r="T46" s="11">
        <f>SUMIF(Planilha12!$I$1:$I$150,B46,Planilha12!$R$1:RW$150)</f>
        <v>0</v>
      </c>
      <c r="U46" s="11"/>
      <c r="V46" s="11">
        <f>SUMIF(Planilha13!$I$1:$I$150,B46,Planilha13!$R$1:RY$150)</f>
        <v>0</v>
      </c>
      <c r="W46" s="11">
        <f>SUMIF(Planilha14!$I$1:$I$150,B46,Planilha14!$R$1:RZ$150)</f>
        <v>0</v>
      </c>
      <c r="X46" s="11"/>
      <c r="Y46" s="11">
        <f>SUMIF('2026'!$I$1:$I$150,B46,'2026'!$R$1:RQ$150)</f>
        <v>0</v>
      </c>
      <c r="Z46" s="1">
        <f t="shared" si="0"/>
        <v>0</v>
      </c>
    </row>
    <row r="47" spans="1:26" x14ac:dyDescent="0.2">
      <c r="B47" t="s">
        <v>14</v>
      </c>
      <c r="I47" s="1">
        <f>SUMIF(Planilha1!$I$1:$I$150,B47,Planilha1!$R$1:RL$150)</f>
        <v>0</v>
      </c>
      <c r="J47" s="1">
        <f>SUMIF(Planilha2!$I$1:$I$150,B47,Planilha2!$R$1:RM$150)</f>
        <v>0</v>
      </c>
      <c r="K47" s="1">
        <f>SUMIF(Planilha3!$I$1:$I$150,B47,Planilha3!$R$1:RN$150)</f>
        <v>-3000</v>
      </c>
      <c r="L47" s="1">
        <f>SUMIF(Planilha4!$I$1:$I$150,B47,Planilha4!$R$1:RO$150)</f>
        <v>0</v>
      </c>
      <c r="M47" s="1">
        <f>SUMIF(Planilha5!$I$1:$I$150,B47,Planilha5!$R$1:RP$150)</f>
        <v>-3000</v>
      </c>
      <c r="N47" s="1">
        <f>SUMIF(Planilha6!$I$1:$I$150,B47,Planilha6!$R$1:RQ$150)</f>
        <v>-3000</v>
      </c>
      <c r="O47" s="1">
        <f>SUMIF(Planilha7!$I$1:$I$150,B47,Planilha7!$R$1:RR$150)</f>
        <v>-750</v>
      </c>
      <c r="P47" s="1">
        <f>SUMIF(Planilha8!$I$1:$I$150,B47,Planilha8!$R$1:RS$150)</f>
        <v>-1350</v>
      </c>
      <c r="Q47" s="1">
        <f>SUMIF(Planilha9!$I$1:$I$150,B47,Planilha9!$R$1:RT$150)</f>
        <v>-7509.27</v>
      </c>
      <c r="R47" s="1">
        <f>SUMIF(Planilha10!$I$1:$I$150,B47,Planilha10!$R$1:RU$150)</f>
        <v>-7284.27</v>
      </c>
      <c r="S47" s="1">
        <f>SUMIF(Planilha11!$I$1:$I$150,B47,Planilha11!$R$1:RV$150)</f>
        <v>-16501.75</v>
      </c>
      <c r="T47" s="1">
        <f>SUMIF(Planilha12!$I$1:$I$150,B47,Planilha12!$R$1:RW$150)</f>
        <v>-5430.92</v>
      </c>
      <c r="U47" s="1"/>
      <c r="V47" s="1">
        <f>SUMIF(Planilha13!$I$1:$I$150,B47,Planilha13!$R$1:RY$150)</f>
        <v>-450</v>
      </c>
      <c r="W47" s="1">
        <f>SUMIF(Planilha14!$I$1:$I$150,B47,Planilha14!$R$1:RZ$150)</f>
        <v>-450</v>
      </c>
      <c r="X47" s="1"/>
      <c r="Y47" s="1">
        <f>SUMIF('2026'!$I$1:$I$150,B47,'2026'!$R$1:RQ$150)</f>
        <v>-900</v>
      </c>
      <c r="Z47" s="1">
        <f t="shared" si="0"/>
        <v>0</v>
      </c>
    </row>
    <row r="48" spans="1:26" x14ac:dyDescent="0.2">
      <c r="A48" s="3"/>
      <c r="B48" s="3" t="s">
        <v>25</v>
      </c>
      <c r="C48" s="3"/>
      <c r="D48" s="3"/>
      <c r="E48" s="3"/>
      <c r="F48" s="3"/>
      <c r="G48" s="3"/>
      <c r="H48" s="3"/>
      <c r="I48" s="11">
        <f>SUMIF(Planilha1!$I$1:$I$150,B48,Planilha1!$R$1:RL$150)</f>
        <v>-999</v>
      </c>
      <c r="J48" s="11">
        <f>SUMIF(Planilha2!$I$1:$I$150,B48,Planilha2!$R$1:RM$150)</f>
        <v>-452.97</v>
      </c>
      <c r="K48" s="11">
        <f>SUMIF(Planilha3!$I$1:$I$150,B48,Planilha3!$R$1:RN$150)</f>
        <v>-867.06</v>
      </c>
      <c r="L48" s="11">
        <f>SUMIF(Planilha4!$I$1:$I$150,B48,Planilha4!$R$1:RO$150)</f>
        <v>-1999.94</v>
      </c>
      <c r="M48" s="11">
        <f>SUMIF(Planilha5!$I$1:$I$150,B48,Planilha5!$R$1:RP$150)</f>
        <v>0</v>
      </c>
      <c r="N48" s="11">
        <f>SUMIF(Planilha6!$I$1:$I$150,B48,Planilha6!$R$1:RQ$150)</f>
        <v>0</v>
      </c>
      <c r="O48" s="11">
        <f>SUMIF(Planilha7!$I$1:$I$150,B48,Planilha7!$R$1:RR$150)</f>
        <v>-2567.46</v>
      </c>
      <c r="P48" s="11">
        <f>SUMIF(Planilha8!$I$1:$I$150,B48,Planilha8!$R$1:RS$150)</f>
        <v>0</v>
      </c>
      <c r="Q48" s="11">
        <f>SUMIF(Planilha9!$I$1:$I$150,B48,Planilha9!$R$1:RT$150)</f>
        <v>-4321.3100000000004</v>
      </c>
      <c r="R48" s="11">
        <f>SUMIF(Planilha10!$I$1:$I$150,B48,Planilha10!$R$1:RU$150)</f>
        <v>-4076</v>
      </c>
      <c r="S48" s="11">
        <f>SUMIF(Planilha11!$I$1:$I$150,B48,Planilha11!$R$1:RV$150)</f>
        <v>-7625.98</v>
      </c>
      <c r="T48" s="11">
        <f>SUMIF(Planilha12!$I$1:$I$150,B48,Planilha12!$R$1:RW$150)</f>
        <v>-33114.53</v>
      </c>
      <c r="U48" s="11"/>
      <c r="V48" s="11">
        <f>SUMIF(Planilha13!$I$1:$I$150,B48,Planilha13!$R$1:RY$150)</f>
        <v>-7899.23</v>
      </c>
      <c r="W48" s="11">
        <f>SUMIF(Planilha14!$I$1:$I$150,B48,Planilha14!$R$1:RZ$150)</f>
        <v>-2146.9699999999998</v>
      </c>
      <c r="X48" s="11"/>
      <c r="Y48" s="11">
        <f>SUMIF('2026'!$I$1:$I$150,B48,'2026'!$R$1:RQ$150)</f>
        <v>-10046.200000000001</v>
      </c>
      <c r="Z48" s="1">
        <f t="shared" si="0"/>
        <v>0</v>
      </c>
    </row>
    <row r="49" spans="1:26" x14ac:dyDescent="0.2">
      <c r="A49" s="7" t="s">
        <v>101</v>
      </c>
      <c r="B49" s="7"/>
      <c r="C49" s="7"/>
      <c r="D49" s="7"/>
      <c r="E49" s="7"/>
      <c r="F49" s="7"/>
      <c r="G49" s="7"/>
      <c r="H49" s="7"/>
      <c r="I49" s="8">
        <f>SUMIF(Planilha1!$H$1:$H$110,A49,Planilha1!$R$1:$R$150)</f>
        <v>-7467.97</v>
      </c>
      <c r="J49" s="8">
        <f>SUMIF(Planilha2!$H$1:$H$110,A49,Planilha2!$R$1:$R$150)</f>
        <v>-6388.04</v>
      </c>
      <c r="K49" s="8">
        <f>SUMIF(Planilha3!$H$1:$H$110,A49,Planilha3!$R$1:$R$150)</f>
        <v>-11904.13</v>
      </c>
      <c r="L49" s="8">
        <f>SUMIF(Planilha4!$H$1:$H$110,A49,Planilha4!$R$1:$R$150)</f>
        <v>-12710.26</v>
      </c>
      <c r="M49" s="8">
        <f>SUMIF(Planilha5!$H$1:$H$110,A49,Planilha5!$R$1:$R$150)</f>
        <v>-10745.85</v>
      </c>
      <c r="N49" s="8">
        <f>SUMIF(Planilha6!$H$1:$H$110,A49,Planilha6!$R$1:$R$150)</f>
        <v>-17952.990000000002</v>
      </c>
      <c r="O49" s="8">
        <f>SUMIF(Planilha7!$H$1:$H$110,A49,Planilha7!$R$1:$R$150)</f>
        <v>-26613.38</v>
      </c>
      <c r="P49" s="8">
        <f>SUMIF(Planilha8!$H$1:$H$110,A49,Planilha8!$R$1:$R$150)</f>
        <v>-32006.59</v>
      </c>
      <c r="Q49" s="8">
        <f>SUMIF(Planilha9!$H$1:$H$110,A49,Planilha9!$R$1:$R$150)</f>
        <v>-23346.11</v>
      </c>
      <c r="R49" s="8">
        <f>SUMIF(Planilha10!$H$1:$H$110,A49,Planilha10!$R$1:$R$150)</f>
        <v>-20628.88</v>
      </c>
      <c r="S49" s="8">
        <f>SUMIF(Planilha11!$H$1:$H$110,A49,Planilha11!$R$1:$R$150)</f>
        <v>-37959.160000000003</v>
      </c>
      <c r="T49" s="8">
        <f>SUMIF(Planilha12!$H$1:$H$110,A49,Planilha12!$R$1:$R$150)</f>
        <v>-82349.2</v>
      </c>
      <c r="U49" s="18"/>
      <c r="V49" s="8">
        <f>SUMIF(Planilha13!$H$1:$H$110,A49,Planilha13!$R$1:$R$150)</f>
        <v>-80047.92</v>
      </c>
      <c r="W49" s="8">
        <f>SUMIF(Planilha14!$H$1:$H$110,A49,Planilha14!$R$1:$R$150)</f>
        <v>-47957.89</v>
      </c>
      <c r="X49" s="10"/>
      <c r="Y49" s="8">
        <f>SUMIF('2026'!$H$1:$H$110,A49,'2026'!$R$1:$R$150)</f>
        <v>-128005.81</v>
      </c>
      <c r="Z49" s="1">
        <f t="shared" si="0"/>
        <v>0</v>
      </c>
    </row>
    <row r="50" spans="1:26" x14ac:dyDescent="0.2">
      <c r="B50" t="s">
        <v>35</v>
      </c>
      <c r="I50" s="1">
        <f>SUMIF(Planilha1!$I$1:$I$150,B50,Planilha1!$R$1:RL$150)</f>
        <v>-14.41</v>
      </c>
      <c r="J50" s="1">
        <f>SUMIF(Planilha2!$I$1:$I$150,B50,Planilha2!$R$1:RM$150)</f>
        <v>-22.99</v>
      </c>
      <c r="K50" s="1">
        <f>SUMIF(Planilha3!$I$1:$I$150,B50,Planilha3!$R$1:RN$150)</f>
        <v>-36.25</v>
      </c>
      <c r="L50" s="1">
        <f>SUMIF(Planilha4!$I$1:$I$150,B50,Planilha4!$R$1:RO$150)</f>
        <v>-62.91</v>
      </c>
      <c r="M50" s="1">
        <f>SUMIF(Planilha5!$I$1:$I$150,B50,Planilha5!$R$1:RP$150)</f>
        <v>-114.26</v>
      </c>
      <c r="N50" s="1">
        <f>SUMIF(Planilha6!$I$1:$I$150,B50,Planilha6!$R$1:RQ$150)</f>
        <v>-23.94</v>
      </c>
      <c r="O50" s="1">
        <f>SUMIF(Planilha7!$I$1:$I$150,B50,Planilha7!$R$1:RR$150)</f>
        <v>-8.06</v>
      </c>
      <c r="P50" s="1">
        <f>SUMIF(Planilha8!$I$1:$I$150,B50,Planilha8!$R$1:RS$150)</f>
        <v>-18.34</v>
      </c>
      <c r="Q50" s="1">
        <f>SUMIF(Planilha9!$I$1:$I$150,B50,Planilha9!$R$1:RT$150)</f>
        <v>-18.54</v>
      </c>
      <c r="R50" s="1">
        <f>SUMIF(Planilha10!$I$1:$I$150,B50,Planilha10!$R$1:RU$150)</f>
        <v>-9485.26</v>
      </c>
      <c r="S50" s="1">
        <f>SUMIF(Planilha11!$I$1:$I$150,B50,Planilha11!$R$1:RV$150)</f>
        <v>-13576.69</v>
      </c>
      <c r="T50" s="1">
        <f>SUMIF(Planilha12!$I$1:$I$150,B50,Planilha12!$R$1:RW$150)</f>
        <v>-18860.63</v>
      </c>
      <c r="U50" s="1"/>
      <c r="V50" s="1">
        <f>SUMIF(Planilha13!$I$1:$I$150,B50,Planilha13!$R$1:RY$150)</f>
        <v>-9629.75</v>
      </c>
      <c r="W50" s="1">
        <f>SUMIF(Planilha14!$I$1:$I$150,B50,Planilha14!$R$1:RZ$150)</f>
        <v>-7748.07</v>
      </c>
      <c r="X50" s="1"/>
      <c r="Y50" s="1">
        <f>SUMIF('2026'!$I$1:$I$150,B50,'2026'!$R$1:RQ$150)</f>
        <v>-17377.82</v>
      </c>
      <c r="Z50" s="1">
        <f t="shared" si="0"/>
        <v>0</v>
      </c>
    </row>
    <row r="51" spans="1:26" x14ac:dyDescent="0.2">
      <c r="A51" s="3"/>
      <c r="B51" s="3" t="s">
        <v>38</v>
      </c>
      <c r="C51" s="3"/>
      <c r="D51" s="14"/>
      <c r="E51" s="3"/>
      <c r="F51" s="3"/>
      <c r="G51" s="3"/>
      <c r="H51" s="3"/>
      <c r="I51" s="11">
        <f>SUMIF(Planilha1!$I$1:$I$150,B51,Planilha1!$R$1:RL$150)</f>
        <v>-127.84</v>
      </c>
      <c r="J51" s="11">
        <f>SUMIF(Planilha2!$I$1:$I$150,B51,Planilha2!$R$1:RM$150)</f>
        <v>-106.44</v>
      </c>
      <c r="K51" s="11">
        <f>SUMIF(Planilha3!$I$1:$I$150,B51,Planilha3!$R$1:RN$150)</f>
        <v>-120.19</v>
      </c>
      <c r="L51" s="11">
        <f>SUMIF(Planilha4!$I$1:$I$150,B51,Planilha4!$R$1:RO$150)</f>
        <v>-719.07</v>
      </c>
      <c r="M51" s="11">
        <f>SUMIF(Planilha5!$I$1:$I$150,B51,Planilha5!$R$1:RP$150)</f>
        <v>-1200.21</v>
      </c>
      <c r="N51" s="11">
        <f>SUMIF(Planilha6!$I$1:$I$150,B51,Planilha6!$R$1:RQ$150)</f>
        <v>-9031.48</v>
      </c>
      <c r="O51" s="11">
        <f>SUMIF(Planilha7!$I$1:$I$150,B51,Planilha7!$R$1:RR$150)</f>
        <v>-19449.37</v>
      </c>
      <c r="P51" s="11">
        <f>SUMIF(Planilha8!$I$1:$I$150,B51,Planilha8!$R$1:RS$150)</f>
        <v>-24004</v>
      </c>
      <c r="Q51" s="11">
        <f>SUMIF(Planilha9!$I$1:$I$150,B51,Planilha9!$R$1:RT$150)</f>
        <v>-14867.44</v>
      </c>
      <c r="R51" s="11">
        <f>SUMIF(Planilha10!$I$1:$I$150,B51,Planilha10!$R$1:RU$150)</f>
        <v>-10888.27</v>
      </c>
      <c r="S51" s="11">
        <f>SUMIF(Planilha11!$I$1:$I$150,B51,Planilha11!$R$1:RV$150)</f>
        <v>-22440.42</v>
      </c>
      <c r="T51" s="11">
        <f>SUMIF(Planilha12!$I$1:$I$150,B51,Planilha12!$R$1:RW$150)</f>
        <v>-53682.39</v>
      </c>
      <c r="U51" s="11"/>
      <c r="V51" s="11">
        <f>SUMIF(Planilha13!$I$1:$I$150,B51,Planilha13!$R$1:RY$150)</f>
        <v>-45119.27</v>
      </c>
      <c r="W51" s="11">
        <f>SUMIF(Planilha14!$I$1:$I$150,B51,Planilha14!$R$1:RZ$150)</f>
        <v>-24656.73</v>
      </c>
      <c r="X51" s="3"/>
      <c r="Y51" s="11">
        <f>SUMIF('2026'!$I$1:$I$150,B51,'2026'!$R$1:RQ$150)</f>
        <v>-69776</v>
      </c>
      <c r="Z51" s="1">
        <f t="shared" si="0"/>
        <v>0</v>
      </c>
    </row>
    <row r="52" spans="1:26" x14ac:dyDescent="0.2">
      <c r="B52" t="s">
        <v>39</v>
      </c>
      <c r="D52" s="12"/>
      <c r="I52" s="1">
        <f>SUMIF(Planilha1!$I$1:$I$150,B52,Planilha1!$R$1:RL$150)</f>
        <v>-192.64</v>
      </c>
      <c r="J52" s="1">
        <f>SUMIF(Planilha2!$I$1:$I$150,B52,Planilha2!$R$1:RM$150)</f>
        <v>-85.23</v>
      </c>
      <c r="K52" s="1">
        <f>SUMIF(Planilha3!$I$1:$I$150,B52,Planilha3!$R$1:RN$150)</f>
        <v>-3587.81</v>
      </c>
      <c r="L52" s="1">
        <f>SUMIF(Planilha4!$I$1:$I$150,B52,Planilha4!$R$1:RO$150)</f>
        <v>-1874.88</v>
      </c>
      <c r="M52" s="1">
        <f>SUMIF(Planilha5!$I$1:$I$150,B52,Planilha5!$R$1:RP$150)</f>
        <v>-104.59</v>
      </c>
      <c r="N52" s="1">
        <f>SUMIF(Planilha6!$I$1:$I$150,B52,Planilha6!$R$1:RQ$150)</f>
        <v>-822.32</v>
      </c>
      <c r="O52" s="1">
        <f>SUMIF(Planilha7!$I$1:$I$150,B52,Planilha7!$R$1:RR$150)</f>
        <v>-359.72</v>
      </c>
      <c r="P52" s="1">
        <f>SUMIF(Planilha8!$I$1:$I$150,B52,Planilha8!$R$1:RS$150)</f>
        <v>-331.66</v>
      </c>
      <c r="Q52" s="1">
        <f>SUMIF(Planilha9!$I$1:$I$150,B52,Planilha9!$R$1:RT$150)</f>
        <v>-331.66</v>
      </c>
      <c r="R52" s="1">
        <f>SUMIF(Planilha10!$I$1:$I$150,B52,Planilha10!$R$1:RU$150)</f>
        <v>-187.73</v>
      </c>
      <c r="S52" s="1">
        <f>SUMIF(Planilha11!$I$1:$I$150,B52,Planilha11!$R$1:RV$150)</f>
        <v>-149.29</v>
      </c>
      <c r="T52" s="1">
        <f>SUMIF(Planilha12!$I$1:$I$150,B52,Planilha12!$R$1:RW$150)</f>
        <v>-9742.64</v>
      </c>
      <c r="U52" s="1"/>
      <c r="V52" s="1">
        <f>SUMIF(Planilha13!$I$1:$I$150,B52,Planilha13!$R$1:RY$150)</f>
        <v>-21745.48</v>
      </c>
      <c r="W52" s="1">
        <f>SUMIF(Planilha14!$I$1:$I$150,B52,Planilha14!$R$1:RZ$150)</f>
        <v>-10705.12</v>
      </c>
      <c r="Y52" s="1">
        <f>SUMIF('2026'!$I$1:$I$150,B52,'2026'!$R$1:RQ$150)</f>
        <v>-32450.6</v>
      </c>
      <c r="Z52" s="1">
        <f t="shared" si="0"/>
        <v>0</v>
      </c>
    </row>
    <row r="53" spans="1:26" x14ac:dyDescent="0.2">
      <c r="A53" s="3"/>
      <c r="B53" s="3" t="s">
        <v>40</v>
      </c>
      <c r="C53" s="3"/>
      <c r="D53" s="3"/>
      <c r="E53" s="3"/>
      <c r="F53" s="3"/>
      <c r="G53" s="3"/>
      <c r="H53" s="3"/>
      <c r="I53" s="11">
        <f>SUMIF(Planilha1!$I$1:$I$150,B53,Planilha1!$R$1:RL$150)</f>
        <v>-39.71</v>
      </c>
      <c r="J53" s="11">
        <f>SUMIF(Planilha2!$I$1:$I$150,B53,Planilha2!$R$1:RM$150)</f>
        <v>-70.31</v>
      </c>
      <c r="K53" s="11">
        <f>SUMIF(Planilha3!$I$1:$I$150,B53,Planilha3!$R$1:RN$150)</f>
        <v>-49.67</v>
      </c>
      <c r="L53" s="11">
        <f>SUMIF(Planilha4!$I$1:$I$150,B53,Planilha4!$R$1:RO$150)</f>
        <v>-70.3</v>
      </c>
      <c r="M53" s="11">
        <f>SUMIF(Planilha5!$I$1:$I$150,B53,Planilha5!$R$1:RP$150)</f>
        <v>-61.8</v>
      </c>
      <c r="N53" s="11">
        <f>SUMIF(Planilha6!$I$1:$I$150,B53,Planilha6!$R$1:RQ$150)</f>
        <v>-53.09</v>
      </c>
      <c r="O53" s="11">
        <f>SUMIF(Planilha7!$I$1:$I$150,B53,Planilha7!$R$1:RR$150)</f>
        <v>-60.02</v>
      </c>
      <c r="P53" s="11">
        <f>SUMIF(Planilha8!$I$1:$I$150,B53,Planilha8!$R$1:RS$150)</f>
        <v>-86.19</v>
      </c>
      <c r="Q53" s="11">
        <f>SUMIF(Planilha9!$I$1:$I$150,B53,Planilha9!$R$1:RT$150)</f>
        <v>-59.23</v>
      </c>
      <c r="R53" s="11">
        <f>SUMIF(Planilha10!$I$1:$I$150,B53,Planilha10!$R$1:RU$150)</f>
        <v>-67.62</v>
      </c>
      <c r="S53" s="11">
        <f>SUMIF(Planilha11!$I$1:$I$150,B53,Planilha11!$R$1:RV$150)</f>
        <v>-146.22</v>
      </c>
      <c r="T53" s="11">
        <f>SUMIF(Planilha12!$I$1:$I$150,B53,Planilha12!$R$1:RW$150)</f>
        <v>-63.54</v>
      </c>
      <c r="U53" s="11"/>
      <c r="V53" s="11">
        <f>SUMIF(Planilha13!$I$1:$I$150,B53,Planilha13!$R$1:RY$150)</f>
        <v>-3553.42</v>
      </c>
      <c r="W53" s="11">
        <f>SUMIF(Planilha14!$I$1:$I$150,B53,Planilha14!$R$1:RZ$150)</f>
        <v>-4847.97</v>
      </c>
      <c r="X53" s="3"/>
      <c r="Y53" s="11">
        <f>SUMIF('2026'!$I$1:$I$150,B53,'2026'!$R$1:RQ$150)</f>
        <v>-8401.39</v>
      </c>
      <c r="Z53" s="1">
        <f t="shared" si="0"/>
        <v>0</v>
      </c>
    </row>
    <row r="54" spans="1:26" x14ac:dyDescent="0.2">
      <c r="B54" t="s">
        <v>41</v>
      </c>
      <c r="I54" s="1">
        <f>SUMIF(Planilha1!$I$1:$I$150,B54,Planilha1!$R$1:RL$150)</f>
        <v>-7093.37</v>
      </c>
      <c r="J54" s="1">
        <f>SUMIF(Planilha2!$I$1:$I$150,B54,Planilha2!$R$1:RM$150)</f>
        <v>-6103.07</v>
      </c>
      <c r="K54" s="1">
        <f>SUMIF(Planilha3!$I$1:$I$150,B54,Planilha3!$R$1:RN$150)</f>
        <v>-8110.21</v>
      </c>
      <c r="L54" s="1">
        <f>SUMIF(Planilha4!$I$1:$I$150,B54,Planilha4!$R$1:RO$150)</f>
        <v>-9983.1</v>
      </c>
      <c r="M54" s="1">
        <f>SUMIF(Planilha5!$I$1:$I$150,B54,Planilha5!$R$1:RP$150)</f>
        <v>-9264.99</v>
      </c>
      <c r="N54" s="1">
        <f>SUMIF(Planilha6!$I$1:$I$150,B54,Planilha6!$R$1:RQ$150)</f>
        <v>-8022.16</v>
      </c>
      <c r="O54" s="1">
        <f>SUMIF(Planilha7!$I$1:$I$150,B54,Planilha7!$R$1:RR$150)</f>
        <v>-6736.21</v>
      </c>
      <c r="P54" s="1">
        <f>SUMIF(Planilha8!$I$1:$I$150,B54,Planilha8!$R$1:RS$150)</f>
        <v>-7566.4</v>
      </c>
      <c r="Q54" s="1">
        <f>SUMIF(Planilha9!$I$1:$I$150,B54,Planilha9!$R$1:RT$150)</f>
        <v>-8069.24</v>
      </c>
      <c r="R54" s="1">
        <f>SUMIF(Planilha10!$I$1:$I$150,B54,Planilha10!$R$1:RU$150)</f>
        <v>0</v>
      </c>
      <c r="S54" s="1">
        <f>SUMIF(Planilha11!$I$1:$I$150,B54,Planilha11!$R$1:RV$150)</f>
        <v>-1646.54</v>
      </c>
      <c r="T54" s="1">
        <f>SUMIF(Planilha12!$I$1:$I$150,B54,Planilha12!$R$1:RW$150)</f>
        <v>0</v>
      </c>
      <c r="U54" s="1"/>
      <c r="V54" s="1">
        <f>SUMIF(Planilha13!$I$1:$I$150,B54,Planilha13!$R$1:RY$150)</f>
        <v>0</v>
      </c>
      <c r="W54" s="1">
        <f>SUMIF(Planilha14!$I$1:$I$150,B54,Planilha14!$R$1:RZ$150)</f>
        <v>0</v>
      </c>
      <c r="Y54" s="1">
        <f>SUMIF('2026'!$I$1:$I$150,B54,'2026'!$R$1:RQ$150)</f>
        <v>0</v>
      </c>
      <c r="Z54" s="1">
        <f t="shared" si="0"/>
        <v>0</v>
      </c>
    </row>
    <row r="55" spans="1:26" x14ac:dyDescent="0.2">
      <c r="A55" s="7" t="s">
        <v>107</v>
      </c>
      <c r="B55" s="7"/>
      <c r="C55" s="7"/>
      <c r="D55" s="7"/>
      <c r="E55" s="7"/>
      <c r="F55" s="7"/>
      <c r="G55" s="7"/>
      <c r="H55" s="7"/>
      <c r="I55" s="8">
        <f>SUMIF(Planilha1!$H$1:$H$110,A55,Planilha1!$R$1:$R$150)</f>
        <v>-52906.6</v>
      </c>
      <c r="J55" s="8">
        <f>SUMIF(Planilha2!$H$1:$H$110,A55,Planilha2!$R$1:$R$150)</f>
        <v>-43703.27</v>
      </c>
      <c r="K55" s="8">
        <f>SUMIF(Planilha3!$H$1:$H$110,A55,Planilha3!$R$1:$R$150)</f>
        <v>-50145.87</v>
      </c>
      <c r="L55" s="8">
        <f>SUMIF(Planilha4!$H$1:$H$110,A55,Planilha4!$R$1:$R$150)</f>
        <v>-49454.19</v>
      </c>
      <c r="M55" s="8">
        <f>SUMIF(Planilha5!$H$1:$H$110,A55,Planilha5!$R$1:$R$150)</f>
        <v>-56994.16</v>
      </c>
      <c r="N55" s="8">
        <f>SUMIF(Planilha6!$H$1:$H$110,A55,Planilha6!$R$1:$R$150)</f>
        <v>-51690.15</v>
      </c>
      <c r="O55" s="8">
        <f>SUMIF(Planilha7!$H$1:$H$110,A55,Planilha7!$R$1:$R$150)</f>
        <v>-55768.87</v>
      </c>
      <c r="P55" s="8">
        <f>SUMIF(Planilha8!$H$1:$H$110,A55,Planilha8!$R$1:$R$150)</f>
        <v>-55758.67</v>
      </c>
      <c r="Q55" s="8">
        <f>SUMIF(Planilha9!$H$1:$H$110,A55,Planilha9!$R$1:$R$150)</f>
        <v>-55935.07</v>
      </c>
      <c r="R55" s="8">
        <f>SUMIF(Planilha10!$H$1:$H$110,A55,Planilha10!$R$1:$R$150)</f>
        <v>-63648.92</v>
      </c>
      <c r="S55" s="8">
        <f>SUMIF(Planilha11!$H$1:$H$110,A55,Planilha11!$R$1:$R$150)</f>
        <v>-107549.69</v>
      </c>
      <c r="T55" s="8">
        <f>SUMIF(Planilha12!$H$1:$H$110,A55,Planilha12!$R$1:$R$150)</f>
        <v>-182199.81</v>
      </c>
      <c r="U55" s="18"/>
      <c r="V55" s="8">
        <f>SUMIF(Planilha13!$H$1:$H$110,A55,Planilha13!$R$1:$R$150)</f>
        <v>-152282.49</v>
      </c>
      <c r="W55" s="8">
        <f>SUMIF(Planilha14!$H$1:$H$110,A55,Planilha14!$R$1:$R$150)</f>
        <v>-89855.34</v>
      </c>
      <c r="X55" s="7"/>
      <c r="Y55" s="8">
        <f>SUMIF('2026'!$H$1:$H$110,A55,'2026'!$R$1:$R$150)</f>
        <v>-242137.83</v>
      </c>
      <c r="Z55" s="1">
        <f t="shared" si="0"/>
        <v>0</v>
      </c>
    </row>
    <row r="56" spans="1:26" x14ac:dyDescent="0.2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Y56" s="1"/>
      <c r="Z56" s="1">
        <f t="shared" si="0"/>
        <v>0</v>
      </c>
    </row>
    <row r="57" spans="1:26" x14ac:dyDescent="0.2">
      <c r="A57" s="12" t="s">
        <v>0</v>
      </c>
      <c r="D57" s="12" t="s">
        <v>1</v>
      </c>
      <c r="X57" t="s">
        <v>2</v>
      </c>
      <c r="Y57" s="13">
        <f>1+Y1</f>
        <v>2</v>
      </c>
      <c r="Z57" s="1"/>
    </row>
    <row r="58" spans="1:26" x14ac:dyDescent="0.2">
      <c r="A58" t="s">
        <v>3</v>
      </c>
      <c r="D58" s="12" t="s">
        <v>4</v>
      </c>
      <c r="Z58" s="1"/>
    </row>
    <row r="59" spans="1:26" x14ac:dyDescent="0.2">
      <c r="Z59" s="1"/>
    </row>
    <row r="60" spans="1:26" x14ac:dyDescent="0.2">
      <c r="A60" s="12" t="s">
        <v>64</v>
      </c>
      <c r="Z60" s="1"/>
    </row>
    <row r="61" spans="1:26" x14ac:dyDescent="0.2">
      <c r="Z61" s="1"/>
    </row>
    <row r="62" spans="1:26" x14ac:dyDescent="0.2">
      <c r="A62" t="s">
        <v>5</v>
      </c>
      <c r="I62" s="15">
        <v>45658</v>
      </c>
      <c r="J62" s="15">
        <v>45689</v>
      </c>
      <c r="K62" s="15">
        <v>45717</v>
      </c>
      <c r="L62" s="15">
        <v>45748</v>
      </c>
      <c r="M62" s="15">
        <v>45778</v>
      </c>
      <c r="N62" s="15">
        <v>45809</v>
      </c>
      <c r="O62" s="15">
        <v>45839</v>
      </c>
      <c r="P62" s="15">
        <v>45870</v>
      </c>
      <c r="Q62" s="15">
        <v>45901</v>
      </c>
      <c r="R62" s="15">
        <v>45931</v>
      </c>
      <c r="S62" s="15">
        <v>45962</v>
      </c>
      <c r="T62" s="15">
        <v>45992</v>
      </c>
      <c r="U62" s="17"/>
      <c r="V62" s="15">
        <v>46023</v>
      </c>
      <c r="W62" s="15">
        <v>46054</v>
      </c>
      <c r="Y62" s="16">
        <v>2026</v>
      </c>
      <c r="Z62" s="1"/>
    </row>
    <row r="63" spans="1:26" x14ac:dyDescent="0.2">
      <c r="A63" s="7" t="s">
        <v>108</v>
      </c>
      <c r="B63" s="7"/>
      <c r="C63" s="7"/>
      <c r="D63" s="7"/>
      <c r="E63" s="7"/>
      <c r="F63" s="7"/>
      <c r="G63" s="7"/>
      <c r="H63" s="7"/>
      <c r="I63" s="8">
        <f>SUMIF(Planilha1!$H$1:$H$110,A63,Planilha1!$R$1:$R$150)</f>
        <v>261894.68</v>
      </c>
      <c r="J63" s="8">
        <f>SUMIF(Planilha2!$H$1:$H$110,A63,Planilha2!$R$1:$R$150)</f>
        <v>198798.57</v>
      </c>
      <c r="K63" s="8">
        <f>SUMIF(Planilha3!$H$1:$H$110,A63,Planilha3!$R$1:$R$150)</f>
        <v>213581.48</v>
      </c>
      <c r="L63" s="8">
        <f>SUMIF(Planilha4!$H$1:$H$110,A63,Planilha4!$R$1:$R$150)</f>
        <v>173315.91</v>
      </c>
      <c r="M63" s="8">
        <f>SUMIF(Planilha5!$H$1:$H$110,A63,Planilha5!$R$1:$R$150)</f>
        <v>178001.22</v>
      </c>
      <c r="N63" s="8">
        <f>SUMIF(Planilha6!$H$1:$H$110,A63,Planilha6!$R$1:$R$150)</f>
        <v>224618.44</v>
      </c>
      <c r="O63" s="8">
        <f>SUMIF(Planilha7!$H$1:$H$110,A63,Planilha7!$R$1:$R$150)</f>
        <v>215433.92</v>
      </c>
      <c r="P63" s="8">
        <f>SUMIF(Planilha8!$H$1:$H$110,A63,Planilha8!$R$1:$R$150)</f>
        <v>264991.67</v>
      </c>
      <c r="Q63" s="8">
        <f>SUMIF(Planilha9!$H$1:$H$110,A63,Planilha9!$R$1:$R$150)</f>
        <v>289470.90999999997</v>
      </c>
      <c r="R63" s="8">
        <f>SUMIF(Planilha10!$H$1:$H$110,A63,Planilha10!$R$1:$R$150)</f>
        <v>468778.64</v>
      </c>
      <c r="S63" s="8">
        <f>SUMIF(Planilha11!$H$1:$H$110,A63,Planilha11!$R$1:$R$150)</f>
        <v>454001.81</v>
      </c>
      <c r="T63" s="8">
        <f>SUMIF(Planilha12!$H$1:$H$110,A63,Planilha12!$R$1:$R$150)</f>
        <v>574819.18999999994</v>
      </c>
      <c r="U63" s="18"/>
      <c r="V63" s="8">
        <f>SUMIF(Planilha13!$H$1:$H$110,A63,Planilha13!$R$1:$R$150)</f>
        <v>459244.38</v>
      </c>
      <c r="W63" s="8">
        <f>SUMIF(Planilha14!$H$1:$H$110,A63,Planilha14!$R$1:$R$150)</f>
        <v>333748.96000000002</v>
      </c>
      <c r="X63" s="10"/>
      <c r="Y63" s="8">
        <f>SUMIF('2026'!$H$1:$H$110,A63,'2026'!$R$1:$R$150)</f>
        <v>792993.34</v>
      </c>
      <c r="Z63" s="1">
        <f t="shared" ref="Z63:Z111" si="1">SUM(V63:W63)-Y63</f>
        <v>0</v>
      </c>
    </row>
    <row r="64" spans="1:26" x14ac:dyDescent="0.2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>
        <f t="shared" si="1"/>
        <v>0</v>
      </c>
    </row>
    <row r="65" spans="1:26" x14ac:dyDescent="0.2">
      <c r="A65" s="7" t="s">
        <v>109</v>
      </c>
      <c r="B65" s="7"/>
      <c r="C65" s="7"/>
      <c r="D65" s="7"/>
      <c r="E65" s="7"/>
      <c r="F65" s="7"/>
      <c r="G65" s="7"/>
      <c r="H65" s="7"/>
      <c r="I65" s="8">
        <f>SUMIF(Planilha1!$H$1:$H$110,A65,Planilha1!$R$1:$R$150)</f>
        <v>-73305.91</v>
      </c>
      <c r="J65" s="8">
        <f>SUMIF(Planilha2!$H$1:$H$110,A65,Planilha2!$R$1:$R$150)</f>
        <v>-90837.05</v>
      </c>
      <c r="K65" s="8">
        <f>SUMIF(Planilha3!$H$1:$H$110,A65,Planilha3!$R$1:$R$150)</f>
        <v>-82984.22</v>
      </c>
      <c r="L65" s="8">
        <f>SUMIF(Planilha4!$H$1:$H$110,A65,Planilha4!$R$1:$R$150)</f>
        <v>-97464.56</v>
      </c>
      <c r="M65" s="8">
        <f>SUMIF(Planilha5!$H$1:$H$110,A65,Planilha5!$R$1:$R$150)</f>
        <v>-83740.92</v>
      </c>
      <c r="N65" s="8">
        <f>SUMIF(Planilha6!$H$1:$H$110,A65,Planilha6!$R$1:$R$150)</f>
        <v>-88444.47</v>
      </c>
      <c r="O65" s="8">
        <f>SUMIF(Planilha7!$H$1:$H$110,A65,Planilha7!$R$1:$R$150)</f>
        <v>-82166.97</v>
      </c>
      <c r="P65" s="8">
        <f>SUMIF(Planilha8!$H$1:$H$110,A65,Planilha8!$R$1:$R$150)</f>
        <v>-110080.21</v>
      </c>
      <c r="Q65" s="8">
        <f>SUMIF(Planilha9!$H$1:$H$110,A65,Planilha9!$R$1:$R$150)</f>
        <v>-102457.77</v>
      </c>
      <c r="R65" s="8">
        <f>SUMIF(Planilha10!$H$1:$H$110,A65,Planilha10!$R$1:$R$150)</f>
        <v>-136596.67000000001</v>
      </c>
      <c r="S65" s="8">
        <f>SUMIF(Planilha11!$H$1:$H$110,A65,Planilha11!$R$1:$R$150)</f>
        <v>-164181.19</v>
      </c>
      <c r="T65" s="8">
        <f>SUMIF(Planilha12!$H$1:$H$110,A65,Planilha12!$R$1:$R$150)</f>
        <v>-232783.35999999999</v>
      </c>
      <c r="U65" s="18"/>
      <c r="V65" s="8">
        <f>SUMIF(Planilha13!$H$1:$H$110,A65,Planilha13!$R$1:$R$150)</f>
        <v>-190557.32</v>
      </c>
      <c r="W65" s="8">
        <f>SUMIF(Planilha14!$H$1:$H$110,A65,Planilha14!$R$1:$R$150)</f>
        <v>-98463.87</v>
      </c>
      <c r="X65" s="10"/>
      <c r="Y65" s="8">
        <f>SUMIF('2026'!$H$1:$H$110,A65,'2026'!$R$1:$R$150)</f>
        <v>-289021.19</v>
      </c>
      <c r="Z65" s="1">
        <f t="shared" si="1"/>
        <v>0</v>
      </c>
    </row>
    <row r="66" spans="1:26" x14ac:dyDescent="0.2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>
        <f t="shared" si="1"/>
        <v>0</v>
      </c>
    </row>
    <row r="67" spans="1:26" x14ac:dyDescent="0.2">
      <c r="A67" s="7" t="s">
        <v>110</v>
      </c>
      <c r="B67" s="7"/>
      <c r="C67" s="7"/>
      <c r="D67" s="7"/>
      <c r="E67" s="7"/>
      <c r="F67" s="7"/>
      <c r="G67" s="7"/>
      <c r="H67" s="7"/>
      <c r="I67" s="8">
        <f>SUMIF(Planilha1!$H$1:$H$110,A67,Planilha1!$R$1:$R$150)</f>
        <v>-73305.91</v>
      </c>
      <c r="J67" s="8">
        <f>SUMIF(Planilha2!$H$1:$H$110,A67,Planilha2!$R$1:$R$150)</f>
        <v>-90837.05</v>
      </c>
      <c r="K67" s="8">
        <f>SUMIF(Planilha3!$H$1:$H$110,A67,Planilha3!$R$1:$R$150)</f>
        <v>-82984.22</v>
      </c>
      <c r="L67" s="8">
        <f>SUMIF(Planilha4!$H$1:$H$110,A67,Planilha4!$R$1:$R$150)</f>
        <v>-97464.56</v>
      </c>
      <c r="M67" s="8">
        <f>SUMIF(Planilha5!$H$1:$H$110,A67,Planilha5!$R$1:$R$150)</f>
        <v>-83740.92</v>
      </c>
      <c r="N67" s="8">
        <f>SUMIF(Planilha6!$H$1:$H$110,A67,Planilha6!$R$1:$R$150)</f>
        <v>-88444.47</v>
      </c>
      <c r="O67" s="8">
        <f>SUMIF(Planilha7!$H$1:$H$110,A67,Planilha7!$R$1:$R$150)</f>
        <v>-82166.97</v>
      </c>
      <c r="P67" s="8">
        <f>SUMIF(Planilha8!$H$1:$H$110,A67,Planilha8!$R$1:$R$150)</f>
        <v>-110080.21</v>
      </c>
      <c r="Q67" s="8">
        <f>SUMIF(Planilha9!$H$1:$H$110,A67,Planilha9!$R$1:$R$150)</f>
        <v>-102457.77</v>
      </c>
      <c r="R67" s="8">
        <f>SUMIF(Planilha10!$H$1:$H$110,A67,Planilha10!$R$1:$R$150)</f>
        <v>-136596.67000000001</v>
      </c>
      <c r="S67" s="8">
        <f>SUMIF(Planilha11!$H$1:$H$110,A67,Planilha11!$R$1:$R$150)</f>
        <v>-164181.19</v>
      </c>
      <c r="T67" s="8">
        <f>SUMIF(Planilha12!$H$1:$H$110,A67,Planilha12!$R$1:$R$150)</f>
        <v>-232783.35999999999</v>
      </c>
      <c r="U67" s="18"/>
      <c r="V67" s="8">
        <f>SUMIF(Planilha13!$H$1:$H$110,A67,Planilha13!$R$1:$R$150)</f>
        <v>-190557.32</v>
      </c>
      <c r="W67" s="8">
        <f>SUMIF(Planilha14!$H$1:$H$110,A67,Planilha14!$R$1:$R$150)</f>
        <v>-98463.87</v>
      </c>
      <c r="X67" s="10"/>
      <c r="Y67" s="8">
        <f>SUMIF('2026'!$H$1:$H$110,A67,'2026'!$R$1:$R$150)</f>
        <v>-289021.19</v>
      </c>
      <c r="Z67" s="1">
        <f t="shared" si="1"/>
        <v>0</v>
      </c>
    </row>
    <row r="68" spans="1:26" x14ac:dyDescent="0.2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f t="shared" si="1"/>
        <v>0</v>
      </c>
    </row>
    <row r="69" spans="1:26" x14ac:dyDescent="0.2">
      <c r="A69" s="7" t="s">
        <v>111</v>
      </c>
      <c r="B69" s="7"/>
      <c r="C69" s="7"/>
      <c r="D69" s="7"/>
      <c r="E69" s="7"/>
      <c r="F69" s="7"/>
      <c r="G69" s="7"/>
      <c r="H69" s="7"/>
      <c r="I69" s="8">
        <f>SUMIF(Planilha1!$H$1:$H$110,A69,Planilha1!$R$1:$R$150)</f>
        <v>-3214.9</v>
      </c>
      <c r="J69" s="8">
        <f>SUMIF(Planilha2!$H$1:$H$110,A69,Planilha2!$R$1:$R$150)</f>
        <v>-3214.9</v>
      </c>
      <c r="K69" s="8">
        <f>SUMIF(Planilha3!$H$1:$H$110,A69,Planilha3!$R$1:$R$150)</f>
        <v>-3214.9</v>
      </c>
      <c r="L69" s="8">
        <f>SUMIF(Planilha4!$H$1:$H$110,A69,Planilha4!$R$1:$R$150)</f>
        <v>-3214.9</v>
      </c>
      <c r="M69" s="8">
        <f>SUMIF(Planilha5!$H$1:$H$110,A69,Planilha5!$R$1:$R$150)</f>
        <v>-3214.9</v>
      </c>
      <c r="N69" s="8">
        <f>SUMIF(Planilha6!$H$1:$H$110,A69,Planilha6!$R$1:$R$150)</f>
        <v>-3214.9</v>
      </c>
      <c r="O69" s="8">
        <f>SUMIF(Planilha7!$H$1:$H$110,A69,Planilha7!$R$1:$R$150)</f>
        <v>-1951.3</v>
      </c>
      <c r="P69" s="8">
        <f>SUMIF(Planilha8!$H$1:$H$110,A69,Planilha8!$R$1:$R$150)</f>
        <v>-3000</v>
      </c>
      <c r="Q69" s="8">
        <f>SUMIF(Planilha9!$H$1:$H$110,A69,Planilha9!$R$1:$R$150)</f>
        <v>-3000</v>
      </c>
      <c r="R69" s="8">
        <f>SUMIF(Planilha10!$H$1:$H$110,A69,Planilha10!$R$1:$R$150)</f>
        <v>-3000</v>
      </c>
      <c r="S69" s="8">
        <f>SUMIF(Planilha11!$H$1:$H$110,A69,Planilha11!$R$1:$R$150)</f>
        <v>-3300</v>
      </c>
      <c r="T69" s="8">
        <f>SUMIF(Planilha12!$H$1:$H$110,A69,Planilha12!$R$1:$R$150)</f>
        <v>-3000</v>
      </c>
      <c r="U69" s="18"/>
      <c r="V69" s="8">
        <f>SUMIF(Planilha13!$H$1:$H$110,A69,Planilha13!$R$1:$R$150)</f>
        <v>0</v>
      </c>
      <c r="W69" s="8">
        <f>SUMIF(Planilha14!$H$1:$H$110,A69,Planilha14!$R$1:$R$150)</f>
        <v>-3000</v>
      </c>
      <c r="X69" s="10"/>
      <c r="Y69" s="8">
        <f>SUMIF('2026'!$H$1:$H$110,A69,'2026'!$R$1:$R$150)</f>
        <v>-3000</v>
      </c>
      <c r="Z69" s="1">
        <f t="shared" si="1"/>
        <v>0</v>
      </c>
    </row>
    <row r="70" spans="1:26" x14ac:dyDescent="0.2">
      <c r="A70" s="3"/>
      <c r="B70" s="3" t="s">
        <v>54</v>
      </c>
      <c r="C70" s="3"/>
      <c r="D70" s="3"/>
      <c r="E70" s="3"/>
      <c r="F70" s="3"/>
      <c r="G70" s="3"/>
      <c r="H70" s="3"/>
      <c r="I70" s="11">
        <f>SUMIF(Planilha1!$I$1:$I$150,B70,Planilha1!$R$1:RL$150)</f>
        <v>-3214.9</v>
      </c>
      <c r="J70" s="11">
        <f>SUMIF(Planilha2!$I$1:$I$150,B70,Planilha2!$R$1:RM$150)</f>
        <v>-3214.9</v>
      </c>
      <c r="K70" s="11">
        <f>SUMIF(Planilha3!$I$1:$I$150,B70,Planilha3!$R$1:RN$150)</f>
        <v>-3214.9</v>
      </c>
      <c r="L70" s="11">
        <f>SUMIF(Planilha4!$I$1:$I$150,B70,Planilha4!$R$1:RO$150)</f>
        <v>-3214.9</v>
      </c>
      <c r="M70" s="11">
        <f>SUMIF(Planilha5!$I$1:$I$150,B70,Planilha5!$R$1:RP$150)</f>
        <v>-3214.9</v>
      </c>
      <c r="N70" s="11">
        <f>SUMIF(Planilha6!$I$1:$I$150,B70,Planilha6!$R$1:RQ$150)</f>
        <v>-3214.9</v>
      </c>
      <c r="O70" s="11">
        <f>SUMIF(Planilha7!$I$1:$I$150,B70,Planilha7!$R$1:RR$150)</f>
        <v>-1951.3</v>
      </c>
      <c r="P70" s="11">
        <f>SUMIF(Planilha8!$I$1:$I$150,B70,Planilha8!$R$1:RS$150)</f>
        <v>-3000</v>
      </c>
      <c r="Q70" s="11">
        <f>SUMIF(Planilha9!$I$1:$I$150,B70,Planilha9!$R$1:RT$150)</f>
        <v>-3000</v>
      </c>
      <c r="R70" s="11">
        <f>SUMIF(Planilha10!$I$1:$I$150,B70,Planilha10!$R$1:RU$150)</f>
        <v>-3000</v>
      </c>
      <c r="S70" s="11">
        <f>SUMIF(Planilha11!$I$1:$I$150,B70,Planilha11!$R$1:RV$150)</f>
        <v>-3300</v>
      </c>
      <c r="T70" s="11">
        <f>SUMIF(Planilha12!$I$1:$I$150,B70,Planilha12!$R$1:RW$150)</f>
        <v>-3000</v>
      </c>
      <c r="U70" s="11"/>
      <c r="V70" s="11">
        <f>SUMIF(Planilha13!$I$1:$I$150,B70,Planilha13!$R$1:RY$150)</f>
        <v>0</v>
      </c>
      <c r="W70" s="11">
        <f>SUMIF(Planilha14!$I$1:$I$150,B70,Planilha14!$R$1:RZ$150)</f>
        <v>-3000</v>
      </c>
      <c r="X70" s="11"/>
      <c r="Y70" s="11">
        <f>SUMIF('2026'!$I$1:$I$150,B70,'2026'!$R$1:RQ$150)</f>
        <v>-3000</v>
      </c>
      <c r="Z70" s="1">
        <f t="shared" si="1"/>
        <v>0</v>
      </c>
    </row>
    <row r="71" spans="1:26" x14ac:dyDescent="0.2">
      <c r="A71" s="7" t="s">
        <v>113</v>
      </c>
      <c r="B71" s="7"/>
      <c r="C71" s="7"/>
      <c r="D71" s="7"/>
      <c r="E71" s="7"/>
      <c r="F71" s="7"/>
      <c r="G71" s="7"/>
      <c r="H71" s="7"/>
      <c r="I71" s="8">
        <f>SUMIF(Planilha1!$H$1:$H$110,A71,Planilha1!$R$1:$R$150)</f>
        <v>-20385.71</v>
      </c>
      <c r="J71" s="8">
        <f>SUMIF(Planilha2!$H$1:$H$110,A71,Planilha2!$R$1:$R$150)</f>
        <v>-23903.13</v>
      </c>
      <c r="K71" s="8">
        <f>SUMIF(Planilha3!$H$1:$H$110,A71,Planilha3!$R$1:$R$150)</f>
        <v>-20110</v>
      </c>
      <c r="L71" s="8">
        <f>SUMIF(Planilha4!$H$1:$H$110,A71,Planilha4!$R$1:$R$150)</f>
        <v>-28544.13</v>
      </c>
      <c r="M71" s="8">
        <f>SUMIF(Planilha5!$H$1:$H$110,A71,Planilha5!$R$1:$R$150)</f>
        <v>-25711.19</v>
      </c>
      <c r="N71" s="8">
        <f>SUMIF(Planilha6!$H$1:$H$110,A71,Planilha6!$R$1:$R$150)</f>
        <v>-17126.060000000001</v>
      </c>
      <c r="O71" s="8">
        <f>SUMIF(Planilha7!$H$1:$H$110,A71,Planilha7!$R$1:$R$150)</f>
        <v>-18460.04</v>
      </c>
      <c r="P71" s="8">
        <f>SUMIF(Planilha8!$H$1:$H$110,A71,Planilha8!$R$1:$R$150)</f>
        <v>-19363.05</v>
      </c>
      <c r="Q71" s="8">
        <f>SUMIF(Planilha9!$H$1:$H$110,A71,Planilha9!$R$1:$R$150)</f>
        <v>-19513.05</v>
      </c>
      <c r="R71" s="8">
        <f>SUMIF(Planilha10!$H$1:$H$110,A71,Planilha10!$R$1:$R$150)</f>
        <v>-22554.720000000001</v>
      </c>
      <c r="S71" s="8">
        <f>SUMIF(Planilha11!$H$1:$H$110,A71,Planilha11!$R$1:$R$150)</f>
        <v>-23907.55</v>
      </c>
      <c r="T71" s="8">
        <f>SUMIF(Planilha12!$H$1:$H$110,A71,Planilha12!$R$1:$R$150)</f>
        <v>-22308.05</v>
      </c>
      <c r="U71" s="18"/>
      <c r="V71" s="8">
        <f>SUMIF(Planilha13!$H$1:$H$110,A71,Planilha13!$R$1:$R$150)</f>
        <v>-17289.13</v>
      </c>
      <c r="W71" s="8">
        <f>SUMIF(Planilha14!$H$1:$H$110,A71,Planilha14!$R$1:$R$150)</f>
        <v>-16818.05</v>
      </c>
      <c r="X71" s="10"/>
      <c r="Y71" s="8">
        <f>SUMIF('2026'!$H$1:$H$110,A71,'2026'!$R$1:$R$150)</f>
        <v>-34107.18</v>
      </c>
      <c r="Z71" s="1">
        <f t="shared" si="1"/>
        <v>0</v>
      </c>
    </row>
    <row r="72" spans="1:26" x14ac:dyDescent="0.2">
      <c r="B72" t="s">
        <v>53</v>
      </c>
      <c r="I72" s="1">
        <f>SUMIF(Planilha1!$I$1:$I$150,B72,Planilha1!$R$1:RL$150)</f>
        <v>-9430</v>
      </c>
      <c r="J72" s="1">
        <f>SUMIF(Planilha2!$I$1:$I$150,B72,Planilha2!$R$1:RM$150)</f>
        <v>-15915.33</v>
      </c>
      <c r="K72" s="1">
        <f>SUMIF(Planilha3!$I$1:$I$150,B72,Planilha3!$R$1:RN$150)</f>
        <v>-12910</v>
      </c>
      <c r="L72" s="1">
        <f>SUMIF(Planilha4!$I$1:$I$150,B72,Planilha4!$R$1:RO$150)</f>
        <v>-13250</v>
      </c>
      <c r="M72" s="1">
        <f>SUMIF(Planilha5!$I$1:$I$150,B72,Planilha5!$R$1:RP$150)</f>
        <v>-14410</v>
      </c>
      <c r="N72" s="1">
        <f>SUMIF(Planilha6!$I$1:$I$150,B72,Planilha6!$R$1:RQ$150)</f>
        <v>-12626.8</v>
      </c>
      <c r="O72" s="1">
        <f>SUMIF(Planilha7!$I$1:$I$150,B72,Planilha7!$R$1:RR$150)</f>
        <v>-12266.8</v>
      </c>
      <c r="P72" s="1">
        <f>SUMIF(Planilha8!$I$1:$I$150,B72,Planilha8!$R$1:RS$150)</f>
        <v>-12966.8</v>
      </c>
      <c r="Q72" s="1">
        <f>SUMIF(Planilha9!$I$1:$I$150,B72,Planilha9!$R$1:RT$150)</f>
        <v>-12806.8</v>
      </c>
      <c r="R72" s="1">
        <f>SUMIF(Planilha10!$I$1:$I$150,B72,Planilha10!$R$1:RU$150)</f>
        <v>-15913.47</v>
      </c>
      <c r="S72" s="1">
        <f>SUMIF(Planilha11!$I$1:$I$150,B72,Planilha11!$R$1:RV$150)</f>
        <v>-17756.8</v>
      </c>
      <c r="T72" s="1">
        <f>SUMIF(Planilha12!$I$1:$I$150,B72,Planilha12!$R$1:RW$150)</f>
        <v>-15666.8</v>
      </c>
      <c r="U72" s="1"/>
      <c r="V72" s="1">
        <f>SUMIF(Planilha13!$I$1:$I$150,B72,Planilha13!$R$1:RY$150)</f>
        <v>-10666.8</v>
      </c>
      <c r="W72" s="1">
        <f>SUMIF(Planilha14!$I$1:$I$150,B72,Planilha14!$R$1:RZ$150)</f>
        <v>-10666.8</v>
      </c>
      <c r="X72" s="1"/>
      <c r="Y72" s="1">
        <f>SUMIF('2026'!$I$1:$I$150,B72,'2026'!$R$1:RQ$150)</f>
        <v>-21333.599999999999</v>
      </c>
      <c r="Z72" s="1">
        <f t="shared" si="1"/>
        <v>0</v>
      </c>
    </row>
    <row r="73" spans="1:26" x14ac:dyDescent="0.2">
      <c r="A73" s="3"/>
      <c r="B73" s="3" t="s">
        <v>116</v>
      </c>
      <c r="C73" s="3"/>
      <c r="D73" s="3"/>
      <c r="E73" s="3"/>
      <c r="F73" s="3"/>
      <c r="G73" s="3"/>
      <c r="H73" s="3"/>
      <c r="I73" s="11">
        <f>SUMIF(Planilha1!$I$1:$I$150,B73,Planilha1!$R$1:RL$150)</f>
        <v>-10955.71</v>
      </c>
      <c r="J73" s="11">
        <f>SUMIF(Planilha2!$I$1:$I$150,B73,Planilha2!$R$1:RM$150)</f>
        <v>-7987.8</v>
      </c>
      <c r="K73" s="11">
        <f>SUMIF(Planilha3!$I$1:$I$150,B73,Planilha3!$R$1:RN$150)</f>
        <v>-7200</v>
      </c>
      <c r="L73" s="11">
        <f>SUMIF(Planilha4!$I$1:$I$150,B73,Planilha4!$R$1:RO$150)</f>
        <v>-8961.1299999999992</v>
      </c>
      <c r="M73" s="11">
        <f>SUMIF(Planilha5!$I$1:$I$150,B73,Planilha5!$R$1:RP$150)</f>
        <v>-9698.2900000000009</v>
      </c>
      <c r="N73" s="11">
        <f>SUMIF(Planilha6!$I$1:$I$150,B73,Planilha6!$R$1:RQ$150)</f>
        <v>-8095.16</v>
      </c>
      <c r="O73" s="11">
        <f>SUMIF(Planilha7!$I$1:$I$150,B73,Planilha7!$R$1:RR$150)</f>
        <v>-4906.99</v>
      </c>
      <c r="P73" s="11">
        <f>SUMIF(Planilha8!$I$1:$I$150,B73,Planilha8!$R$1:RS$150)</f>
        <v>-5355</v>
      </c>
      <c r="Q73" s="11">
        <f>SUMIF(Planilha9!$I$1:$I$150,B73,Planilha9!$R$1:RT$150)</f>
        <v>-5910</v>
      </c>
      <c r="R73" s="11">
        <f>SUMIF(Planilha10!$I$1:$I$150,B73,Planilha10!$R$1:RU$150)</f>
        <v>-5355</v>
      </c>
      <c r="S73" s="11">
        <f>SUMIF(Planilha11!$I$1:$I$150,B73,Planilha11!$R$1:RV$150)</f>
        <v>-5355</v>
      </c>
      <c r="T73" s="11">
        <f>SUMIF(Planilha12!$I$1:$I$150,B73,Planilha12!$R$1:RW$150)</f>
        <v>-5355</v>
      </c>
      <c r="U73" s="11"/>
      <c r="V73" s="11">
        <f>SUMIF(Planilha13!$I$1:$I$150,B73,Planilha13!$R$1:RY$150)</f>
        <v>-5568.06</v>
      </c>
      <c r="W73" s="11">
        <f>SUMIF(Planilha14!$I$1:$I$150,B73,Planilha14!$R$1:RZ$150)</f>
        <v>-5355</v>
      </c>
      <c r="X73" s="11"/>
      <c r="Y73" s="11">
        <f>SUMIF('2026'!$I$1:$I$150,B73,'2026'!$R$1:RQ$150)</f>
        <v>-10923.06</v>
      </c>
      <c r="Z73" s="1">
        <f t="shared" si="1"/>
        <v>0</v>
      </c>
    </row>
    <row r="74" spans="1:26" x14ac:dyDescent="0.2">
      <c r="B74" t="s">
        <v>232</v>
      </c>
      <c r="I74" s="1">
        <f>SUMIF(Planilha1!$I$1:$I$150,B74,Planilha1!$R$1:RL$150)</f>
        <v>0</v>
      </c>
      <c r="J74" s="1">
        <f>SUMIF(Planilha2!$I$1:$I$150,B74,Planilha2!$R$1:RM$150)</f>
        <v>0</v>
      </c>
      <c r="K74" s="1">
        <f>SUMIF(Planilha3!$I$1:$I$150,B74,Planilha3!$R$1:RN$150)</f>
        <v>0</v>
      </c>
      <c r="L74" s="1">
        <f>SUMIF(Planilha4!$I$1:$I$150,B74,Planilha4!$R$1:RO$150)</f>
        <v>-4983</v>
      </c>
      <c r="M74" s="1">
        <f>SUMIF(Planilha5!$I$1:$I$150,B74,Planilha5!$R$1:RP$150)</f>
        <v>-1089.1500000000001</v>
      </c>
      <c r="N74" s="1">
        <f>SUMIF(Planilha6!$I$1:$I$150,B74,Planilha6!$R$1:RQ$150)</f>
        <v>4042.15</v>
      </c>
      <c r="O74" s="1">
        <f>SUMIF(Planilha7!$I$1:$I$150,B74,Planilha7!$R$1:RR$150)</f>
        <v>-840</v>
      </c>
      <c r="P74" s="1">
        <f>SUMIF(Planilha8!$I$1:$I$150,B74,Planilha8!$R$1:RS$150)</f>
        <v>-595</v>
      </c>
      <c r="Q74" s="1">
        <f>SUMIF(Planilha9!$I$1:$I$150,B74,Planilha9!$R$1:RT$150)</f>
        <v>-350</v>
      </c>
      <c r="R74" s="1">
        <f>SUMIF(Planilha10!$I$1:$I$150,B74,Planilha10!$R$1:RU$150)</f>
        <v>-840</v>
      </c>
      <c r="S74" s="1">
        <f>SUMIF(Planilha11!$I$1:$I$150,B74,Planilha11!$R$1:RV$150)</f>
        <v>-350</v>
      </c>
      <c r="T74" s="1">
        <f>SUMIF(Planilha12!$I$1:$I$150,B74,Planilha12!$R$1:RW$150)</f>
        <v>-840</v>
      </c>
      <c r="U74" s="1"/>
      <c r="V74" s="1">
        <f>SUMIF(Planilha13!$I$1:$I$150,B74,Planilha13!$R$1:RY$150)</f>
        <v>-602.44000000000005</v>
      </c>
      <c r="W74" s="1">
        <f>SUMIF(Planilha14!$I$1:$I$150,B74,Planilha14!$R$1:RZ$150)</f>
        <v>-350</v>
      </c>
      <c r="X74" s="1"/>
      <c r="Y74" s="1">
        <f>SUMIF('2026'!$I$1:$I$150,B74,'2026'!$R$1:RQ$150)</f>
        <v>-952.44</v>
      </c>
      <c r="Z74" s="1">
        <f t="shared" si="1"/>
        <v>0</v>
      </c>
    </row>
    <row r="75" spans="1:26" x14ac:dyDescent="0.2">
      <c r="A75" s="3"/>
      <c r="B75" s="3" t="s">
        <v>201</v>
      </c>
      <c r="C75" s="3"/>
      <c r="D75" s="3"/>
      <c r="E75" s="3"/>
      <c r="F75" s="3"/>
      <c r="G75" s="3"/>
      <c r="H75" s="3"/>
      <c r="I75" s="11">
        <f>SUMIF(Planilha1!$I$1:$I$150,B75,Planilha1!$R$1:RL$150)</f>
        <v>0</v>
      </c>
      <c r="J75" s="11">
        <f>SUMIF(Planilha2!$I$1:$I$150,B75,Planilha2!$R$1:RM$150)</f>
        <v>0</v>
      </c>
      <c r="K75" s="11">
        <f>SUMIF(Planilha3!$I$1:$I$150,B75,Planilha3!$R$1:RN$150)</f>
        <v>0</v>
      </c>
      <c r="L75" s="11">
        <f>SUMIF(Planilha4!$I$1:$I$150,B75,Planilha4!$R$1:RO$150)</f>
        <v>-1350</v>
      </c>
      <c r="M75" s="11">
        <f>SUMIF(Planilha5!$I$1:$I$150,B75,Planilha5!$R$1:RP$150)</f>
        <v>-513.75</v>
      </c>
      <c r="N75" s="11">
        <f>SUMIF(Planilha6!$I$1:$I$150,B75,Planilha6!$R$1:RQ$150)</f>
        <v>-446.25</v>
      </c>
      <c r="O75" s="11">
        <f>SUMIF(Planilha7!$I$1:$I$150,B75,Planilha7!$R$1:RR$150)</f>
        <v>-446.25</v>
      </c>
      <c r="P75" s="11">
        <f>SUMIF(Planilha8!$I$1:$I$150,B75,Planilha8!$R$1:RS$150)</f>
        <v>-446.25</v>
      </c>
      <c r="Q75" s="11">
        <f>SUMIF(Planilha9!$I$1:$I$150,B75,Planilha9!$R$1:RT$150)</f>
        <v>-446.25</v>
      </c>
      <c r="R75" s="11">
        <f>SUMIF(Planilha10!$I$1:$I$150,B75,Planilha10!$R$1:RU$150)</f>
        <v>-446.25</v>
      </c>
      <c r="S75" s="11">
        <f>SUMIF(Planilha11!$I$1:$I$150,B75,Planilha11!$R$1:RV$150)</f>
        <v>-445.75</v>
      </c>
      <c r="T75" s="11">
        <f>SUMIF(Planilha12!$I$1:$I$150,B75,Planilha12!$R$1:RW$150)</f>
        <v>-446.25</v>
      </c>
      <c r="U75" s="11"/>
      <c r="V75" s="11">
        <f>SUMIF(Planilha13!$I$1:$I$150,B75,Planilha13!$R$1:RY$150)</f>
        <v>-451.83</v>
      </c>
      <c r="W75" s="11">
        <f>SUMIF(Planilha14!$I$1:$I$150,B75,Planilha14!$R$1:RZ$150)</f>
        <v>-446.25</v>
      </c>
      <c r="X75" s="11"/>
      <c r="Y75" s="11">
        <f>SUMIF('2026'!$I$1:$I$150,B75,'2026'!$R$1:RQ$150)</f>
        <v>-898.08</v>
      </c>
      <c r="Z75" s="1">
        <f t="shared" si="1"/>
        <v>0</v>
      </c>
    </row>
    <row r="76" spans="1:26" x14ac:dyDescent="0.2">
      <c r="A76" s="7" t="s">
        <v>73</v>
      </c>
      <c r="B76" s="7"/>
      <c r="C76" s="7"/>
      <c r="D76" s="7"/>
      <c r="E76" s="7"/>
      <c r="F76" s="7"/>
      <c r="G76" s="7"/>
      <c r="H76" s="7"/>
      <c r="I76" s="8">
        <f>SUMIF(Planilha1!$H$1:$H$110,A76,Planilha1!$R$1:$R$150)</f>
        <v>-6985</v>
      </c>
      <c r="J76" s="8">
        <f>SUMIF(Planilha2!$H$1:$H$110,A76,Planilha2!$R$1:$R$150)</f>
        <v>-9700</v>
      </c>
      <c r="K76" s="8">
        <f>SUMIF(Planilha3!$H$1:$H$110,A76,Planilha3!$R$1:$R$150)</f>
        <v>-10520</v>
      </c>
      <c r="L76" s="8">
        <f>SUMIF(Planilha4!$H$1:$H$110,A76,Planilha4!$R$1:$R$150)</f>
        <v>-6320</v>
      </c>
      <c r="M76" s="8">
        <f>SUMIF(Planilha5!$H$1:$H$110,A76,Planilha5!$R$1:$R$150)</f>
        <v>-6830</v>
      </c>
      <c r="N76" s="8">
        <f>SUMIF(Planilha6!$H$1:$H$110,A76,Planilha6!$R$1:$R$150)</f>
        <v>-9887.76</v>
      </c>
      <c r="O76" s="8">
        <f>SUMIF(Planilha7!$H$1:$H$110,A76,Planilha7!$R$1:$R$150)</f>
        <v>-6270</v>
      </c>
      <c r="P76" s="8">
        <f>SUMIF(Planilha8!$H$1:$H$110,A76,Planilha8!$R$1:$R$150)</f>
        <v>-10570</v>
      </c>
      <c r="Q76" s="8">
        <f>SUMIF(Planilha9!$H$1:$H$110,A76,Planilha9!$R$1:$R$150)</f>
        <v>-7580</v>
      </c>
      <c r="R76" s="8">
        <f>SUMIF(Planilha10!$H$1:$H$110,A76,Planilha10!$R$1:$R$150)</f>
        <v>-6320</v>
      </c>
      <c r="S76" s="8">
        <f>SUMIF(Planilha11!$H$1:$H$110,A76,Planilha11!$R$1:$R$150)</f>
        <v>-11550</v>
      </c>
      <c r="T76" s="8">
        <f>SUMIF(Planilha12!$H$1:$H$110,A76,Planilha12!$R$1:$R$150)</f>
        <v>-7110</v>
      </c>
      <c r="U76" s="18"/>
      <c r="V76" s="8">
        <f>SUMIF(Planilha13!$H$1:$H$110,A76,Planilha13!$R$1:$R$150)</f>
        <v>-8120</v>
      </c>
      <c r="W76" s="8">
        <f>SUMIF(Planilha14!$H$1:$H$110,A76,Planilha14!$R$1:$R$150)</f>
        <v>-8810</v>
      </c>
      <c r="X76" s="10"/>
      <c r="Y76" s="8">
        <f>SUMIF('2026'!$H$1:$H$110,A76,'2026'!$R$1:$R$150)</f>
        <v>-16930</v>
      </c>
      <c r="Z76" s="1">
        <f t="shared" si="1"/>
        <v>0</v>
      </c>
    </row>
    <row r="77" spans="1:26" x14ac:dyDescent="0.2">
      <c r="B77" t="s">
        <v>57</v>
      </c>
      <c r="I77" s="1">
        <f>SUMIF(Planilha1!$I$1:$I$150,B77,Planilha1!$R$1:RL$150)</f>
        <v>-6985</v>
      </c>
      <c r="J77" s="1">
        <f>SUMIF(Planilha2!$I$1:$I$150,B77,Planilha2!$R$1:RM$150)</f>
        <v>-9700</v>
      </c>
      <c r="K77" s="1">
        <f>SUMIF(Planilha3!$I$1:$I$150,B77,Planilha3!$R$1:RN$150)</f>
        <v>-10520</v>
      </c>
      <c r="L77" s="1">
        <f>SUMIF(Planilha4!$I$1:$I$150,B77,Planilha4!$R$1:RO$150)</f>
        <v>-6320</v>
      </c>
      <c r="M77" s="1">
        <f>SUMIF(Planilha5!$I$1:$I$150,B77,Planilha5!$R$1:RP$150)</f>
        <v>-6830</v>
      </c>
      <c r="N77" s="1">
        <f>SUMIF(Planilha6!$I$1:$I$150,B77,Planilha6!$R$1:RQ$150)</f>
        <v>-9887.76</v>
      </c>
      <c r="O77" s="1">
        <f>SUMIF(Planilha7!$I$1:$I$150,B77,Planilha7!$R$1:RR$150)</f>
        <v>-6270</v>
      </c>
      <c r="P77" s="1">
        <f>SUMIF(Planilha8!$I$1:$I$150,B77,Planilha8!$R$1:RS$150)</f>
        <v>-10570</v>
      </c>
      <c r="Q77" s="1">
        <f>SUMIF(Planilha9!$I$1:$I$150,B77,Planilha9!$R$1:RT$150)</f>
        <v>-7580</v>
      </c>
      <c r="R77" s="1">
        <f>SUMIF(Planilha10!$I$1:$I$150,B77,Planilha10!$R$1:RU$150)</f>
        <v>-6320</v>
      </c>
      <c r="S77" s="1">
        <f>SUMIF(Planilha11!$I$1:$I$150,B77,Planilha11!$R$1:RV$150)</f>
        <v>-11550</v>
      </c>
      <c r="T77" s="1">
        <f>SUMIF(Planilha12!$I$1:$I$150,B77,Planilha12!$R$1:RW$150)</f>
        <v>-7110</v>
      </c>
      <c r="U77" s="1"/>
      <c r="V77" s="1">
        <f>SUMIF(Planilha13!$I$1:$I$150,B77,Planilha13!$R$1:RY$150)</f>
        <v>-8120</v>
      </c>
      <c r="W77" s="1">
        <f>SUMIF(Planilha14!$I$1:$I$150,B77,Planilha14!$R$1:RZ$150)</f>
        <v>-8810</v>
      </c>
      <c r="X77" s="1"/>
      <c r="Y77" s="1">
        <f>SUMIF('2026'!$I$1:$I$150,B77,'2026'!$R$1:RQ$150)</f>
        <v>-16930</v>
      </c>
      <c r="Z77" s="1">
        <f t="shared" si="1"/>
        <v>0</v>
      </c>
    </row>
    <row r="78" spans="1:26" x14ac:dyDescent="0.2">
      <c r="A78" s="7" t="s">
        <v>118</v>
      </c>
      <c r="B78" s="7"/>
      <c r="C78" s="7"/>
      <c r="D78" s="7"/>
      <c r="E78" s="7"/>
      <c r="F78" s="7"/>
      <c r="G78" s="7"/>
      <c r="H78" s="7"/>
      <c r="I78" s="8">
        <f>SUMIF(Planilha1!$H$1:$H$110,A78,Planilha1!$R$1:$R$150)</f>
        <v>-5776.55</v>
      </c>
      <c r="J78" s="8">
        <f>SUMIF(Planilha2!$H$1:$H$110,A78,Planilha2!$R$1:$R$150)</f>
        <v>-3306.17</v>
      </c>
      <c r="K78" s="8">
        <f>SUMIF(Planilha3!$H$1:$H$110,A78,Planilha3!$R$1:$R$150)</f>
        <v>-3347.08</v>
      </c>
      <c r="L78" s="8">
        <f>SUMIF(Planilha4!$H$1:$H$110,A78,Planilha4!$R$1:$R$150)</f>
        <v>-6934.5</v>
      </c>
      <c r="M78" s="8">
        <f>SUMIF(Planilha5!$H$1:$H$110,A78,Planilha5!$R$1:$R$150)</f>
        <v>-2673.5</v>
      </c>
      <c r="N78" s="8">
        <f>SUMIF(Planilha6!$H$1:$H$110,A78,Planilha6!$R$1:$R$150)</f>
        <v>-852.12</v>
      </c>
      <c r="O78" s="8">
        <f>SUMIF(Planilha7!$H$1:$H$110,A78,Planilha7!$R$1:$R$150)</f>
        <v>-2451.69</v>
      </c>
      <c r="P78" s="8">
        <f>SUMIF(Planilha8!$H$1:$H$110,A78,Planilha8!$R$1:$R$150)</f>
        <v>-2256.52</v>
      </c>
      <c r="Q78" s="8">
        <f>SUMIF(Planilha9!$H$1:$H$110,A78,Planilha9!$R$1:$R$150)</f>
        <v>-2198.16</v>
      </c>
      <c r="R78" s="8">
        <f>SUMIF(Planilha10!$H$1:$H$110,A78,Planilha10!$R$1:$R$150)</f>
        <v>-3369.82</v>
      </c>
      <c r="S78" s="8">
        <f>SUMIF(Planilha11!$H$1:$H$110,A78,Planilha11!$R$1:$R$150)</f>
        <v>-3446.21</v>
      </c>
      <c r="T78" s="8">
        <f>SUMIF(Planilha12!$H$1:$H$110,A78,Planilha12!$R$1:$R$150)</f>
        <v>-2371.13</v>
      </c>
      <c r="U78" s="18"/>
      <c r="V78" s="8">
        <f>SUMIF(Planilha13!$H$1:$H$110,A78,Planilha13!$R$1:$R$150)</f>
        <v>-2290.62</v>
      </c>
      <c r="W78" s="8">
        <f>SUMIF(Planilha14!$H$1:$H$110,A78,Planilha14!$R$1:$R$150)</f>
        <v>-2171.39</v>
      </c>
      <c r="X78" s="10"/>
      <c r="Y78" s="8">
        <f>SUMIF('2026'!$H$1:$H$110,A78,'2026'!$R$1:$R$150)</f>
        <v>-4462.01</v>
      </c>
      <c r="Z78" s="1">
        <f t="shared" si="1"/>
        <v>0</v>
      </c>
    </row>
    <row r="79" spans="1:26" x14ac:dyDescent="0.2">
      <c r="A79" s="3"/>
      <c r="B79" s="3" t="s">
        <v>120</v>
      </c>
      <c r="C79" s="3"/>
      <c r="D79" s="3"/>
      <c r="E79" s="3"/>
      <c r="F79" s="3"/>
      <c r="G79" s="3"/>
      <c r="H79" s="3"/>
      <c r="I79" s="11">
        <f>SUMIF(Planilha1!$I$1:$I$150,B79,Planilha1!$R$1:RL$150)</f>
        <v>-3487.17</v>
      </c>
      <c r="J79" s="11">
        <f>SUMIF(Planilha2!$I$1:$I$150,B79,Planilha2!$R$1:RM$150)</f>
        <v>-1808.76</v>
      </c>
      <c r="K79" s="11">
        <f>SUMIF(Planilha3!$I$1:$I$150,B79,Planilha3!$R$1:RN$150)</f>
        <v>-1929.6</v>
      </c>
      <c r="L79" s="11">
        <f>SUMIF(Planilha4!$I$1:$I$150,B79,Planilha4!$R$1:RO$150)</f>
        <v>-2891.56</v>
      </c>
      <c r="M79" s="11">
        <f>SUMIF(Planilha5!$I$1:$I$150,B79,Planilha5!$R$1:RP$150)</f>
        <v>-1571.82</v>
      </c>
      <c r="N79" s="11">
        <f>SUMIF(Planilha6!$I$1:$I$150,B79,Planilha6!$R$1:RQ$150)</f>
        <v>-1601.59</v>
      </c>
      <c r="O79" s="11">
        <f>SUMIF(Planilha7!$I$1:$I$150,B79,Planilha7!$R$1:RR$150)</f>
        <v>-1490.62</v>
      </c>
      <c r="P79" s="11">
        <f>SUMIF(Planilha8!$I$1:$I$150,B79,Planilha8!$R$1:RS$150)</f>
        <v>-1435.14</v>
      </c>
      <c r="Q79" s="11">
        <f>SUMIF(Planilha9!$I$1:$I$150,B79,Planilha9!$R$1:RT$150)</f>
        <v>-1435.14</v>
      </c>
      <c r="R79" s="11">
        <f>SUMIF(Planilha10!$I$1:$I$150,B79,Planilha10!$R$1:RU$150)</f>
        <v>-2182.7600000000002</v>
      </c>
      <c r="S79" s="11">
        <f>SUMIF(Planilha11!$I$1:$I$150,B79,Planilha11!$R$1:RV$150)</f>
        <v>-2369.4299999999998</v>
      </c>
      <c r="T79" s="11">
        <f>SUMIF(Planilha12!$I$1:$I$150,B79,Planilha12!$R$1:RW$150)</f>
        <v>-1435.14</v>
      </c>
      <c r="U79" s="11"/>
      <c r="V79" s="11">
        <f>SUMIF(Planilha13!$I$1:$I$150,B79,Planilha13!$R$1:RY$150)</f>
        <v>-1429.36</v>
      </c>
      <c r="W79" s="11">
        <f>SUMIF(Planilha14!$I$1:$I$150,B79,Planilha14!$R$1:RZ$150)</f>
        <v>-1408.37</v>
      </c>
      <c r="X79" s="11"/>
      <c r="Y79" s="11">
        <f>SUMIF('2026'!$I$1:$I$150,B79,'2026'!$R$1:RQ$150)</f>
        <v>-2837.73</v>
      </c>
      <c r="Z79" s="1">
        <f t="shared" si="1"/>
        <v>0</v>
      </c>
    </row>
    <row r="80" spans="1:26" x14ac:dyDescent="0.2">
      <c r="B80" t="s">
        <v>122</v>
      </c>
      <c r="I80" s="1">
        <f>SUMIF(Planilha1!$I$1:$I$150,B80,Planilha1!$R$1:RL$150)</f>
        <v>-963.01</v>
      </c>
      <c r="J80" s="1">
        <f>SUMIF(Planilha2!$I$1:$I$150,B80,Planilha2!$R$1:RM$150)</f>
        <v>-539.91999999999996</v>
      </c>
      <c r="K80" s="1">
        <f>SUMIF(Planilha3!$I$1:$I$150,B80,Planilha3!$R$1:RN$150)</f>
        <v>-576</v>
      </c>
      <c r="L80" s="1">
        <f>SUMIF(Planilha4!$I$1:$I$150,B80,Planilha4!$R$1:RO$150)</f>
        <v>-644.91</v>
      </c>
      <c r="M80" s="1">
        <f>SUMIF(Planilha5!$I$1:$I$150,B80,Planilha5!$R$1:RP$150)</f>
        <v>-469.2</v>
      </c>
      <c r="N80" s="1">
        <f>SUMIF(Planilha6!$I$1:$I$150,B80,Planilha6!$R$1:RQ$150)</f>
        <v>-478.08</v>
      </c>
      <c r="O80" s="1">
        <f>SUMIF(Planilha7!$I$1:$I$150,B80,Planilha7!$R$1:RR$150)</f>
        <v>-444.96</v>
      </c>
      <c r="P80" s="1">
        <f>SUMIF(Planilha8!$I$1:$I$150,B80,Planilha8!$R$1:RS$150)</f>
        <v>-428.4</v>
      </c>
      <c r="Q80" s="1">
        <f>SUMIF(Planilha9!$I$1:$I$150,B80,Planilha9!$R$1:RT$150)</f>
        <v>-428.4</v>
      </c>
      <c r="R80" s="1">
        <f>SUMIF(Planilha10!$I$1:$I$150,B80,Planilha10!$R$1:RU$150)</f>
        <v>-651.55999999999995</v>
      </c>
      <c r="S80" s="1">
        <f>SUMIF(Planilha11!$I$1:$I$150,B80,Planilha11!$R$1:RV$150)</f>
        <v>-707.28</v>
      </c>
      <c r="T80" s="1">
        <f>SUMIF(Planilha12!$I$1:$I$150,B80,Planilha12!$R$1:RW$150)</f>
        <v>-428.4</v>
      </c>
      <c r="U80" s="1"/>
      <c r="V80" s="1">
        <f>SUMIF(Planilha13!$I$1:$I$150,B80,Planilha13!$R$1:RY$150)</f>
        <v>-434.78</v>
      </c>
      <c r="W80" s="1">
        <f>SUMIF(Planilha14!$I$1:$I$150,B80,Planilha14!$R$1:RZ$150)</f>
        <v>-428.4</v>
      </c>
      <c r="X80" s="1"/>
      <c r="Y80" s="1">
        <f>SUMIF('2026'!$I$1:$I$150,B80,'2026'!$R$1:RQ$150)</f>
        <v>-863.18</v>
      </c>
      <c r="Z80" s="1">
        <f t="shared" si="1"/>
        <v>0</v>
      </c>
    </row>
    <row r="81" spans="1:26" x14ac:dyDescent="0.2">
      <c r="A81" s="3"/>
      <c r="B81" s="3" t="s">
        <v>124</v>
      </c>
      <c r="C81" s="3"/>
      <c r="D81" s="3"/>
      <c r="E81" s="3"/>
      <c r="F81" s="3"/>
      <c r="G81" s="3"/>
      <c r="H81" s="3"/>
      <c r="I81" s="11">
        <f>SUMIF(Planilha1!$I$1:$I$150,B81,Planilha1!$R$1:RL$150)</f>
        <v>-120.37</v>
      </c>
      <c r="J81" s="11">
        <f>SUMIF(Planilha2!$I$1:$I$150,B81,Planilha2!$R$1:RM$150)</f>
        <v>-67.489999999999995</v>
      </c>
      <c r="K81" s="11">
        <f>SUMIF(Planilha3!$I$1:$I$150,B81,Planilha3!$R$1:RN$150)</f>
        <v>-72</v>
      </c>
      <c r="L81" s="11">
        <f>SUMIF(Planilha4!$I$1:$I$150,B81,Planilha4!$R$1:RO$150)</f>
        <v>-80.61</v>
      </c>
      <c r="M81" s="11">
        <f>SUMIF(Planilha5!$I$1:$I$150,B81,Planilha5!$R$1:RP$150)</f>
        <v>-58.65</v>
      </c>
      <c r="N81" s="11">
        <f>SUMIF(Planilha6!$I$1:$I$150,B81,Planilha6!$R$1:RQ$150)</f>
        <v>-59.76</v>
      </c>
      <c r="O81" s="11">
        <f>SUMIF(Planilha7!$I$1:$I$150,B81,Planilha7!$R$1:RR$150)</f>
        <v>-55.62</v>
      </c>
      <c r="P81" s="11">
        <f>SUMIF(Planilha8!$I$1:$I$150,B81,Planilha8!$R$1:RS$150)</f>
        <v>-53.55</v>
      </c>
      <c r="Q81" s="11">
        <f>SUMIF(Planilha9!$I$1:$I$150,B81,Planilha9!$R$1:RT$150)</f>
        <v>-53.55</v>
      </c>
      <c r="R81" s="11">
        <f>SUMIF(Planilha10!$I$1:$I$150,B81,Planilha10!$R$1:RU$150)</f>
        <v>-81.45</v>
      </c>
      <c r="S81" s="11">
        <f>SUMIF(Planilha11!$I$1:$I$150,B81,Planilha11!$R$1:RV$150)</f>
        <v>-88.41</v>
      </c>
      <c r="T81" s="11">
        <f>SUMIF(Planilha12!$I$1:$I$150,B81,Planilha12!$R$1:RW$150)</f>
        <v>-53.55</v>
      </c>
      <c r="U81" s="11"/>
      <c r="V81" s="11">
        <f>SUMIF(Planilha13!$I$1:$I$150,B81,Planilha13!$R$1:RY$150)</f>
        <v>-54.35</v>
      </c>
      <c r="W81" s="11">
        <f>SUMIF(Planilha14!$I$1:$I$150,B81,Planilha14!$R$1:RZ$150)</f>
        <v>-53.55</v>
      </c>
      <c r="X81" s="11"/>
      <c r="Y81" s="11">
        <f>SUMIF('2026'!$I$1:$I$150,B81,'2026'!$R$1:RQ$150)</f>
        <v>-107.9</v>
      </c>
      <c r="Z81" s="1">
        <f t="shared" si="1"/>
        <v>0</v>
      </c>
    </row>
    <row r="82" spans="1:26" x14ac:dyDescent="0.2">
      <c r="B82" t="s">
        <v>203</v>
      </c>
      <c r="I82" s="1">
        <f>SUMIF(Planilha1!$I$1:$I$150,B82,Planilha1!$R$1:RL$150)</f>
        <v>0</v>
      </c>
      <c r="J82" s="1">
        <f>SUMIF(Planilha2!$I$1:$I$150,B82,Planilha2!$R$1:RM$150)</f>
        <v>0</v>
      </c>
      <c r="K82" s="1">
        <f>SUMIF(Planilha3!$I$1:$I$150,B82,Planilha3!$R$1:RN$150)</f>
        <v>0</v>
      </c>
      <c r="L82" s="1">
        <f>SUMIF(Planilha4!$I$1:$I$150,B82,Planilha4!$R$1:RO$150)</f>
        <v>-1335.46</v>
      </c>
      <c r="M82" s="1">
        <f>SUMIF(Planilha5!$I$1:$I$150,B82,Planilha5!$R$1:RP$150)</f>
        <v>-291.86</v>
      </c>
      <c r="N82" s="1">
        <f>SUMIF(Planilha6!$I$1:$I$150,B82,Planilha6!$R$1:RQ$150)</f>
        <v>1083.28</v>
      </c>
      <c r="O82" s="1">
        <f>SUMIF(Planilha7!$I$1:$I$150,B82,Planilha7!$R$1:RR$150)</f>
        <v>-225.12</v>
      </c>
      <c r="P82" s="1">
        <f>SUMIF(Planilha8!$I$1:$I$150,B82,Planilha8!$R$1:RS$150)</f>
        <v>-142.15</v>
      </c>
      <c r="Q82" s="1">
        <f>SUMIF(Planilha9!$I$1:$I$150,B82,Planilha9!$R$1:RT$150)</f>
        <v>-92.05</v>
      </c>
      <c r="R82" s="1">
        <f>SUMIF(Planilha10!$I$1:$I$150,B82,Planilha10!$R$1:RU$150)</f>
        <v>-220.92</v>
      </c>
      <c r="S82" s="1">
        <f>SUMIF(Planilha11!$I$1:$I$150,B82,Planilha11!$R$1:RV$150)</f>
        <v>-92.05</v>
      </c>
      <c r="T82" s="1">
        <f>SUMIF(Planilha12!$I$1:$I$150,B82,Planilha12!$R$1:RW$150)</f>
        <v>-220.92</v>
      </c>
      <c r="U82" s="1"/>
      <c r="V82" s="1">
        <f>SUMIF(Planilha13!$I$1:$I$150,B82,Planilha13!$R$1:RY$150)</f>
        <v>-158.41999999999999</v>
      </c>
      <c r="W82" s="1">
        <f>SUMIF(Planilha14!$I$1:$I$150,B82,Planilha14!$R$1:RZ$150)</f>
        <v>-92.05</v>
      </c>
      <c r="X82" s="1"/>
      <c r="Y82" s="1">
        <f>SUMIF('2026'!$I$1:$I$150,B82,'2026'!$R$1:RQ$150)</f>
        <v>-250.47</v>
      </c>
      <c r="Z82" s="1">
        <f t="shared" si="1"/>
        <v>0</v>
      </c>
    </row>
    <row r="83" spans="1:26" x14ac:dyDescent="0.2">
      <c r="A83" s="3"/>
      <c r="B83" s="3" t="s">
        <v>205</v>
      </c>
      <c r="C83" s="3"/>
      <c r="D83" s="3"/>
      <c r="E83" s="3"/>
      <c r="F83" s="3"/>
      <c r="G83" s="3"/>
      <c r="H83" s="3"/>
      <c r="I83" s="11">
        <f>SUMIF(Planilha1!$I$1:$I$150,B83,Planilha1!$R$1:RL$150)</f>
        <v>0</v>
      </c>
      <c r="J83" s="11">
        <f>SUMIF(Planilha2!$I$1:$I$150,B83,Planilha2!$R$1:RM$150)</f>
        <v>0</v>
      </c>
      <c r="K83" s="11">
        <f>SUMIF(Planilha3!$I$1:$I$150,B83,Planilha3!$R$1:RN$150)</f>
        <v>0</v>
      </c>
      <c r="L83" s="11">
        <f>SUMIF(Planilha4!$I$1:$I$150,B83,Planilha4!$R$1:RO$150)</f>
        <v>-398.63</v>
      </c>
      <c r="M83" s="11">
        <f>SUMIF(Planilha5!$I$1:$I$150,B83,Planilha5!$R$1:RP$150)</f>
        <v>-87.14</v>
      </c>
      <c r="N83" s="11">
        <f>SUMIF(Planilha6!$I$1:$I$150,B83,Planilha6!$R$1:RQ$150)</f>
        <v>323.37</v>
      </c>
      <c r="O83" s="11">
        <f>SUMIF(Planilha7!$I$1:$I$150,B83,Planilha7!$R$1:RR$150)</f>
        <v>-67.2</v>
      </c>
      <c r="P83" s="11">
        <f>SUMIF(Planilha8!$I$1:$I$150,B83,Planilha8!$R$1:RS$150)</f>
        <v>-47.6</v>
      </c>
      <c r="Q83" s="11">
        <f>SUMIF(Planilha9!$I$1:$I$150,B83,Planilha9!$R$1:RT$150)</f>
        <v>-28</v>
      </c>
      <c r="R83" s="11">
        <f>SUMIF(Planilha10!$I$1:$I$150,B83,Planilha10!$R$1:RU$150)</f>
        <v>-67.2</v>
      </c>
      <c r="S83" s="11">
        <f>SUMIF(Planilha11!$I$1:$I$150,B83,Planilha11!$R$1:RV$150)</f>
        <v>-28</v>
      </c>
      <c r="T83" s="11">
        <f>SUMIF(Planilha12!$I$1:$I$150,B83,Planilha12!$R$1:RW$150)</f>
        <v>-67.2</v>
      </c>
      <c r="U83" s="11"/>
      <c r="V83" s="11">
        <f>SUMIF(Planilha13!$I$1:$I$150,B83,Planilha13!$R$1:RY$150)</f>
        <v>-48.19</v>
      </c>
      <c r="W83" s="11">
        <f>SUMIF(Planilha14!$I$1:$I$150,B83,Planilha14!$R$1:RZ$150)</f>
        <v>-28</v>
      </c>
      <c r="X83" s="11"/>
      <c r="Y83" s="11">
        <f>SUMIF('2026'!$I$1:$I$150,B83,'2026'!$R$1:RQ$150)</f>
        <v>-76.19</v>
      </c>
      <c r="Z83" s="1">
        <f t="shared" si="1"/>
        <v>0</v>
      </c>
    </row>
    <row r="84" spans="1:26" x14ac:dyDescent="0.2">
      <c r="B84" t="s">
        <v>207</v>
      </c>
      <c r="I84" s="1">
        <f>SUMIF(Planilha1!$I$1:$I$150,B84,Planilha1!$R$1:RL$150)</f>
        <v>0</v>
      </c>
      <c r="J84" s="1">
        <f>SUMIF(Planilha2!$I$1:$I$150,B84,Planilha2!$R$1:RM$150)</f>
        <v>0</v>
      </c>
      <c r="K84" s="1">
        <f>SUMIF(Planilha3!$I$1:$I$150,B84,Planilha3!$R$1:RN$150)</f>
        <v>0</v>
      </c>
      <c r="L84" s="1">
        <f>SUMIF(Planilha4!$I$1:$I$150,B84,Planilha4!$R$1:RO$150)</f>
        <v>-49.83</v>
      </c>
      <c r="M84" s="1">
        <f>SUMIF(Planilha5!$I$1:$I$150,B84,Planilha5!$R$1:RP$150)</f>
        <v>-10.89</v>
      </c>
      <c r="N84" s="1">
        <f>SUMIF(Planilha6!$I$1:$I$150,B84,Planilha6!$R$1:RQ$150)</f>
        <v>40.42</v>
      </c>
      <c r="O84" s="1">
        <f>SUMIF(Planilha7!$I$1:$I$150,B84,Planilha7!$R$1:RR$150)</f>
        <v>-8.4</v>
      </c>
      <c r="P84" s="1">
        <f>SUMIF(Planilha8!$I$1:$I$150,B84,Planilha8!$R$1:RS$150)</f>
        <v>-5.95</v>
      </c>
      <c r="Q84" s="1">
        <f>SUMIF(Planilha9!$I$1:$I$150,B84,Planilha9!$R$1:RT$150)</f>
        <v>-3.5</v>
      </c>
      <c r="R84" s="1">
        <f>SUMIF(Planilha10!$I$1:$I$150,B84,Planilha10!$R$1:RU$150)</f>
        <v>-8.4</v>
      </c>
      <c r="S84" s="1">
        <f>SUMIF(Planilha11!$I$1:$I$150,B84,Planilha11!$R$1:RV$150)</f>
        <v>-3.5</v>
      </c>
      <c r="T84" s="1">
        <f>SUMIF(Planilha12!$I$1:$I$150,B84,Planilha12!$R$1:RW$150)</f>
        <v>-8.4</v>
      </c>
      <c r="U84" s="1"/>
      <c r="V84" s="1">
        <f>SUMIF(Planilha13!$I$1:$I$150,B84,Planilha13!$R$1:RY$150)</f>
        <v>-6.02</v>
      </c>
      <c r="W84" s="1">
        <f>SUMIF(Planilha14!$I$1:$I$150,B84,Planilha14!$R$1:RZ$150)</f>
        <v>-3.5</v>
      </c>
      <c r="X84" s="1"/>
      <c r="Y84" s="1">
        <f>SUMIF('2026'!$I$1:$I$150,B84,'2026'!$R$1:RQ$150)</f>
        <v>-9.52</v>
      </c>
      <c r="Z84" s="1">
        <f t="shared" si="1"/>
        <v>0</v>
      </c>
    </row>
    <row r="85" spans="1:26" x14ac:dyDescent="0.2">
      <c r="A85" s="3"/>
      <c r="B85" s="3" t="s">
        <v>209</v>
      </c>
      <c r="C85" s="3"/>
      <c r="D85" s="3"/>
      <c r="E85" s="3"/>
      <c r="F85" s="3"/>
      <c r="G85" s="3"/>
      <c r="H85" s="3"/>
      <c r="I85" s="11">
        <f>SUMIF(Planilha1!$I$1:$I$150,B85,Planilha1!$R$1:RL$150)</f>
        <v>0</v>
      </c>
      <c r="J85" s="11">
        <f>SUMIF(Planilha2!$I$1:$I$150,B85,Planilha2!$R$1:RM$150)</f>
        <v>0</v>
      </c>
      <c r="K85" s="11">
        <f>SUMIF(Planilha3!$I$1:$I$150,B85,Planilha3!$R$1:RN$150)</f>
        <v>0</v>
      </c>
      <c r="L85" s="11">
        <f>SUMIF(Planilha4!$I$1:$I$150,B85,Planilha4!$R$1:RO$150)</f>
        <v>-361.8</v>
      </c>
      <c r="M85" s="11">
        <f>SUMIF(Planilha5!$I$1:$I$150,B85,Planilha5!$R$1:RP$150)</f>
        <v>-137.69999999999999</v>
      </c>
      <c r="N85" s="11">
        <f>SUMIF(Planilha6!$I$1:$I$150,B85,Planilha6!$R$1:RQ$150)</f>
        <v>-119.6</v>
      </c>
      <c r="O85" s="11">
        <f>SUMIF(Planilha7!$I$1:$I$150,B85,Planilha7!$R$1:RR$150)</f>
        <v>-119.6</v>
      </c>
      <c r="P85" s="11">
        <f>SUMIF(Planilha8!$I$1:$I$150,B85,Planilha8!$R$1:RS$150)</f>
        <v>-103.57</v>
      </c>
      <c r="Q85" s="11">
        <f>SUMIF(Planilha9!$I$1:$I$150,B85,Planilha9!$R$1:RT$150)</f>
        <v>-117.36</v>
      </c>
      <c r="R85" s="11">
        <f>SUMIF(Planilha10!$I$1:$I$150,B85,Planilha10!$R$1:RU$150)</f>
        <v>-117.37</v>
      </c>
      <c r="S85" s="11">
        <f>SUMIF(Planilha11!$I$1:$I$150,B85,Planilha11!$R$1:RV$150)</f>
        <v>-117.37</v>
      </c>
      <c r="T85" s="11">
        <f>SUMIF(Planilha12!$I$1:$I$150,B85,Planilha12!$R$1:RW$150)</f>
        <v>-117.36</v>
      </c>
      <c r="U85" s="11"/>
      <c r="V85" s="11">
        <f>SUMIF(Planilha13!$I$1:$I$150,B85,Planilha13!$R$1:RY$150)</f>
        <v>-118.84</v>
      </c>
      <c r="W85" s="11">
        <f>SUMIF(Planilha14!$I$1:$I$150,B85,Planilha14!$R$1:RZ$150)</f>
        <v>-117.36</v>
      </c>
      <c r="X85" s="11"/>
      <c r="Y85" s="11">
        <f>SUMIF('2026'!$I$1:$I$150,B85,'2026'!$R$1:RQ$150)</f>
        <v>-236.2</v>
      </c>
      <c r="Z85" s="1">
        <f t="shared" si="1"/>
        <v>0</v>
      </c>
    </row>
    <row r="86" spans="1:26" ht="15" customHeight="1" x14ac:dyDescent="0.2">
      <c r="B86" t="s">
        <v>211</v>
      </c>
      <c r="I86" s="1">
        <f>SUMIF(Planilha1!$I$1:$I$150,B86,Planilha1!$R$1:RL$150)</f>
        <v>0</v>
      </c>
      <c r="J86" s="1">
        <f>SUMIF(Planilha2!$I$1:$I$150,B86,Planilha2!$R$1:RM$150)</f>
        <v>0</v>
      </c>
      <c r="K86" s="1">
        <f>SUMIF(Planilha3!$I$1:$I$150,B86,Planilha3!$R$1:RN$150)</f>
        <v>0</v>
      </c>
      <c r="L86" s="1">
        <f>SUMIF(Planilha4!$I$1:$I$150,B86,Planilha4!$R$1:RO$150)</f>
        <v>-108</v>
      </c>
      <c r="M86" s="1">
        <f>SUMIF(Planilha5!$I$1:$I$150,B86,Planilha5!$R$1:RP$150)</f>
        <v>-41.1</v>
      </c>
      <c r="N86" s="1">
        <f>SUMIF(Planilha6!$I$1:$I$150,B86,Planilha6!$R$1:RQ$150)</f>
        <v>-35.700000000000003</v>
      </c>
      <c r="O86" s="1">
        <f>SUMIF(Planilha7!$I$1:$I$150,B86,Planilha7!$R$1:RR$150)</f>
        <v>-35.700000000000003</v>
      </c>
      <c r="P86" s="1">
        <f>SUMIF(Planilha8!$I$1:$I$150,B86,Planilha8!$R$1:RS$150)</f>
        <v>-35.700000000000003</v>
      </c>
      <c r="Q86" s="1">
        <f>SUMIF(Planilha9!$I$1:$I$150,B86,Planilha9!$R$1:RT$150)</f>
        <v>-35.700000000000003</v>
      </c>
      <c r="R86" s="1">
        <f>SUMIF(Planilha10!$I$1:$I$150,B86,Planilha10!$R$1:RU$150)</f>
        <v>-35.700000000000003</v>
      </c>
      <c r="S86" s="1">
        <f>SUMIF(Planilha11!$I$1:$I$150,B86,Planilha11!$R$1:RV$150)</f>
        <v>-35.700000000000003</v>
      </c>
      <c r="T86" s="1">
        <f>SUMIF(Planilha12!$I$1:$I$150,B86,Planilha12!$R$1:RW$150)</f>
        <v>-35.700000000000003</v>
      </c>
      <c r="U86" s="1"/>
      <c r="V86" s="1">
        <f>SUMIF(Planilha13!$I$1:$I$150,B86,Planilha13!$R$1:RY$150)</f>
        <v>-36.14</v>
      </c>
      <c r="W86" s="1">
        <f>SUMIF(Planilha14!$I$1:$I$150,B86,Planilha14!$R$1:RZ$150)</f>
        <v>-35.700000000000003</v>
      </c>
      <c r="X86" s="1"/>
      <c r="Y86" s="1">
        <f>SUMIF('2026'!$I$1:$I$150,B86,'2026'!$R$1:RQ$150)</f>
        <v>-71.84</v>
      </c>
      <c r="Z86" s="1">
        <f t="shared" si="1"/>
        <v>0</v>
      </c>
    </row>
    <row r="87" spans="1:26" ht="15" customHeight="1" x14ac:dyDescent="0.2">
      <c r="A87" s="3"/>
      <c r="B87" s="3" t="s">
        <v>213</v>
      </c>
      <c r="C87" s="3"/>
      <c r="D87" s="3"/>
      <c r="E87" s="3"/>
      <c r="F87" s="3"/>
      <c r="G87" s="3"/>
      <c r="H87" s="3"/>
      <c r="I87" s="11">
        <f>SUMIF(Planilha1!$I$1:$I$150,B87,Planilha1!$R$1:RL$150)</f>
        <v>0</v>
      </c>
      <c r="J87" s="11">
        <f>SUMIF(Planilha2!$I$1:$I$150,B87,Planilha2!$R$1:RM$150)</f>
        <v>0</v>
      </c>
      <c r="K87" s="11">
        <f>SUMIF(Planilha3!$I$1:$I$150,B87,Planilha3!$R$1:RN$150)</f>
        <v>0</v>
      </c>
      <c r="L87" s="11">
        <f>SUMIF(Planilha4!$I$1:$I$150,B87,Planilha4!$R$1:RO$150)</f>
        <v>-13.5</v>
      </c>
      <c r="M87" s="11">
        <f>SUMIF(Planilha5!$I$1:$I$150,B87,Planilha5!$R$1:RP$150)</f>
        <v>-5.14</v>
      </c>
      <c r="N87" s="11">
        <f>SUMIF(Planilha6!$I$1:$I$150,B87,Planilha6!$R$1:RQ$150)</f>
        <v>-4.46</v>
      </c>
      <c r="O87" s="11">
        <f>SUMIF(Planilha7!$I$1:$I$150,B87,Planilha7!$R$1:RR$150)</f>
        <v>-4.47</v>
      </c>
      <c r="P87" s="11">
        <f>SUMIF(Planilha8!$I$1:$I$150,B87,Planilha8!$R$1:RS$150)</f>
        <v>-4.46</v>
      </c>
      <c r="Q87" s="11">
        <f>SUMIF(Planilha9!$I$1:$I$150,B87,Planilha9!$R$1:RT$150)</f>
        <v>-4.46</v>
      </c>
      <c r="R87" s="11">
        <f>SUMIF(Planilha10!$I$1:$I$150,B87,Planilha10!$R$1:RU$150)</f>
        <v>-4.46</v>
      </c>
      <c r="S87" s="11">
        <f>SUMIF(Planilha11!$I$1:$I$150,B87,Planilha11!$R$1:RV$150)</f>
        <v>-4.47</v>
      </c>
      <c r="T87" s="11">
        <f>SUMIF(Planilha12!$I$1:$I$150,B87,Planilha12!$R$1:RW$150)</f>
        <v>-4.46</v>
      </c>
      <c r="U87" s="11"/>
      <c r="V87" s="11">
        <f>SUMIF(Planilha13!$I$1:$I$150,B87,Planilha13!$R$1:RY$150)</f>
        <v>-4.5199999999999996</v>
      </c>
      <c r="W87" s="11">
        <f>SUMIF(Planilha14!$I$1:$I$150,B87,Planilha14!$R$1:RZ$150)</f>
        <v>-4.46</v>
      </c>
      <c r="X87" s="11"/>
      <c r="Y87" s="11">
        <f>SUMIF('2026'!$I$1:$I$150,B87,'2026'!$R$1:RQ$150)</f>
        <v>-8.98</v>
      </c>
      <c r="Z87" s="1">
        <f t="shared" si="1"/>
        <v>0</v>
      </c>
    </row>
    <row r="88" spans="1:26" x14ac:dyDescent="0.2">
      <c r="B88" t="s">
        <v>126</v>
      </c>
      <c r="I88" s="1">
        <f>SUMIF(Planilha1!$I$1:$I$150,B88,Planilha1!$R$1:RL$150)</f>
        <v>-1206</v>
      </c>
      <c r="J88" s="1">
        <f>SUMIF(Planilha2!$I$1:$I$150,B88,Planilha2!$R$1:RM$150)</f>
        <v>-890</v>
      </c>
      <c r="K88" s="1">
        <f>SUMIF(Planilha3!$I$1:$I$150,B88,Planilha3!$R$1:RN$150)</f>
        <v>-769.48</v>
      </c>
      <c r="L88" s="1">
        <f>SUMIF(Planilha4!$I$1:$I$150,B88,Planilha4!$R$1:RO$150)</f>
        <v>-1050.2</v>
      </c>
      <c r="M88" s="1">
        <f>SUMIF(Planilha5!$I$1:$I$150,B88,Planilha5!$R$1:RP$150)</f>
        <v>0</v>
      </c>
      <c r="N88" s="1">
        <f>SUMIF(Planilha6!$I$1:$I$150,B88,Planilha6!$R$1:RQ$150)</f>
        <v>0</v>
      </c>
      <c r="O88" s="1">
        <f>SUMIF(Planilha7!$I$1:$I$150,B88,Planilha7!$R$1:RR$150)</f>
        <v>0</v>
      </c>
      <c r="P88" s="1">
        <f>SUMIF(Planilha8!$I$1:$I$150,B88,Planilha8!$R$1:RS$150)</f>
        <v>0</v>
      </c>
      <c r="Q88" s="1">
        <f>SUMIF(Planilha9!$I$1:$I$150,B88,Planilha9!$R$1:RT$150)</f>
        <v>0</v>
      </c>
      <c r="R88" s="1">
        <f>SUMIF(Planilha10!$I$1:$I$150,B88,Planilha10!$R$1:RU$150)</f>
        <v>0</v>
      </c>
      <c r="S88" s="1">
        <f>SUMIF(Planilha11!$I$1:$I$150,B88,Planilha11!$R$1:RV$150)</f>
        <v>0</v>
      </c>
      <c r="T88" s="1">
        <f>SUMIF(Planilha12!$I$1:$I$150,B88,Planilha12!$R$1:RW$150)</f>
        <v>0</v>
      </c>
      <c r="U88" s="1"/>
      <c r="V88" s="1">
        <f>SUMIF(Planilha13!$I$1:$I$150,B88,Planilha13!$R$1:RY$150)</f>
        <v>0</v>
      </c>
      <c r="W88" s="1">
        <f>SUMIF(Planilha14!$I$1:$I$150,B88,Planilha14!$R$1:RZ$150)</f>
        <v>0</v>
      </c>
      <c r="X88" s="1"/>
      <c r="Y88" s="1">
        <f>SUMIF('2026'!$I$1:$I$150,B88,'2026'!$R$1:RQ$150)</f>
        <v>0</v>
      </c>
      <c r="Z88" s="1">
        <f t="shared" si="1"/>
        <v>0</v>
      </c>
    </row>
    <row r="89" spans="1:26" x14ac:dyDescent="0.2">
      <c r="A89" s="7" t="s">
        <v>182</v>
      </c>
      <c r="B89" s="7"/>
      <c r="C89" s="7"/>
      <c r="D89" s="7"/>
      <c r="E89" s="7"/>
      <c r="F89" s="7"/>
      <c r="G89" s="7"/>
      <c r="H89" s="7"/>
      <c r="I89" s="8">
        <f>SUMIF(Planilha1!$H$1:$H$110,A89,Planilha1!$R$1:$R$150)</f>
        <v>-3522.01</v>
      </c>
      <c r="J89" s="8">
        <f>SUMIF(Planilha2!$H$1:$H$110,A89,Planilha2!$R$1:$R$150)</f>
        <v>-7548.4</v>
      </c>
      <c r="K89" s="8">
        <f>SUMIF(Planilha3!$H$1:$H$110,A89,Planilha3!$R$1:$R$150)</f>
        <v>-7155.32</v>
      </c>
      <c r="L89" s="8">
        <f>SUMIF(Planilha4!$H$1:$H$110,A89,Planilha4!$R$1:$R$150)</f>
        <v>-10740.87</v>
      </c>
      <c r="M89" s="8">
        <f>SUMIF(Planilha5!$H$1:$H$110,A89,Planilha5!$R$1:$R$150)</f>
        <v>-4464.7299999999996</v>
      </c>
      <c r="N89" s="8">
        <f>SUMIF(Planilha6!$H$1:$H$110,A89,Planilha6!$R$1:$R$150)</f>
        <v>-7709.03</v>
      </c>
      <c r="O89" s="8">
        <f>SUMIF(Planilha7!$H$1:$H$110,A89,Planilha7!$R$1:$R$150)</f>
        <v>-3094.37</v>
      </c>
      <c r="P89" s="8">
        <f>SUMIF(Planilha8!$H$1:$H$110,A89,Planilha8!$R$1:$R$150)</f>
        <v>-6855.96</v>
      </c>
      <c r="Q89" s="8">
        <f>SUMIF(Planilha9!$H$1:$H$110,A89,Planilha9!$R$1:$R$150)</f>
        <v>-11826.89</v>
      </c>
      <c r="R89" s="8">
        <f>SUMIF(Planilha10!$H$1:$H$110,A89,Planilha10!$R$1:$R$150)</f>
        <v>-26498.07</v>
      </c>
      <c r="S89" s="8">
        <f>SUMIF(Planilha11!$H$1:$H$110,A89,Planilha11!$R$1:$R$150)</f>
        <v>-4963.09</v>
      </c>
      <c r="T89" s="8">
        <f>SUMIF(Planilha12!$H$1:$H$110,A89,Planilha12!$R$1:$R$150)</f>
        <v>-3250.79</v>
      </c>
      <c r="U89" s="18"/>
      <c r="V89" s="8">
        <f>SUMIF(Planilha13!$H$1:$H$110,A89,Planilha13!$R$1:$R$150)</f>
        <v>-2765.23</v>
      </c>
      <c r="W89" s="8">
        <f>SUMIF(Planilha14!$H$1:$H$110,A89,Planilha14!$R$1:$R$150)</f>
        <v>-1625.71</v>
      </c>
      <c r="X89" s="10"/>
      <c r="Y89" s="8">
        <f>SUMIF('2026'!$H$1:$H$110,A89,'2026'!$R$1:$R$150)</f>
        <v>-4390.9399999999996</v>
      </c>
      <c r="Z89" s="1">
        <f t="shared" si="1"/>
        <v>0</v>
      </c>
    </row>
    <row r="90" spans="1:26" x14ac:dyDescent="0.2">
      <c r="A90" s="3"/>
      <c r="B90" s="3" t="s">
        <v>183</v>
      </c>
      <c r="C90" s="3"/>
      <c r="D90" s="3"/>
      <c r="E90" s="3"/>
      <c r="F90" s="3"/>
      <c r="G90" s="3"/>
      <c r="H90" s="3"/>
      <c r="I90" s="11">
        <f>SUMIF(Planilha1!$I$1:$I$150,B90,Planilha1!$R$1:RL$150)</f>
        <v>-3522.01</v>
      </c>
      <c r="J90" s="11">
        <f>SUMIF(Planilha2!$I$1:$I$150,B90,Planilha2!$R$1:RM$150)</f>
        <v>-7548.4</v>
      </c>
      <c r="K90" s="11">
        <f>SUMIF(Planilha3!$I$1:$I$150,B90,Planilha3!$R$1:RN$150)</f>
        <v>-7155.32</v>
      </c>
      <c r="L90" s="11">
        <f>SUMIF(Planilha4!$I$1:$I$150,B90,Planilha4!$R$1:RO$150)</f>
        <v>-10740.87</v>
      </c>
      <c r="M90" s="11">
        <f>SUMIF(Planilha5!$I$1:$I$150,B90,Planilha5!$R$1:RP$150)</f>
        <v>-4464.7299999999996</v>
      </c>
      <c r="N90" s="11">
        <f>SUMIF(Planilha6!$I$1:$I$150,B90,Planilha6!$R$1:RQ$150)</f>
        <v>-7709.03</v>
      </c>
      <c r="O90" s="11">
        <f>SUMIF(Planilha7!$I$1:$I$150,B90,Planilha7!$R$1:RR$150)</f>
        <v>-3094.37</v>
      </c>
      <c r="P90" s="11">
        <f>SUMIF(Planilha8!$I$1:$I$150,B90,Planilha8!$R$1:RS$150)</f>
        <v>-6855.96</v>
      </c>
      <c r="Q90" s="11">
        <f>SUMIF(Planilha9!$I$1:$I$150,B90,Planilha9!$R$1:RT$150)</f>
        <v>-11826.89</v>
      </c>
      <c r="R90" s="11">
        <f>SUMIF(Planilha10!$I$1:$I$150,B90,Planilha10!$R$1:RU$150)</f>
        <v>-26498.07</v>
      </c>
      <c r="S90" s="11">
        <f>SUMIF(Planilha11!$I$1:$I$150,B90,Planilha11!$R$1:RV$150)</f>
        <v>-4963.09</v>
      </c>
      <c r="T90" s="11">
        <f>SUMIF(Planilha12!$I$1:$I$150,B90,Planilha12!$R$1:RW$150)</f>
        <v>-3250.79</v>
      </c>
      <c r="U90" s="11"/>
      <c r="V90" s="11">
        <f>SUMIF(Planilha13!$I$1:$I$150,B90,Planilha13!$R$1:RY$150)</f>
        <v>-2765.23</v>
      </c>
      <c r="W90" s="11">
        <f>SUMIF(Planilha14!$I$1:$I$150,B90,Planilha14!$R$1:RZ$150)</f>
        <v>-1625.71</v>
      </c>
      <c r="X90" s="11"/>
      <c r="Y90" s="11">
        <f>SUMIF('2026'!$I$1:$I$150,B90,'2026'!$R$1:RQ$150)</f>
        <v>-4390.9399999999996</v>
      </c>
      <c r="Z90" s="1">
        <f t="shared" si="1"/>
        <v>0</v>
      </c>
    </row>
    <row r="91" spans="1:26" x14ac:dyDescent="0.2">
      <c r="A91" s="7" t="s">
        <v>181</v>
      </c>
      <c r="B91" s="7"/>
      <c r="C91" s="7"/>
      <c r="D91" s="7"/>
      <c r="E91" s="7"/>
      <c r="F91" s="7"/>
      <c r="G91" s="7"/>
      <c r="H91" s="7"/>
      <c r="I91" s="8">
        <f>SUMIF(Planilha1!$H$1:$H$110,A91,Planilha1!$R$1:$R$150)</f>
        <v>-6307.63</v>
      </c>
      <c r="J91" s="8">
        <f>SUMIF(Planilha2!$H$1:$H$110,A91,Planilha2!$R$1:$R$150)</f>
        <v>-37.18</v>
      </c>
      <c r="K91" s="8">
        <f>SUMIF(Planilha3!$H$1:$H$110,A91,Planilha3!$R$1:$R$150)</f>
        <v>-3830.11</v>
      </c>
      <c r="L91" s="8">
        <f>SUMIF(Planilha4!$H$1:$H$110,A91,Planilha4!$R$1:$R$150)</f>
        <v>0</v>
      </c>
      <c r="M91" s="8">
        <f>SUMIF(Planilha5!$H$1:$H$110,A91,Planilha5!$R$1:$R$150)</f>
        <v>0</v>
      </c>
      <c r="N91" s="8">
        <f>SUMIF(Planilha6!$H$1:$H$110,A91,Planilha6!$R$1:$R$150)</f>
        <v>-26.8</v>
      </c>
      <c r="O91" s="8">
        <f>SUMIF(Planilha7!$H$1:$H$110,A91,Planilha7!$R$1:$R$150)</f>
        <v>-1218.93</v>
      </c>
      <c r="P91" s="8">
        <f>SUMIF(Planilha8!$H$1:$H$110,A91,Planilha8!$R$1:$R$150)</f>
        <v>-510.76</v>
      </c>
      <c r="Q91" s="8">
        <f>SUMIF(Planilha9!$H$1:$H$110,A91,Planilha9!$R$1:$R$150)</f>
        <v>-105.6</v>
      </c>
      <c r="R91" s="8">
        <f>SUMIF(Planilha10!$H$1:$H$110,A91,Planilha10!$R$1:$R$150)</f>
        <v>-15832.55</v>
      </c>
      <c r="S91" s="8">
        <f>SUMIF(Planilha11!$H$1:$H$110,A91,Planilha11!$R$1:$R$150)</f>
        <v>-44387.5</v>
      </c>
      <c r="T91" s="8">
        <f>SUMIF(Planilha12!$H$1:$H$110,A91,Planilha12!$R$1:$R$150)</f>
        <v>-65647.03</v>
      </c>
      <c r="U91" s="18"/>
      <c r="V91" s="8">
        <f>SUMIF(Planilha13!$H$1:$H$110,A91,Planilha13!$R$1:$R$150)</f>
        <v>-11872.11</v>
      </c>
      <c r="W91" s="8">
        <f>SUMIF(Planilha14!$H$1:$H$110,A91,Planilha14!$R$1:$R$150)</f>
        <v>-8369.86</v>
      </c>
      <c r="X91" s="10"/>
      <c r="Y91" s="8">
        <f>SUMIF('2026'!$H$1:$H$110,A91,'2026'!$R$1:$R$150)</f>
        <v>-20241.97</v>
      </c>
      <c r="Z91" s="1">
        <f t="shared" si="1"/>
        <v>0</v>
      </c>
    </row>
    <row r="92" spans="1:26" x14ac:dyDescent="0.2">
      <c r="B92" t="s">
        <v>30</v>
      </c>
      <c r="I92" s="1">
        <f>SUMIF(Planilha1!$I$1:$I$150,B92,Planilha1!$R$1:RL$150)</f>
        <v>-6307.63</v>
      </c>
      <c r="J92" s="1">
        <f>SUMIF(Planilha2!$I$1:$I$150,B92,Planilha2!$R$1:RM$150)</f>
        <v>-37.18</v>
      </c>
      <c r="K92" s="1">
        <f>SUMIF(Planilha3!$I$1:$I$150,B92,Planilha3!$R$1:RN$150)</f>
        <v>-1157.42</v>
      </c>
      <c r="L92" s="1">
        <f>SUMIF(Planilha4!$I$1:$I$150,B92,Planilha4!$R$1:RO$150)</f>
        <v>0</v>
      </c>
      <c r="M92" s="1">
        <f>SUMIF(Planilha5!$I$1:$I$150,B92,Planilha5!$R$1:RP$150)</f>
        <v>0</v>
      </c>
      <c r="N92" s="1">
        <f>SUMIF(Planilha6!$I$1:$I$150,B92,Planilha6!$R$1:RQ$150)</f>
        <v>-26.8</v>
      </c>
      <c r="O92" s="1">
        <f>SUMIF(Planilha7!$I$1:$I$150,B92,Planilha7!$R$1:RR$150)</f>
        <v>-218.93</v>
      </c>
      <c r="P92" s="1">
        <f>SUMIF(Planilha8!$I$1:$I$150,B92,Planilha8!$R$1:RS$150)</f>
        <v>-215.41</v>
      </c>
      <c r="Q92" s="1">
        <f>SUMIF(Planilha9!$I$1:$I$150,B92,Planilha9!$R$1:RT$150)</f>
        <v>-55.6</v>
      </c>
      <c r="R92" s="1">
        <f>SUMIF(Planilha10!$I$1:$I$150,B92,Planilha10!$R$1:RU$150)</f>
        <v>-49.04</v>
      </c>
      <c r="S92" s="1">
        <f>SUMIF(Planilha11!$I$1:$I$150,B92,Planilha11!$R$1:RV$150)</f>
        <v>-45.54</v>
      </c>
      <c r="T92" s="1">
        <f>SUMIF(Planilha12!$I$1:$I$150,B92,Planilha12!$R$1:RW$150)</f>
        <v>-54.74</v>
      </c>
      <c r="U92" s="1"/>
      <c r="V92" s="1">
        <f>SUMIF(Planilha13!$I$1:$I$150,B92,Planilha13!$R$1:RY$150)</f>
        <v>-64.739999999999995</v>
      </c>
      <c r="W92" s="1">
        <f>SUMIF(Planilha14!$I$1:$I$150,B92,Planilha14!$R$1:RZ$150)</f>
        <v>-34.74</v>
      </c>
      <c r="X92" s="1"/>
      <c r="Y92" s="1">
        <f>SUMIF('2026'!$I$1:$I$150,B92,'2026'!$R$1:RQ$150)</f>
        <v>-99.48</v>
      </c>
      <c r="Z92" s="1">
        <f t="shared" si="1"/>
        <v>0</v>
      </c>
    </row>
    <row r="93" spans="1:26" x14ac:dyDescent="0.2">
      <c r="A93" s="3"/>
      <c r="B93" s="3" t="s">
        <v>51</v>
      </c>
      <c r="C93" s="3"/>
      <c r="D93" s="3"/>
      <c r="E93" s="3"/>
      <c r="F93" s="3"/>
      <c r="G93" s="3"/>
      <c r="H93" s="3"/>
      <c r="I93" s="11">
        <f>SUMIF(Planilha1!$I$1:$I$150,B93,Planilha1!$R$1:RL$150)</f>
        <v>0</v>
      </c>
      <c r="J93" s="11">
        <f>SUMIF(Planilha2!$I$1:$I$150,B93,Planilha2!$R$1:RM$150)</f>
        <v>0</v>
      </c>
      <c r="K93" s="11">
        <f>SUMIF(Planilha3!$I$1:$I$150,B93,Planilha3!$R$1:RN$150)</f>
        <v>-2672.69</v>
      </c>
      <c r="L93" s="11">
        <f>SUMIF(Planilha4!$I$1:$I$150,B93,Planilha4!$R$1:RO$150)</f>
        <v>0</v>
      </c>
      <c r="M93" s="11">
        <f>SUMIF(Planilha5!$I$1:$I$150,B93,Planilha5!$R$1:RP$150)</f>
        <v>0</v>
      </c>
      <c r="N93" s="11">
        <f>SUMIF(Planilha6!$I$1:$I$150,B93,Planilha6!$R$1:RQ$150)</f>
        <v>0</v>
      </c>
      <c r="O93" s="11">
        <f>SUMIF(Planilha7!$I$1:$I$150,B93,Planilha7!$R$1:RR$150)</f>
        <v>-1000</v>
      </c>
      <c r="P93" s="11">
        <f>SUMIF(Planilha8!$I$1:$I$150,B93,Planilha8!$R$1:RS$150)</f>
        <v>-295.35000000000002</v>
      </c>
      <c r="Q93" s="11">
        <f>SUMIF(Planilha9!$I$1:$I$150,B93,Planilha9!$R$1:RT$150)</f>
        <v>-50</v>
      </c>
      <c r="R93" s="11">
        <f>SUMIF(Planilha10!$I$1:$I$150,B93,Planilha10!$R$1:RU$150)</f>
        <v>-15783.51</v>
      </c>
      <c r="S93" s="11">
        <f>SUMIF(Planilha11!$I$1:$I$150,B93,Planilha11!$R$1:RV$150)</f>
        <v>-44341.96</v>
      </c>
      <c r="T93" s="11">
        <f>SUMIF(Planilha12!$I$1:$I$150,B93,Planilha12!$R$1:RW$150)</f>
        <v>-65592.289999999994</v>
      </c>
      <c r="U93" s="11"/>
      <c r="V93" s="11">
        <f>SUMIF(Planilha13!$I$1:$I$150,B93,Planilha13!$R$1:RY$150)</f>
        <v>-11807.37</v>
      </c>
      <c r="W93" s="11">
        <f>SUMIF(Planilha14!$I$1:$I$150,B93,Planilha14!$R$1:RZ$150)</f>
        <v>-8335.1200000000008</v>
      </c>
      <c r="X93" s="11"/>
      <c r="Y93" s="11">
        <f>SUMIF('2026'!$I$1:$I$150,B93,'2026'!$R$1:RQ$150)</f>
        <v>-20142.490000000002</v>
      </c>
      <c r="Z93" s="1">
        <f t="shared" si="1"/>
        <v>0</v>
      </c>
    </row>
    <row r="94" spans="1:26" x14ac:dyDescent="0.2">
      <c r="A94" s="7" t="s">
        <v>130</v>
      </c>
      <c r="B94" s="7"/>
      <c r="C94" s="7"/>
      <c r="D94" s="7"/>
      <c r="E94" s="7"/>
      <c r="F94" s="7"/>
      <c r="G94" s="7"/>
      <c r="H94" s="7"/>
      <c r="I94" s="8">
        <f>SUMIF(Planilha1!$H$1:$H$110,A94,Planilha1!$R$1:$R$150)</f>
        <v>-27114.11</v>
      </c>
      <c r="J94" s="8">
        <f>SUMIF(Planilha2!$H$1:$H$110,A94,Planilha2!$R$1:$R$150)</f>
        <v>-43127.27</v>
      </c>
      <c r="K94" s="8">
        <f>SUMIF(Planilha3!$H$1:$H$110,A94,Planilha3!$R$1:$R$150)</f>
        <v>-34806.81</v>
      </c>
      <c r="L94" s="8">
        <f>SUMIF(Planilha4!$H$1:$H$110,A94,Planilha4!$R$1:$R$150)</f>
        <v>-41710.160000000003</v>
      </c>
      <c r="M94" s="8">
        <f>SUMIF(Planilha5!$H$1:$H$110,A94,Planilha5!$R$1:$R$150)</f>
        <v>-40846.6</v>
      </c>
      <c r="N94" s="8">
        <f>SUMIF(Planilha6!$H$1:$H$110,A94,Planilha6!$R$1:$R$150)</f>
        <v>-49627.8</v>
      </c>
      <c r="O94" s="8">
        <f>SUMIF(Planilha7!$H$1:$H$110,A94,Planilha7!$R$1:$R$150)</f>
        <v>-48720.639999999999</v>
      </c>
      <c r="P94" s="8">
        <f>SUMIF(Planilha8!$H$1:$H$110,A94,Planilha8!$R$1:$R$150)</f>
        <v>-67523.92</v>
      </c>
      <c r="Q94" s="8">
        <f>SUMIF(Planilha9!$H$1:$H$110,A94,Planilha9!$R$1:$R$150)</f>
        <v>-58234.07</v>
      </c>
      <c r="R94" s="8">
        <f>SUMIF(Planilha10!$H$1:$H$110,A94,Planilha10!$R$1:$R$150)</f>
        <v>-59021.51</v>
      </c>
      <c r="S94" s="8">
        <f>SUMIF(Planilha11!$H$1:$H$110,A94,Planilha11!$R$1:$R$150)</f>
        <v>-72626.84</v>
      </c>
      <c r="T94" s="8">
        <f>SUMIF(Planilha12!$H$1:$H$110,A94,Planilha12!$R$1:$R$150)</f>
        <v>-129096.36</v>
      </c>
      <c r="U94" s="18"/>
      <c r="V94" s="8">
        <f>SUMIF(Planilha13!$H$1:$H$110,A94,Planilha13!$R$1:$R$150)</f>
        <v>-148220.23000000001</v>
      </c>
      <c r="W94" s="8">
        <f>SUMIF(Planilha14!$H$1:$H$110,A94,Planilha14!$R$1:$R$150)</f>
        <v>-57668.86</v>
      </c>
      <c r="X94" s="10"/>
      <c r="Y94" s="8">
        <f>SUMIF('2026'!$H$1:$H$110,A94,'2026'!$R$1:$R$150)</f>
        <v>-205889.09</v>
      </c>
      <c r="Z94" s="1">
        <f t="shared" si="1"/>
        <v>0</v>
      </c>
    </row>
    <row r="95" spans="1:26" x14ac:dyDescent="0.2">
      <c r="B95" t="s">
        <v>60</v>
      </c>
      <c r="I95" s="1">
        <f>SUMIF(Planilha1!$I$1:$I$150,B95,Planilha1!$R$1:RL$150)</f>
        <v>-25724.11</v>
      </c>
      <c r="J95" s="1">
        <f>SUMIF(Planilha2!$I$1:$I$150,B95,Planilha2!$R$1:RM$150)</f>
        <v>-41763.769999999997</v>
      </c>
      <c r="K95" s="1">
        <f>SUMIF(Planilha3!$I$1:$I$150,B95,Planilha3!$R$1:RN$150)</f>
        <v>-32928.85</v>
      </c>
      <c r="L95" s="1">
        <f>SUMIF(Planilha4!$I$1:$I$150,B95,Planilha4!$R$1:RO$150)</f>
        <v>-39630.35</v>
      </c>
      <c r="M95" s="1">
        <f>SUMIF(Planilha5!$I$1:$I$150,B95,Planilha5!$R$1:RP$150)</f>
        <v>-38181.25</v>
      </c>
      <c r="N95" s="1">
        <f>SUMIF(Planilha6!$I$1:$I$150,B95,Planilha6!$R$1:RQ$150)</f>
        <v>-49627.8</v>
      </c>
      <c r="O95" s="1">
        <f>SUMIF(Planilha7!$I$1:$I$150,B95,Planilha7!$R$1:RR$150)</f>
        <v>-47548.800000000003</v>
      </c>
      <c r="P95" s="1">
        <f>SUMIF(Planilha8!$I$1:$I$150,B95,Planilha8!$R$1:RS$150)</f>
        <v>-58078.98</v>
      </c>
      <c r="Q95" s="1">
        <f>SUMIF(Planilha9!$I$1:$I$150,B95,Planilha9!$R$1:RT$150)</f>
        <v>-52310.07</v>
      </c>
      <c r="R95" s="1">
        <f>SUMIF(Planilha10!$I$1:$I$150,B95,Planilha10!$R$1:RU$150)</f>
        <v>-55789.51</v>
      </c>
      <c r="S95" s="1">
        <f>SUMIF(Planilha11!$I$1:$I$150,B95,Planilha11!$R$1:RV$150)</f>
        <v>-68841.86</v>
      </c>
      <c r="T95" s="1">
        <f>SUMIF(Planilha12!$I$1:$I$150,B95,Planilha12!$R$1:RW$150)</f>
        <v>-126306.5</v>
      </c>
      <c r="U95" s="1"/>
      <c r="V95" s="1">
        <f>SUMIF(Planilha13!$I$1:$I$150,B95,Planilha13!$R$1:RY$150)</f>
        <v>-98813.29</v>
      </c>
      <c r="W95" s="1">
        <f>SUMIF(Planilha14!$I$1:$I$150,B95,Planilha14!$R$1:RZ$150)</f>
        <v>-56239.25</v>
      </c>
      <c r="X95" s="1"/>
      <c r="Y95" s="1">
        <f>SUMIF('2026'!$I$1:$I$150,B95,'2026'!$R$1:RQ$150)</f>
        <v>-155052.54</v>
      </c>
      <c r="Z95" s="1">
        <f t="shared" si="1"/>
        <v>0</v>
      </c>
    </row>
    <row r="96" spans="1:26" x14ac:dyDescent="0.2">
      <c r="A96" s="3"/>
      <c r="B96" s="3" t="s">
        <v>191</v>
      </c>
      <c r="C96" s="3"/>
      <c r="D96" s="3"/>
      <c r="E96" s="3"/>
      <c r="F96" s="3"/>
      <c r="G96" s="3"/>
      <c r="H96" s="3"/>
      <c r="I96" s="11">
        <f>SUMIF(Planilha1!$I$1:$I$150,B96,Planilha1!$R$1:RL$150)</f>
        <v>-1390</v>
      </c>
      <c r="J96" s="11">
        <f>SUMIF(Planilha2!$I$1:$I$150,B96,Planilha2!$R$1:RM$150)</f>
        <v>-155</v>
      </c>
      <c r="K96" s="11">
        <f>SUMIF(Planilha3!$I$1:$I$150,B96,Planilha3!$R$1:RN$150)</f>
        <v>-664</v>
      </c>
      <c r="L96" s="11">
        <f>SUMIF(Planilha4!$I$1:$I$150,B96,Planilha4!$R$1:RO$150)</f>
        <v>-874.81</v>
      </c>
      <c r="M96" s="11">
        <f>SUMIF(Planilha5!$I$1:$I$150,B96,Planilha5!$R$1:RP$150)</f>
        <v>-2611.4499999999998</v>
      </c>
      <c r="N96" s="11">
        <f>SUMIF(Planilha6!$I$1:$I$150,B96,Planilha6!$R$1:RQ$150)</f>
        <v>0</v>
      </c>
      <c r="O96" s="11">
        <f>SUMIF(Planilha7!$I$1:$I$150,B96,Planilha7!$R$1:RR$150)</f>
        <v>-1064.04</v>
      </c>
      <c r="P96" s="11">
        <f>SUMIF(Planilha8!$I$1:$I$150,B96,Planilha8!$R$1:RS$150)</f>
        <v>-9444.94</v>
      </c>
      <c r="Q96" s="11">
        <f>SUMIF(Planilha9!$I$1:$I$150,B96,Planilha9!$R$1:RT$150)</f>
        <v>-5924</v>
      </c>
      <c r="R96" s="11">
        <f>SUMIF(Planilha10!$I$1:$I$150,B96,Planilha10!$R$1:RU$150)</f>
        <v>-3232</v>
      </c>
      <c r="S96" s="11">
        <f>SUMIF(Planilha11!$I$1:$I$150,B96,Planilha11!$R$1:RV$150)</f>
        <v>-3784.98</v>
      </c>
      <c r="T96" s="11">
        <f>SUMIF(Planilha12!$I$1:$I$150,B96,Planilha12!$R$1:RW$150)</f>
        <v>-2789.86</v>
      </c>
      <c r="U96" s="11"/>
      <c r="V96" s="11">
        <f>SUMIF(Planilha13!$I$1:$I$150,B96,Planilha13!$R$1:RY$150)</f>
        <v>-49406.94</v>
      </c>
      <c r="W96" s="11">
        <f>SUMIF(Planilha14!$I$1:$I$150,B96,Planilha14!$R$1:RZ$150)</f>
        <v>-1429.61</v>
      </c>
      <c r="X96" s="11"/>
      <c r="Y96" s="11">
        <f>SUMIF('2026'!$I$1:$I$150,B96,'2026'!$R$1:RQ$150)</f>
        <v>-50836.55</v>
      </c>
      <c r="Z96" s="1">
        <f t="shared" si="1"/>
        <v>0</v>
      </c>
    </row>
    <row r="97" spans="1:26" x14ac:dyDescent="0.2">
      <c r="B97" t="s">
        <v>186</v>
      </c>
      <c r="I97" s="1">
        <f>SUMIF(Planilha1!$I$1:$I$150,B97,Planilha1!$R$1:RL$150)</f>
        <v>0</v>
      </c>
      <c r="J97" s="1">
        <f>SUMIF(Planilha2!$I$1:$I$150,B97,Planilha2!$R$1:RM$150)</f>
        <v>-1208.5</v>
      </c>
      <c r="K97" s="1">
        <f>SUMIF(Planilha3!$I$1:$I$150,B97,Planilha3!$R$1:RN$150)</f>
        <v>-1213.96</v>
      </c>
      <c r="L97" s="1">
        <f>SUMIF(Planilha4!$I$1:$I$150,B97,Planilha4!$R$1:RO$150)</f>
        <v>-1205</v>
      </c>
      <c r="M97" s="1">
        <f>SUMIF(Planilha5!$I$1:$I$150,B97,Planilha5!$R$1:RP$150)</f>
        <v>-53.9</v>
      </c>
      <c r="N97" s="1">
        <f>SUMIF(Planilha6!$I$1:$I$150,B97,Planilha6!$R$1:RQ$150)</f>
        <v>0</v>
      </c>
      <c r="O97" s="1">
        <f>SUMIF(Planilha7!$I$1:$I$150,B97,Planilha7!$R$1:RR$150)</f>
        <v>-107.8</v>
      </c>
      <c r="P97" s="1">
        <f>SUMIF(Planilha8!$I$1:$I$150,B97,Planilha8!$R$1:RS$150)</f>
        <v>0</v>
      </c>
      <c r="Q97" s="1">
        <f>SUMIF(Planilha9!$I$1:$I$150,B97,Planilha9!$R$1:RT$150)</f>
        <v>0</v>
      </c>
      <c r="R97" s="1">
        <f>SUMIF(Planilha10!$I$1:$I$150,B97,Planilha10!$R$1:RU$150)</f>
        <v>0</v>
      </c>
      <c r="S97" s="1">
        <f>SUMIF(Planilha11!$I$1:$I$150,B97,Planilha11!$R$1:RV$150)</f>
        <v>0</v>
      </c>
      <c r="T97" s="1">
        <f>SUMIF(Planilha12!$I$1:$I$150,B97,Planilha12!$R$1:RW$150)</f>
        <v>0</v>
      </c>
      <c r="U97" s="1"/>
      <c r="V97" s="1">
        <f>SUMIF(Planilha13!$I$1:$I$150,B97,Planilha13!$R$1:RY$150)</f>
        <v>0</v>
      </c>
      <c r="W97" s="1">
        <f>SUMIF(Planilha14!$I$1:$I$150,B97,Planilha14!$R$1:RZ$150)</f>
        <v>0</v>
      </c>
      <c r="X97" s="1"/>
      <c r="Y97" s="1">
        <f>SUMIF('2026'!$I$1:$I$150,B97,'2026'!$R$1:RQ$150)</f>
        <v>0</v>
      </c>
      <c r="Z97" s="1">
        <f t="shared" si="1"/>
        <v>0</v>
      </c>
    </row>
    <row r="98" spans="1:26" x14ac:dyDescent="0.2">
      <c r="A98" s="7" t="s">
        <v>133</v>
      </c>
      <c r="B98" s="7"/>
      <c r="C98" s="7"/>
      <c r="D98" s="7"/>
      <c r="E98" s="7"/>
      <c r="F98" s="7"/>
      <c r="G98" s="7"/>
      <c r="H98" s="7"/>
      <c r="I98" s="8">
        <f>SUMIF(Planilha1!$H$1:$H$110,A98,Planilha1!$R$1:$R$150)</f>
        <v>-96068.02</v>
      </c>
      <c r="J98" s="8">
        <f>SUMIF(Planilha2!$H$1:$H$110,A98,Planilha2!$R$1:$R$150)</f>
        <v>-92790.32</v>
      </c>
      <c r="K98" s="8">
        <f>SUMIF(Planilha3!$H$1:$H$110,A98,Planilha3!$R$1:$R$150)</f>
        <v>-93267.69</v>
      </c>
      <c r="L98" s="8">
        <f>SUMIF(Planilha4!$H$1:$H$110,A98,Planilha4!$R$1:$R$150)</f>
        <v>-117707.2</v>
      </c>
      <c r="M98" s="8">
        <f>SUMIF(Planilha5!$H$1:$H$110,A98,Planilha5!$R$1:$R$150)</f>
        <v>-114758.28</v>
      </c>
      <c r="N98" s="8">
        <f>SUMIF(Planilha6!$H$1:$H$110,A98,Planilha6!$R$1:$R$150)</f>
        <v>-99594.14</v>
      </c>
      <c r="O98" s="8">
        <f>SUMIF(Planilha7!$H$1:$H$110,A98,Planilha7!$R$1:$R$150)</f>
        <v>-114685.31</v>
      </c>
      <c r="P98" s="8">
        <f>SUMIF(Planilha8!$H$1:$H$110,A98,Planilha8!$R$1:$R$150)</f>
        <v>-119785.41</v>
      </c>
      <c r="Q98" s="8">
        <f>SUMIF(Planilha9!$H$1:$H$110,A98,Planilha9!$R$1:$R$150)</f>
        <v>-100692.94</v>
      </c>
      <c r="R98" s="8">
        <f>SUMIF(Planilha10!$H$1:$H$110,A98,Planilha10!$R$1:$R$150)</f>
        <v>-113586.09</v>
      </c>
      <c r="S98" s="8">
        <f>SUMIF(Planilha11!$H$1:$H$110,A98,Planilha11!$R$1:$R$150)</f>
        <v>-115548.11</v>
      </c>
      <c r="T98" s="8">
        <f>SUMIF(Planilha12!$H$1:$H$110,A98,Planilha12!$R$1:$R$150)</f>
        <v>-172565.83</v>
      </c>
      <c r="U98" s="18"/>
      <c r="V98" s="8">
        <f>SUMIF(Planilha13!$H$1:$H$110,A98,Planilha13!$R$1:$R$150)</f>
        <v>-132128.10999999999</v>
      </c>
      <c r="W98" s="8">
        <f>SUMIF(Planilha14!$H$1:$H$110,A98,Planilha14!$R$1:$R$150)</f>
        <v>-119652.68</v>
      </c>
      <c r="X98" s="10"/>
      <c r="Y98" s="8">
        <f>SUMIF('2026'!$H$1:$H$110,A98,'2026'!$R$1:$R$150)</f>
        <v>-251780.79</v>
      </c>
      <c r="Z98" s="1">
        <f t="shared" si="1"/>
        <v>0</v>
      </c>
    </row>
    <row r="99" spans="1:26" x14ac:dyDescent="0.2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f t="shared" si="1"/>
        <v>0</v>
      </c>
    </row>
    <row r="100" spans="1:26" x14ac:dyDescent="0.2">
      <c r="A100" s="7" t="s">
        <v>134</v>
      </c>
      <c r="B100" s="7"/>
      <c r="C100" s="7"/>
      <c r="D100" s="7"/>
      <c r="E100" s="7"/>
      <c r="F100" s="7"/>
      <c r="G100" s="7"/>
      <c r="H100" s="7"/>
      <c r="I100" s="8">
        <f>SUMIF(Planilha1!$H$1:$H$110,A100,Planilha1!$R$1:$R$150)</f>
        <v>-57629.3</v>
      </c>
      <c r="J100" s="8">
        <f>SUMIF(Planilha2!$H$1:$H$110,A100,Planilha2!$R$1:$R$150)</f>
        <v>-58442.18</v>
      </c>
      <c r="K100" s="8">
        <f>SUMIF(Planilha3!$H$1:$H$110,A100,Planilha3!$R$1:$R$150)</f>
        <v>-59805.29</v>
      </c>
      <c r="L100" s="8">
        <f>SUMIF(Planilha4!$H$1:$H$110,A100,Planilha4!$R$1:$R$150)</f>
        <v>-78398.39</v>
      </c>
      <c r="M100" s="8">
        <f>SUMIF(Planilha5!$H$1:$H$110,A100,Planilha5!$R$1:$R$150)</f>
        <v>-77333.490000000005</v>
      </c>
      <c r="N100" s="8">
        <f>SUMIF(Planilha6!$H$1:$H$110,A100,Planilha6!$R$1:$R$150)</f>
        <v>-63887.87</v>
      </c>
      <c r="O100" s="8">
        <f>SUMIF(Planilha7!$H$1:$H$110,A100,Planilha7!$R$1:$R$150)</f>
        <v>-68959.91</v>
      </c>
      <c r="P100" s="8">
        <f>SUMIF(Planilha8!$H$1:$H$110,A100,Planilha8!$R$1:$R$150)</f>
        <v>-68593.98</v>
      </c>
      <c r="Q100" s="8">
        <f>SUMIF(Planilha9!$H$1:$H$110,A100,Planilha9!$R$1:$R$150)</f>
        <v>-58966.48</v>
      </c>
      <c r="R100" s="8">
        <f>SUMIF(Planilha10!$H$1:$H$110,A100,Planilha10!$R$1:$R$150)</f>
        <v>-60162.76</v>
      </c>
      <c r="S100" s="8">
        <f>SUMIF(Planilha11!$H$1:$H$110,A100,Planilha11!$R$1:$R$150)</f>
        <v>-65289.27</v>
      </c>
      <c r="T100" s="8">
        <f>SUMIF(Planilha12!$H$1:$H$110,A100,Planilha12!$R$1:$R$150)</f>
        <v>-124354.32</v>
      </c>
      <c r="U100" s="18"/>
      <c r="V100" s="8">
        <f>SUMIF(Planilha13!$H$1:$H$110,A100,Planilha13!$R$1:$R$150)</f>
        <v>-80976.13</v>
      </c>
      <c r="W100" s="8">
        <f>SUMIF(Planilha14!$H$1:$H$110,A100,Planilha14!$R$1:$R$150)</f>
        <v>-73595.59</v>
      </c>
      <c r="X100" s="10"/>
      <c r="Y100" s="8">
        <f>SUMIF('2026'!$H$1:$H$110,A100,'2026'!$R$1:$R$150)</f>
        <v>-154571.72</v>
      </c>
      <c r="Z100" s="1">
        <f t="shared" si="1"/>
        <v>0</v>
      </c>
    </row>
    <row r="101" spans="1:26" x14ac:dyDescent="0.2">
      <c r="B101" t="s">
        <v>234</v>
      </c>
      <c r="I101" s="1">
        <f>SUMIF(Planilha1!$I$1:$I$150,B101,Planilha1!$R$1:RL$150)</f>
        <v>0</v>
      </c>
      <c r="J101" s="1">
        <f>SUMIF(Planilha2!$I$1:$I$150,B101,Planilha2!$R$1:RM$150)</f>
        <v>0</v>
      </c>
      <c r="K101" s="1">
        <f>SUMIF(Planilha3!$I$1:$I$150,B101,Planilha3!$R$1:RN$150)</f>
        <v>0</v>
      </c>
      <c r="L101" s="1">
        <f>SUMIF(Planilha4!$I$1:$I$150,B101,Planilha4!$R$1:RO$150)</f>
        <v>0</v>
      </c>
      <c r="M101" s="1">
        <f>SUMIF(Planilha5!$I$1:$I$150,B101,Planilha5!$R$1:RP$150)</f>
        <v>-3509.67</v>
      </c>
      <c r="N101" s="1">
        <f>SUMIF(Planilha6!$I$1:$I$150,B101,Planilha6!$R$1:RQ$150)</f>
        <v>-6750</v>
      </c>
      <c r="O101" s="1">
        <f>SUMIF(Planilha7!$I$1:$I$150,B101,Planilha7!$R$1:RR$150)</f>
        <v>-6750</v>
      </c>
      <c r="P101" s="1">
        <f>SUMIF(Planilha8!$I$1:$I$150,B101,Planilha8!$R$1:RS$150)</f>
        <v>-6750</v>
      </c>
      <c r="Q101" s="1">
        <f>SUMIF(Planilha9!$I$1:$I$150,B101,Planilha9!$R$1:RT$150)</f>
        <v>-6750</v>
      </c>
      <c r="R101" s="1">
        <f>SUMIF(Planilha10!$I$1:$I$150,B101,Planilha10!$R$1:RU$150)</f>
        <v>-6750</v>
      </c>
      <c r="S101" s="1">
        <f>SUMIF(Planilha11!$I$1:$I$150,B101,Planilha11!$R$1:RV$150)</f>
        <v>-7000</v>
      </c>
      <c r="T101" s="1">
        <f>SUMIF(Planilha12!$I$1:$I$150,B101,Planilha12!$R$1:RW$150)</f>
        <v>-6750</v>
      </c>
      <c r="U101" s="1"/>
      <c r="V101" s="1">
        <f>SUMIF(Planilha13!$I$1:$I$150,B101,Planilha13!$R$1:RY$150)</f>
        <v>-6750</v>
      </c>
      <c r="W101" s="1">
        <f>SUMIF(Planilha14!$I$1:$I$150,B101,Planilha14!$R$1:RZ$150)</f>
        <v>-6750</v>
      </c>
      <c r="X101" s="1"/>
      <c r="Y101" s="1">
        <f>SUMIF('2026'!$I$1:$I$150,B101,'2026'!$R$1:RQ$150)</f>
        <v>-13500</v>
      </c>
      <c r="Z101" s="1">
        <f t="shared" si="1"/>
        <v>0</v>
      </c>
    </row>
    <row r="102" spans="1:26" x14ac:dyDescent="0.2">
      <c r="A102" s="3"/>
      <c r="B102" s="3" t="s">
        <v>52</v>
      </c>
      <c r="C102" s="3"/>
      <c r="D102" s="3"/>
      <c r="E102" s="3"/>
      <c r="F102" s="3"/>
      <c r="G102" s="3"/>
      <c r="H102" s="3"/>
      <c r="I102" s="11">
        <f>SUMIF(Planilha1!$I$1:$I$150,B102,Planilha1!$R$1:RL$150)</f>
        <v>-17401.46</v>
      </c>
      <c r="J102" s="11">
        <f>SUMIF(Planilha2!$I$1:$I$150,B102,Planilha2!$R$1:RM$150)</f>
        <v>-17401.46</v>
      </c>
      <c r="K102" s="11">
        <f>SUMIF(Planilha3!$I$1:$I$150,B102,Planilha3!$R$1:RN$150)</f>
        <v>-18271.54</v>
      </c>
      <c r="L102" s="11">
        <f>SUMIF(Planilha4!$I$1:$I$150,B102,Planilha4!$R$1:RO$150)</f>
        <v>-19141.62</v>
      </c>
      <c r="M102" s="11">
        <f>SUMIF(Planilha5!$I$1:$I$150,B102,Planilha5!$R$1:RP$150)</f>
        <v>-19141.62</v>
      </c>
      <c r="N102" s="11">
        <f>SUMIF(Planilha6!$I$1:$I$150,B102,Planilha6!$R$1:RQ$150)</f>
        <v>-19141.62</v>
      </c>
      <c r="O102" s="11">
        <f>SUMIF(Planilha7!$I$1:$I$150,B102,Planilha7!$R$1:RR$150)</f>
        <v>-19141.62</v>
      </c>
      <c r="P102" s="11">
        <f>SUMIF(Planilha8!$I$1:$I$150,B102,Planilha8!$R$1:RS$150)</f>
        <v>-19141.62</v>
      </c>
      <c r="Q102" s="11">
        <f>SUMIF(Planilha9!$I$1:$I$150,B102,Planilha9!$R$1:RT$150)</f>
        <v>-19141.62</v>
      </c>
      <c r="R102" s="11">
        <f>SUMIF(Planilha10!$I$1:$I$150,B102,Planilha10!$R$1:RU$150)</f>
        <v>-19141.62</v>
      </c>
      <c r="S102" s="11">
        <f>SUMIF(Planilha11!$I$1:$I$150,B102,Planilha11!$R$1:RV$150)</f>
        <v>-19141.62</v>
      </c>
      <c r="T102" s="11">
        <f>SUMIF(Planilha12!$I$1:$I$150,B102,Planilha12!$R$1:RW$150)</f>
        <v>-19141.62</v>
      </c>
      <c r="U102" s="11"/>
      <c r="V102" s="11">
        <f>SUMIF(Planilha13!$I$1:$I$150,B102,Planilha13!$R$1:RY$150)</f>
        <v>-18435.91</v>
      </c>
      <c r="W102" s="11">
        <f>SUMIF(Planilha14!$I$1:$I$150,B102,Planilha14!$R$1:RZ$150)</f>
        <v>-18460.98</v>
      </c>
      <c r="X102" s="11"/>
      <c r="Y102" s="11">
        <f>SUMIF('2026'!$I$1:$I$150,B102,'2026'!$R$1:RQ$150)</f>
        <v>-36896.89</v>
      </c>
      <c r="Z102" s="1">
        <f t="shared" si="1"/>
        <v>0</v>
      </c>
    </row>
    <row r="103" spans="1:26" x14ac:dyDescent="0.2">
      <c r="B103" t="s">
        <v>235</v>
      </c>
      <c r="I103" s="1">
        <f>SUMIF(Planilha1!$I$1:$I$150,B103,Planilha1!$R$1:RL$150)</f>
        <v>0</v>
      </c>
      <c r="J103" s="1">
        <f>SUMIF(Planilha2!$I$1:$I$150,B103,Planilha2!$R$1:RM$150)</f>
        <v>0</v>
      </c>
      <c r="K103" s="1">
        <f>SUMIF(Planilha3!$I$1:$I$150,B103,Planilha3!$R$1:RN$150)</f>
        <v>0</v>
      </c>
      <c r="L103" s="1">
        <f>SUMIF(Planilha4!$I$1:$I$150,B103,Planilha4!$R$1:RO$150)</f>
        <v>0</v>
      </c>
      <c r="M103" s="1">
        <f>SUMIF(Planilha5!$I$1:$I$150,B103,Planilha5!$R$1:RP$150)</f>
        <v>0</v>
      </c>
      <c r="N103" s="1">
        <f>SUMIF(Planilha6!$I$1:$I$150,B103,Planilha6!$R$1:RQ$150)</f>
        <v>0</v>
      </c>
      <c r="O103" s="1">
        <f>SUMIF(Planilha7!$I$1:$I$150,B103,Planilha7!$R$1:RR$150)</f>
        <v>0</v>
      </c>
      <c r="P103" s="1">
        <f>SUMIF(Planilha8!$I$1:$I$150,B103,Planilha8!$R$1:RS$150)</f>
        <v>0</v>
      </c>
      <c r="Q103" s="1">
        <f>SUMIF(Planilha9!$I$1:$I$150,B103,Planilha9!$R$1:RT$150)</f>
        <v>0</v>
      </c>
      <c r="R103" s="1">
        <f>SUMIF(Planilha10!$I$1:$I$150,B103,Planilha10!$R$1:RU$150)</f>
        <v>0</v>
      </c>
      <c r="S103" s="1">
        <f>SUMIF(Planilha11!$I$1:$I$150,B103,Planilha11!$R$1:RV$150)</f>
        <v>0</v>
      </c>
      <c r="T103" s="1">
        <f>SUMIF(Planilha12!$I$1:$I$150,B103,Planilha12!$R$1:RW$150)</f>
        <v>-4743</v>
      </c>
      <c r="U103" s="1"/>
      <c r="V103" s="1">
        <f>SUMIF(Planilha13!$I$1:$I$150,B103,Planilha13!$R$1:RY$150)</f>
        <v>-8852.5499999999993</v>
      </c>
      <c r="W103" s="1">
        <f>SUMIF(Planilha14!$I$1:$I$150,B103,Planilha14!$R$1:RZ$150)</f>
        <v>-1672.74</v>
      </c>
      <c r="X103" s="1"/>
      <c r="Y103" s="1">
        <f>SUMIF('2026'!$I$1:$I$150,B103,'2026'!$R$1:RQ$150)</f>
        <v>-10525.29</v>
      </c>
      <c r="Z103" s="1">
        <f t="shared" si="1"/>
        <v>0</v>
      </c>
    </row>
    <row r="104" spans="1:26" x14ac:dyDescent="0.2">
      <c r="A104" s="3"/>
      <c r="B104" s="3" t="s">
        <v>55</v>
      </c>
      <c r="C104" s="3"/>
      <c r="D104" s="3"/>
      <c r="E104" s="3"/>
      <c r="F104" s="3"/>
      <c r="G104" s="3"/>
      <c r="H104" s="3"/>
      <c r="I104" s="11">
        <f>SUMIF(Planilha1!$I$1:$I$150,B104,Planilha1!$R$1:RL$150)</f>
        <v>0</v>
      </c>
      <c r="J104" s="11">
        <f>SUMIF(Planilha2!$I$1:$I$150,B104,Planilha2!$R$1:RM$150)</f>
        <v>-6300</v>
      </c>
      <c r="K104" s="11">
        <f>SUMIF(Planilha3!$I$1:$I$150,B104,Planilha3!$R$1:RN$150)</f>
        <v>-6695.87</v>
      </c>
      <c r="L104" s="11">
        <f>SUMIF(Planilha4!$I$1:$I$150,B104,Planilha4!$R$1:RO$150)</f>
        <v>-7500</v>
      </c>
      <c r="M104" s="11">
        <f>SUMIF(Planilha5!$I$1:$I$150,B104,Planilha5!$R$1:RP$150)</f>
        <v>-9450</v>
      </c>
      <c r="N104" s="11">
        <f>SUMIF(Planilha6!$I$1:$I$150,B104,Planilha6!$R$1:RQ$150)</f>
        <v>-9900</v>
      </c>
      <c r="O104" s="11">
        <f>SUMIF(Planilha7!$I$1:$I$150,B104,Planilha7!$R$1:RR$150)</f>
        <v>-9300</v>
      </c>
      <c r="P104" s="11">
        <f>SUMIF(Planilha8!$I$1:$I$150,B104,Planilha8!$R$1:RS$150)</f>
        <v>-9750</v>
      </c>
      <c r="Q104" s="11">
        <f>SUMIF(Planilha9!$I$1:$I$150,B104,Planilha9!$R$1:RT$150)</f>
        <v>-11850</v>
      </c>
      <c r="R104" s="11">
        <f>SUMIF(Planilha10!$I$1:$I$150,B104,Planilha10!$R$1:RU$150)</f>
        <v>-9022.7999999999993</v>
      </c>
      <c r="S104" s="11">
        <f>SUMIF(Planilha11!$I$1:$I$150,B104,Planilha11!$R$1:RV$150)</f>
        <v>-9945</v>
      </c>
      <c r="T104" s="11">
        <f>SUMIF(Planilha12!$I$1:$I$150,B104,Planilha12!$R$1:RW$150)</f>
        <v>-9930</v>
      </c>
      <c r="U104" s="11"/>
      <c r="V104" s="11">
        <f>SUMIF(Planilha13!$I$1:$I$150,B104,Planilha13!$R$1:RY$150)</f>
        <v>-9822.5</v>
      </c>
      <c r="W104" s="11">
        <f>SUMIF(Planilha14!$I$1:$I$150,B104,Planilha14!$R$1:RZ$150)</f>
        <v>-7200</v>
      </c>
      <c r="X104" s="11"/>
      <c r="Y104" s="11">
        <f>SUMIF('2026'!$I$1:$I$150,B104,'2026'!$R$1:RQ$150)</f>
        <v>-17022.5</v>
      </c>
      <c r="Z104" s="1">
        <f t="shared" si="1"/>
        <v>0</v>
      </c>
    </row>
    <row r="105" spans="1:26" x14ac:dyDescent="0.2">
      <c r="B105" t="s">
        <v>56</v>
      </c>
      <c r="I105" s="1">
        <f>SUMIF(Planilha1!$I$1:$I$150,B105,Planilha1!$R$1:RL$150)</f>
        <v>-9224.77</v>
      </c>
      <c r="J105" s="1">
        <f>SUMIF(Planilha2!$I$1:$I$150,B105,Planilha2!$R$1:RM$150)</f>
        <v>-7262.12</v>
      </c>
      <c r="K105" s="1">
        <f>SUMIF(Planilha3!$I$1:$I$150,B105,Planilha3!$R$1:RN$150)</f>
        <v>-11244.29</v>
      </c>
      <c r="L105" s="1">
        <f>SUMIF(Planilha4!$I$1:$I$150,B105,Planilha4!$R$1:RO$150)</f>
        <v>-9224.77</v>
      </c>
      <c r="M105" s="1">
        <f>SUMIF(Planilha5!$I$1:$I$150,B105,Planilha5!$R$1:RP$150)</f>
        <v>-9278.67</v>
      </c>
      <c r="N105" s="1">
        <f>SUMIF(Planilha6!$I$1:$I$150,B105,Planilha6!$R$1:RQ$150)</f>
        <v>-9224.77</v>
      </c>
      <c r="O105" s="1">
        <f>SUMIF(Planilha7!$I$1:$I$150,B105,Planilha7!$R$1:RR$150)</f>
        <v>-9224.77</v>
      </c>
      <c r="P105" s="1">
        <f>SUMIF(Planilha8!$I$1:$I$150,B105,Planilha8!$R$1:RS$150)</f>
        <v>-9462.6299999999992</v>
      </c>
      <c r="Q105" s="1">
        <f>SUMIF(Planilha9!$I$1:$I$150,B105,Planilha9!$R$1:RT$150)</f>
        <v>-9343.7000000000007</v>
      </c>
      <c r="R105" s="1">
        <f>SUMIF(Planilha10!$I$1:$I$150,B105,Planilha10!$R$1:RU$150)</f>
        <v>-9343.7000000000007</v>
      </c>
      <c r="S105" s="1">
        <f>SUMIF(Planilha11!$I$1:$I$150,B105,Planilha11!$R$1:RV$150)</f>
        <v>-8594.85</v>
      </c>
      <c r="T105" s="1">
        <f>SUMIF(Planilha12!$I$1:$I$150,B105,Planilha12!$R$1:RW$150)</f>
        <v>-13521.59</v>
      </c>
      <c r="U105" s="1"/>
      <c r="V105" s="1">
        <f>SUMIF(Planilha13!$I$1:$I$150,B105,Planilha13!$R$1:RY$150)</f>
        <v>-12217.82</v>
      </c>
      <c r="W105" s="1">
        <f>SUMIF(Planilha14!$I$1:$I$150,B105,Planilha14!$R$1:RZ$150)</f>
        <v>-12217.82</v>
      </c>
      <c r="X105" s="1"/>
      <c r="Y105" s="1">
        <f>SUMIF('2026'!$I$1:$I$150,B105,'2026'!$R$1:RQ$150)</f>
        <v>-24435.64</v>
      </c>
      <c r="Z105" s="1">
        <f t="shared" si="1"/>
        <v>0</v>
      </c>
    </row>
    <row r="106" spans="1:26" x14ac:dyDescent="0.2">
      <c r="A106" s="3"/>
      <c r="B106" s="3" t="s">
        <v>138</v>
      </c>
      <c r="C106" s="3"/>
      <c r="D106" s="3"/>
      <c r="E106" s="3"/>
      <c r="F106" s="3"/>
      <c r="G106" s="3"/>
      <c r="H106" s="3"/>
      <c r="I106" s="11">
        <f>SUMIF(Planilha1!$I$1:$I$150,B106,Planilha1!$R$1:RL$150)</f>
        <v>-3750.54</v>
      </c>
      <c r="J106" s="11">
        <f>SUMIF(Planilha2!$I$1:$I$150,B106,Planilha2!$R$1:RM$150)</f>
        <v>-6043.8</v>
      </c>
      <c r="K106" s="11">
        <f>SUMIF(Planilha3!$I$1:$I$150,B106,Planilha3!$R$1:RN$150)</f>
        <v>-4834</v>
      </c>
      <c r="L106" s="11">
        <f>SUMIF(Planilha4!$I$1:$I$150,B106,Planilha4!$R$1:RO$150)</f>
        <v>-6248.03</v>
      </c>
      <c r="M106" s="11">
        <f>SUMIF(Planilha5!$I$1:$I$150,B106,Planilha5!$R$1:RP$150)</f>
        <v>-1102.18</v>
      </c>
      <c r="N106" s="11">
        <f>SUMIF(Planilha6!$I$1:$I$150,B106,Planilha6!$R$1:RQ$150)</f>
        <v>-3822.34</v>
      </c>
      <c r="O106" s="11">
        <f>SUMIF(Planilha7!$I$1:$I$150,B106,Planilha7!$R$1:RR$150)</f>
        <v>-6069</v>
      </c>
      <c r="P106" s="11">
        <f>SUMIF(Planilha8!$I$1:$I$150,B106,Planilha8!$R$1:RS$150)</f>
        <v>-7000.92</v>
      </c>
      <c r="Q106" s="11">
        <f>SUMIF(Planilha9!$I$1:$I$150,B106,Planilha9!$R$1:RT$150)</f>
        <v>-5035.28</v>
      </c>
      <c r="R106" s="11">
        <f>SUMIF(Planilha10!$I$1:$I$150,B106,Planilha10!$R$1:RU$150)</f>
        <v>-3901.17</v>
      </c>
      <c r="S106" s="11">
        <f>SUMIF(Planilha11!$I$1:$I$150,B106,Planilha11!$R$1:RV$150)</f>
        <v>-4284.5</v>
      </c>
      <c r="T106" s="11">
        <f>SUMIF(Planilha12!$I$1:$I$150,B106,Planilha12!$R$1:RW$150)</f>
        <v>-4284.5</v>
      </c>
      <c r="U106" s="11"/>
      <c r="V106" s="11">
        <f>SUMIF(Planilha13!$I$1:$I$150,B106,Planilha13!$R$1:RY$150)</f>
        <v>-5308.53</v>
      </c>
      <c r="W106" s="11">
        <f>SUMIF(Planilha14!$I$1:$I$150,B106,Planilha14!$R$1:RZ$150)</f>
        <v>-6969</v>
      </c>
      <c r="X106" s="11"/>
      <c r="Y106" s="11">
        <f>SUMIF('2026'!$I$1:$I$150,B106,'2026'!$R$1:RQ$150)</f>
        <v>-12277.53</v>
      </c>
      <c r="Z106" s="1">
        <f t="shared" si="1"/>
        <v>0</v>
      </c>
    </row>
    <row r="107" spans="1:26" x14ac:dyDescent="0.2">
      <c r="B107" t="s">
        <v>140</v>
      </c>
      <c r="I107" s="1">
        <f>SUMIF(Planilha1!$I$1:$I$150,B107,Planilha1!$R$1:RL$150)</f>
        <v>-8968.18</v>
      </c>
      <c r="J107" s="1">
        <f>SUMIF(Planilha2!$I$1:$I$150,B107,Planilha2!$R$1:RM$150)</f>
        <v>-1890</v>
      </c>
      <c r="K107" s="1">
        <f>SUMIF(Planilha3!$I$1:$I$150,B107,Planilha3!$R$1:RN$150)</f>
        <v>-1855.25</v>
      </c>
      <c r="L107" s="1">
        <f>SUMIF(Planilha4!$I$1:$I$150,B107,Planilha4!$R$1:RO$150)</f>
        <v>-3727.12</v>
      </c>
      <c r="M107" s="1">
        <f>SUMIF(Planilha5!$I$1:$I$150,B107,Planilha5!$R$1:RP$150)</f>
        <v>-291.83999999999997</v>
      </c>
      <c r="N107" s="1">
        <f>SUMIF(Planilha6!$I$1:$I$150,B107,Planilha6!$R$1:RQ$150)</f>
        <v>-1984.5</v>
      </c>
      <c r="O107" s="1">
        <f>SUMIF(Planilha7!$I$1:$I$150,B107,Planilha7!$R$1:RR$150)</f>
        <v>-1984.5</v>
      </c>
      <c r="P107" s="1">
        <f>SUMIF(Planilha8!$I$1:$I$150,B107,Planilha8!$R$1:RS$150)</f>
        <v>-4629.09</v>
      </c>
      <c r="Q107" s="1">
        <f>SUMIF(Planilha9!$I$1:$I$150,B107,Planilha9!$R$1:RT$150)</f>
        <v>2440.71</v>
      </c>
      <c r="R107" s="1">
        <f>SUMIF(Planilha10!$I$1:$I$150,B107,Planilha10!$R$1:RU$150)</f>
        <v>-1984.5</v>
      </c>
      <c r="S107" s="1">
        <f>SUMIF(Planilha11!$I$1:$I$150,B107,Planilha11!$R$1:RV$150)</f>
        <v>-2487.8000000000002</v>
      </c>
      <c r="T107" s="1">
        <f>SUMIF(Planilha12!$I$1:$I$150,B107,Planilha12!$R$1:RW$150)</f>
        <v>-3358.87</v>
      </c>
      <c r="U107" s="1"/>
      <c r="V107" s="1">
        <f>SUMIF(Planilha13!$I$1:$I$150,B107,Planilha13!$R$1:RY$150)</f>
        <v>-2056.17</v>
      </c>
      <c r="W107" s="1">
        <f>SUMIF(Planilha14!$I$1:$I$150,B107,Planilha14!$R$1:RZ$150)</f>
        <v>-3704.4</v>
      </c>
      <c r="X107" s="1"/>
      <c r="Y107" s="1">
        <f>SUMIF('2026'!$I$1:$I$150,B107,'2026'!$R$1:RQ$150)</f>
        <v>-5760.57</v>
      </c>
      <c r="Z107" s="1">
        <f t="shared" si="1"/>
        <v>0</v>
      </c>
    </row>
    <row r="108" spans="1:26" x14ac:dyDescent="0.2">
      <c r="A108" s="3"/>
      <c r="B108" s="3" t="s">
        <v>142</v>
      </c>
      <c r="C108" s="3"/>
      <c r="D108" s="3"/>
      <c r="E108" s="3"/>
      <c r="F108" s="3"/>
      <c r="G108" s="3"/>
      <c r="H108" s="3"/>
      <c r="I108" s="11">
        <f>SUMIF(Planilha1!$I$1:$I$150,B108,Planilha1!$R$1:RL$150)</f>
        <v>-3038.9</v>
      </c>
      <c r="J108" s="11">
        <f>SUMIF(Planilha2!$I$1:$I$150,B108,Planilha2!$R$1:RM$150)</f>
        <v>-3675</v>
      </c>
      <c r="K108" s="11">
        <f>SUMIF(Planilha3!$I$1:$I$150,B108,Planilha3!$R$1:RN$150)</f>
        <v>-3675</v>
      </c>
      <c r="L108" s="11">
        <f>SUMIF(Planilha4!$I$1:$I$150,B108,Planilha4!$R$1:RO$150)</f>
        <v>-3675</v>
      </c>
      <c r="M108" s="11">
        <f>SUMIF(Planilha5!$I$1:$I$150,B108,Planilha5!$R$1:RP$150)</f>
        <v>-2981.04</v>
      </c>
      <c r="N108" s="11">
        <f>SUMIF(Planilha6!$I$1:$I$150,B108,Planilha6!$R$1:RQ$150)</f>
        <v>0</v>
      </c>
      <c r="O108" s="11">
        <f>SUMIF(Planilha7!$I$1:$I$150,B108,Planilha7!$R$1:RR$150)</f>
        <v>0</v>
      </c>
      <c r="P108" s="11">
        <f>SUMIF(Planilha8!$I$1:$I$150,B108,Planilha8!$R$1:RS$150)</f>
        <v>0</v>
      </c>
      <c r="Q108" s="11">
        <f>SUMIF(Planilha9!$I$1:$I$150,B108,Planilha9!$R$1:RT$150)</f>
        <v>0</v>
      </c>
      <c r="R108" s="11">
        <f>SUMIF(Planilha10!$I$1:$I$150,B108,Planilha10!$R$1:RU$150)</f>
        <v>0</v>
      </c>
      <c r="S108" s="11">
        <f>SUMIF(Planilha11!$I$1:$I$150,B108,Planilha11!$R$1:RV$150)</f>
        <v>0</v>
      </c>
      <c r="T108" s="11">
        <f>SUMIF(Planilha12!$I$1:$I$150,B108,Planilha12!$R$1:RW$150)</f>
        <v>0</v>
      </c>
      <c r="U108" s="11"/>
      <c r="V108" s="11">
        <f>SUMIF(Planilha13!$I$1:$I$150,B108,Planilha13!$R$1:RY$150)</f>
        <v>0</v>
      </c>
      <c r="W108" s="11">
        <f>SUMIF(Planilha14!$I$1:$I$150,B108,Planilha14!$R$1:RZ$150)</f>
        <v>0</v>
      </c>
      <c r="X108" s="11"/>
      <c r="Y108" s="11">
        <f>SUMIF('2026'!$I$1:$I$150,B108,'2026'!$R$1:RQ$150)</f>
        <v>0</v>
      </c>
      <c r="Z108" s="1">
        <f t="shared" si="1"/>
        <v>0</v>
      </c>
    </row>
    <row r="109" spans="1:26" x14ac:dyDescent="0.2">
      <c r="B109" t="s">
        <v>45</v>
      </c>
      <c r="D109" s="12"/>
      <c r="I109" s="1">
        <f>SUMIF(Planilha1!$I$1:$I$150,B109,Planilha1!$R$1:RL$150)</f>
        <v>-100</v>
      </c>
      <c r="J109" s="1">
        <f>SUMIF(Planilha2!$I$1:$I$150,B109,Planilha2!$R$1:RM$150)</f>
        <v>-117.34</v>
      </c>
      <c r="K109" s="1">
        <f>SUMIF(Planilha3!$I$1:$I$150,B109,Planilha3!$R$1:RN$150)</f>
        <v>-117.34</v>
      </c>
      <c r="L109" s="1">
        <f>SUMIF(Planilha4!$I$1:$I$150,B109,Planilha4!$R$1:RO$150)</f>
        <v>-104.77</v>
      </c>
      <c r="M109" s="1">
        <f>SUMIF(Planilha5!$I$1:$I$150,B109,Planilha5!$R$1:RP$150)</f>
        <v>-104.77</v>
      </c>
      <c r="N109" s="1">
        <f>SUMIF(Planilha6!$I$1:$I$150,B109,Planilha6!$R$1:RQ$150)</f>
        <v>-104.77</v>
      </c>
      <c r="O109" s="1">
        <f>SUMIF(Planilha7!$I$1:$I$150,B109,Planilha7!$R$1:RR$150)</f>
        <v>-104.77</v>
      </c>
      <c r="P109" s="1">
        <f>SUMIF(Planilha8!$I$1:$I$150,B109,Planilha8!$R$1:RS$150)</f>
        <v>-104.77</v>
      </c>
      <c r="Q109" s="1">
        <f>SUMIF(Planilha9!$I$1:$I$150,B109,Planilha9!$R$1:RT$150)</f>
        <v>-104.77</v>
      </c>
      <c r="R109" s="1">
        <f>SUMIF(Planilha10!$I$1:$I$150,B109,Planilha10!$R$1:RU$150)</f>
        <v>-104.77</v>
      </c>
      <c r="S109" s="1">
        <f>SUMIF(Planilha11!$I$1:$I$150,B109,Planilha11!$R$1:RV$150)</f>
        <v>-104.77</v>
      </c>
      <c r="T109" s="1">
        <f>SUMIF(Planilha12!$I$1:$I$150,B109,Planilha12!$R$1:RW$150)</f>
        <v>-104.77</v>
      </c>
      <c r="U109" s="1"/>
      <c r="V109" s="1">
        <f>SUMIF(Planilha13!$I$1:$I$150,B109,Planilha13!$R$1:RY$150)</f>
        <v>-104.77</v>
      </c>
      <c r="W109" s="1">
        <f>SUMIF(Planilha14!$I$1:$I$150,B109,Planilha14!$R$1:RZ$150)</f>
        <v>-104.77</v>
      </c>
      <c r="Y109" s="1">
        <f>SUMIF('2026'!$I$1:$I$150,B109,'2026'!$R$1:RQ$150)</f>
        <v>-209.54</v>
      </c>
      <c r="Z109" s="1">
        <f t="shared" si="1"/>
        <v>0</v>
      </c>
    </row>
    <row r="110" spans="1:26" x14ac:dyDescent="0.2">
      <c r="A110" s="3"/>
      <c r="B110" s="3" t="s">
        <v>215</v>
      </c>
      <c r="C110" s="3"/>
      <c r="D110" s="14"/>
      <c r="E110" s="3"/>
      <c r="F110" s="3"/>
      <c r="G110" s="3"/>
      <c r="H110" s="3"/>
      <c r="I110" s="11">
        <f>SUMIF(Planilha1!$I$1:$I$150,B110,Planilha1!$R$1:RL$150)</f>
        <v>0</v>
      </c>
      <c r="J110" s="11">
        <f>SUMIF(Planilha2!$I$1:$I$150,B110,Planilha2!$R$1:RM$150)</f>
        <v>0</v>
      </c>
      <c r="K110" s="11">
        <f>SUMIF(Planilha3!$I$1:$I$150,B110,Planilha3!$R$1:RN$150)</f>
        <v>0</v>
      </c>
      <c r="L110" s="11">
        <f>SUMIF(Planilha4!$I$1:$I$150,B110,Planilha4!$R$1:RO$150)</f>
        <v>-9075.0300000000007</v>
      </c>
      <c r="M110" s="11">
        <f>SUMIF(Planilha5!$I$1:$I$150,B110,Planilha5!$R$1:RP$150)</f>
        <v>-1356.59</v>
      </c>
      <c r="N110" s="11">
        <f>SUMIF(Planilha6!$I$1:$I$150,B110,Planilha6!$R$1:RQ$150)</f>
        <v>-674.34</v>
      </c>
      <c r="O110" s="11">
        <f>SUMIF(Planilha7!$I$1:$I$150,B110,Planilha7!$R$1:RR$150)</f>
        <v>-894.84</v>
      </c>
      <c r="P110" s="11">
        <f>SUMIF(Planilha8!$I$1:$I$150,B110,Planilha8!$R$1:RS$150)</f>
        <v>-194.83</v>
      </c>
      <c r="Q110" s="11">
        <f>SUMIF(Planilha9!$I$1:$I$150,B110,Planilha9!$R$1:RT$150)</f>
        <v>477.21</v>
      </c>
      <c r="R110" s="11">
        <f>SUMIF(Planilha10!$I$1:$I$150,B110,Planilha10!$R$1:RU$150)</f>
        <v>-696.56</v>
      </c>
      <c r="S110" s="11">
        <f>SUMIF(Planilha11!$I$1:$I$150,B110,Planilha11!$R$1:RV$150)</f>
        <v>-696.55</v>
      </c>
      <c r="T110" s="11">
        <f>SUMIF(Planilha12!$I$1:$I$150,B110,Planilha12!$R$1:RW$150)</f>
        <v>-764.09</v>
      </c>
      <c r="U110" s="11"/>
      <c r="V110" s="11">
        <f>SUMIF(Planilha13!$I$1:$I$150,B110,Planilha13!$R$1:RY$150)</f>
        <v>-1024.6600000000001</v>
      </c>
      <c r="W110" s="11">
        <f>SUMIF(Planilha14!$I$1:$I$150,B110,Planilha14!$R$1:RZ$150)</f>
        <v>-1215.52</v>
      </c>
      <c r="X110" s="3"/>
      <c r="Y110" s="11">
        <f>SUMIF('2026'!$I$1:$I$150,B110,'2026'!$R$1:RQ$150)</f>
        <v>-2240.1799999999998</v>
      </c>
      <c r="Z110" s="1">
        <f t="shared" si="1"/>
        <v>0</v>
      </c>
    </row>
    <row r="111" spans="1:26" x14ac:dyDescent="0.2">
      <c r="B111" t="s">
        <v>217</v>
      </c>
      <c r="D111" s="12"/>
      <c r="I111" s="1">
        <f>SUMIF(Planilha1!$I$1:$I$150,B111,Planilha1!$R$1:RL$150)</f>
        <v>0</v>
      </c>
      <c r="J111" s="1">
        <f>SUMIF(Planilha2!$I$1:$I$150,B111,Planilha2!$R$1:RM$150)</f>
        <v>0</v>
      </c>
      <c r="K111" s="1">
        <f>SUMIF(Planilha3!$I$1:$I$150,B111,Planilha3!$R$1:RN$150)</f>
        <v>0</v>
      </c>
      <c r="L111" s="1">
        <f>SUMIF(Planilha4!$I$1:$I$150,B111,Planilha4!$R$1:RO$150)</f>
        <v>-2495.9299999999998</v>
      </c>
      <c r="M111" s="1">
        <f>SUMIF(Planilha5!$I$1:$I$150,B111,Planilha5!$R$1:RP$150)</f>
        <v>-394.31</v>
      </c>
      <c r="N111" s="1">
        <f>SUMIF(Planilha6!$I$1:$I$150,B111,Planilha6!$R$1:RQ$150)</f>
        <v>-505.74</v>
      </c>
      <c r="O111" s="1">
        <f>SUMIF(Planilha7!$I$1:$I$150,B111,Planilha7!$R$1:RR$150)</f>
        <v>-671.13</v>
      </c>
      <c r="P111" s="1">
        <f>SUMIF(Planilha8!$I$1:$I$150,B111,Planilha8!$R$1:RS$150)</f>
        <v>-671.12</v>
      </c>
      <c r="Q111" s="1">
        <f>SUMIF(Planilha9!$I$1:$I$150,B111,Planilha9!$R$1:RT$150)</f>
        <v>18.190000000000001</v>
      </c>
      <c r="R111" s="1">
        <f>SUMIF(Planilha10!$I$1:$I$150,B111,Planilha10!$R$1:RU$150)</f>
        <v>984.69</v>
      </c>
      <c r="S111" s="1">
        <f>SUMIF(Planilha11!$I$1:$I$150,B111,Planilha11!$R$1:RV$150)</f>
        <v>-522.91999999999996</v>
      </c>
      <c r="T111" s="1">
        <f>SUMIF(Planilha12!$I$1:$I$150,B111,Planilha12!$R$1:RW$150)</f>
        <v>-573.04999999999995</v>
      </c>
      <c r="U111" s="1"/>
      <c r="V111" s="1">
        <f>SUMIF(Planilha13!$I$1:$I$150,B111,Planilha13!$R$1:RY$150)</f>
        <v>-594.61</v>
      </c>
      <c r="W111" s="1">
        <f>SUMIF(Planilha14!$I$1:$I$150,B111,Planilha14!$R$1:RZ$150)</f>
        <v>-135.84</v>
      </c>
      <c r="Y111" s="1">
        <f>SUMIF('2026'!$I$1:$I$150,B111,'2026'!$R$1:RQ$150)</f>
        <v>-730.45</v>
      </c>
      <c r="Z111" s="1">
        <f t="shared" si="1"/>
        <v>0</v>
      </c>
    </row>
    <row r="112" spans="1:26" x14ac:dyDescent="0.2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2" t="s">
        <v>0</v>
      </c>
      <c r="D114" s="12" t="s">
        <v>1</v>
      </c>
      <c r="X114" t="s">
        <v>2</v>
      </c>
      <c r="Y114" s="13">
        <f>1+Y57</f>
        <v>3</v>
      </c>
      <c r="Z114" s="1"/>
    </row>
    <row r="115" spans="1:26" x14ac:dyDescent="0.2">
      <c r="A115" t="s">
        <v>3</v>
      </c>
      <c r="D115" s="12" t="s">
        <v>4</v>
      </c>
      <c r="Z115" s="1"/>
    </row>
    <row r="116" spans="1:26" x14ac:dyDescent="0.2">
      <c r="Z116" s="1"/>
    </row>
    <row r="117" spans="1:26" x14ac:dyDescent="0.2">
      <c r="A117" s="12" t="s">
        <v>64</v>
      </c>
      <c r="Z117" s="1"/>
    </row>
    <row r="118" spans="1:26" x14ac:dyDescent="0.2">
      <c r="Z118" s="1"/>
    </row>
    <row r="119" spans="1:26" x14ac:dyDescent="0.2">
      <c r="A119" t="s">
        <v>5</v>
      </c>
      <c r="I119" s="15">
        <v>45658</v>
      </c>
      <c r="J119" s="15">
        <v>45689</v>
      </c>
      <c r="K119" s="15">
        <v>45717</v>
      </c>
      <c r="L119" s="15">
        <v>45748</v>
      </c>
      <c r="M119" s="15">
        <v>45778</v>
      </c>
      <c r="N119" s="15">
        <v>45809</v>
      </c>
      <c r="O119" s="15">
        <v>45839</v>
      </c>
      <c r="P119" s="15">
        <v>45870</v>
      </c>
      <c r="Q119" s="15">
        <v>45901</v>
      </c>
      <c r="R119" s="15">
        <v>45931</v>
      </c>
      <c r="S119" s="15">
        <v>45962</v>
      </c>
      <c r="T119" s="15">
        <v>45992</v>
      </c>
      <c r="U119" s="17"/>
      <c r="V119" s="15">
        <v>46023</v>
      </c>
      <c r="W119" s="15">
        <v>46054</v>
      </c>
      <c r="Y119" s="16">
        <v>2026</v>
      </c>
      <c r="Z119" s="1"/>
    </row>
    <row r="120" spans="1:26" x14ac:dyDescent="0.2">
      <c r="A120" s="3"/>
      <c r="B120" s="3" t="s">
        <v>145</v>
      </c>
      <c r="C120" s="3"/>
      <c r="D120" s="14"/>
      <c r="E120" s="3"/>
      <c r="F120" s="3"/>
      <c r="G120" s="3"/>
      <c r="H120" s="3"/>
      <c r="I120" s="11">
        <f>SUMIF(Planilha1!$I$1:$I$150,B120,Planilha1!$R$1:RL$150)</f>
        <v>-2151.87</v>
      </c>
      <c r="J120" s="11">
        <f>SUMIF(Planilha2!$I$1:$I$150,B120,Planilha2!$R$1:RM$150)</f>
        <v>-3010.96</v>
      </c>
      <c r="K120" s="11">
        <f>SUMIF(Planilha3!$I$1:$I$150,B120,Planilha3!$R$1:RN$150)</f>
        <v>-2783.01</v>
      </c>
      <c r="L120" s="11">
        <f>SUMIF(Planilha4!$I$1:$I$150,B120,Planilha4!$R$1:RO$150)</f>
        <v>-1915.68</v>
      </c>
      <c r="M120" s="11">
        <f>SUMIF(Planilha5!$I$1:$I$150,B120,Planilha5!$R$1:RP$150)</f>
        <v>-2563.71</v>
      </c>
      <c r="N120" s="11">
        <f>SUMIF(Planilha6!$I$1:$I$150,B120,Planilha6!$R$1:RQ$150)</f>
        <v>-1674.48</v>
      </c>
      <c r="O120" s="11">
        <f>SUMIF(Planilha7!$I$1:$I$150,B120,Planilha7!$R$1:RR$150)</f>
        <v>-2158.31</v>
      </c>
      <c r="P120" s="11">
        <f>SUMIF(Planilha8!$I$1:$I$150,B120,Planilha8!$R$1:RS$150)</f>
        <v>-2032.6</v>
      </c>
      <c r="Q120" s="11">
        <f>SUMIF(Planilha9!$I$1:$I$150,B120,Planilha9!$R$1:RT$150)</f>
        <v>-1920.95</v>
      </c>
      <c r="R120" s="11">
        <f>SUMIF(Planilha10!$I$1:$I$150,B120,Planilha10!$R$1:RU$150)</f>
        <v>-1711.67</v>
      </c>
      <c r="S120" s="11">
        <f>SUMIF(Planilha11!$I$1:$I$150,B120,Planilha11!$R$1:RV$150)</f>
        <v>-2445.34</v>
      </c>
      <c r="T120" s="11">
        <f>SUMIF(Planilha12!$I$1:$I$150,B120,Planilha12!$R$1:RW$150)</f>
        <v>-1863.38</v>
      </c>
      <c r="U120" s="11"/>
      <c r="V120" s="11">
        <f>SUMIF(Planilha13!$I$1:$I$150,B120,Planilha13!$R$1:RY$150)</f>
        <v>-1971.92</v>
      </c>
      <c r="W120" s="11">
        <f>SUMIF(Planilha14!$I$1:$I$150,B120,Planilha14!$R$1:RZ$150)</f>
        <v>-2807.08</v>
      </c>
      <c r="X120" s="3"/>
      <c r="Y120" s="11">
        <f>SUMIF('2026'!$I$1:$I$150,B120,'2026'!$R$1:RQ$150)</f>
        <v>-4779</v>
      </c>
      <c r="Z120" s="1">
        <f t="shared" ref="Z120:Z166" si="2">SUM(V120:W120)-Y120</f>
        <v>0</v>
      </c>
    </row>
    <row r="121" spans="1:26" x14ac:dyDescent="0.2">
      <c r="B121" t="s">
        <v>147</v>
      </c>
      <c r="I121" s="1">
        <f>SUMIF(Planilha1!$I$1:$I$150,B121,Planilha1!$R$1:RL$150)</f>
        <v>-894.02</v>
      </c>
      <c r="J121" s="1">
        <f>SUMIF(Planilha2!$I$1:$I$150,B121,Planilha2!$R$1:RM$150)</f>
        <v>-898.8</v>
      </c>
      <c r="K121" s="1">
        <f>SUMIF(Planilha3!$I$1:$I$150,B121,Planilha3!$R$1:RN$150)</f>
        <v>-830.76</v>
      </c>
      <c r="L121" s="1">
        <f>SUMIF(Planilha4!$I$1:$I$150,B121,Planilha4!$R$1:RO$150)</f>
        <v>-790.09</v>
      </c>
      <c r="M121" s="1">
        <f>SUMIF(Planilha5!$I$1:$I$150,B121,Planilha5!$R$1:RP$150)</f>
        <v>-765.26</v>
      </c>
      <c r="N121" s="1">
        <f>SUMIF(Planilha6!$I$1:$I$150,B121,Planilha6!$R$1:RQ$150)</f>
        <v>-499.85</v>
      </c>
      <c r="O121" s="1">
        <f>SUMIF(Planilha7!$I$1:$I$150,B121,Planilha7!$R$1:RR$150)</f>
        <v>-644.28</v>
      </c>
      <c r="P121" s="1">
        <f>SUMIF(Planilha8!$I$1:$I$150,B121,Planilha8!$R$1:RS$150)</f>
        <v>-476.28</v>
      </c>
      <c r="Q121" s="1">
        <f>SUMIF(Planilha9!$I$1:$I$150,B121,Planilha9!$R$1:RT$150)</f>
        <v>-577.36</v>
      </c>
      <c r="R121" s="1">
        <f>SUMIF(Planilha10!$I$1:$I$150,B121,Planilha10!$R$1:RU$150)</f>
        <v>-533.04999999999995</v>
      </c>
      <c r="S121" s="1">
        <f>SUMIF(Planilha11!$I$1:$I$150,B121,Planilha11!$R$1:RV$150)</f>
        <v>-1941.88</v>
      </c>
      <c r="T121" s="1">
        <f>SUMIF(Planilha12!$I$1:$I$150,B121,Planilha12!$R$1:RW$150)</f>
        <v>-563.5</v>
      </c>
      <c r="U121" s="1"/>
      <c r="V121" s="1">
        <f>SUMIF(Planilha13!$I$1:$I$150,B121,Planilha13!$R$1:RY$150)</f>
        <v>-599.83000000000004</v>
      </c>
      <c r="W121" s="1">
        <f>SUMIF(Planilha14!$I$1:$I$150,B121,Planilha14!$R$1:RZ$150)</f>
        <v>-853.87</v>
      </c>
      <c r="Y121" s="1">
        <f>SUMIF('2026'!$I$1:$I$150,B121,'2026'!$R$1:RQ$150)</f>
        <v>-1453.7</v>
      </c>
      <c r="Z121" s="1">
        <f t="shared" si="2"/>
        <v>0</v>
      </c>
    </row>
    <row r="122" spans="1:26" x14ac:dyDescent="0.2">
      <c r="A122" s="3"/>
      <c r="B122" s="3" t="s">
        <v>149</v>
      </c>
      <c r="C122" s="3"/>
      <c r="D122" s="3"/>
      <c r="E122" s="3"/>
      <c r="F122" s="3"/>
      <c r="G122" s="3"/>
      <c r="H122" s="3"/>
      <c r="I122" s="11">
        <f>SUMIF(Planilha1!$I$1:$I$150,B122,Planilha1!$R$1:RL$150)</f>
        <v>-90.04</v>
      </c>
      <c r="J122" s="11">
        <f>SUMIF(Planilha2!$I$1:$I$150,B122,Planilha2!$R$1:RM$150)</f>
        <v>-112.35</v>
      </c>
      <c r="K122" s="11">
        <f>SUMIF(Planilha3!$I$1:$I$150,B122,Planilha3!$R$1:RN$150)</f>
        <v>-103.84</v>
      </c>
      <c r="L122" s="11">
        <f>SUMIF(Planilha4!$I$1:$I$150,B122,Planilha4!$R$1:RO$150)</f>
        <v>-98.76</v>
      </c>
      <c r="M122" s="11">
        <f>SUMIF(Planilha5!$I$1:$I$150,B122,Planilha5!$R$1:RP$150)</f>
        <v>-95.68</v>
      </c>
      <c r="N122" s="11">
        <f>SUMIF(Planilha6!$I$1:$I$150,B122,Planilha6!$R$1:RQ$150)</f>
        <v>-62.49</v>
      </c>
      <c r="O122" s="11">
        <f>SUMIF(Planilha7!$I$1:$I$150,B122,Planilha7!$R$1:RR$150)</f>
        <v>-80.53</v>
      </c>
      <c r="P122" s="11">
        <f>SUMIF(Planilha8!$I$1:$I$150,B122,Planilha8!$R$1:RS$150)</f>
        <v>-78.3</v>
      </c>
      <c r="Q122" s="11">
        <f>SUMIF(Planilha9!$I$1:$I$150,B122,Planilha9!$R$1:RT$150)</f>
        <v>-72.17</v>
      </c>
      <c r="R122" s="11">
        <f>SUMIF(Planilha10!$I$1:$I$150,B122,Planilha10!$R$1:RU$150)</f>
        <v>-66.62</v>
      </c>
      <c r="S122" s="11">
        <f>SUMIF(Planilha11!$I$1:$I$150,B122,Planilha11!$R$1:RV$150)</f>
        <v>-94.66</v>
      </c>
      <c r="T122" s="11">
        <f>SUMIF(Planilha12!$I$1:$I$150,B122,Planilha12!$R$1:RW$150)</f>
        <v>-70.430000000000007</v>
      </c>
      <c r="U122" s="11"/>
      <c r="V122" s="11">
        <f>SUMIF(Planilha13!$I$1:$I$150,B122,Planilha13!$R$1:RY$150)</f>
        <v>-74.98</v>
      </c>
      <c r="W122" s="11">
        <f>SUMIF(Planilha14!$I$1:$I$150,B122,Planilha14!$R$1:RZ$150)</f>
        <v>-106.73</v>
      </c>
      <c r="X122" s="3"/>
      <c r="Y122" s="11">
        <f>SUMIF('2026'!$I$1:$I$150,B122,'2026'!$R$1:RQ$150)</f>
        <v>-181.71</v>
      </c>
      <c r="Z122" s="1">
        <f t="shared" si="2"/>
        <v>0</v>
      </c>
    </row>
    <row r="123" spans="1:26" x14ac:dyDescent="0.2">
      <c r="B123" t="s">
        <v>237</v>
      </c>
      <c r="I123" s="1">
        <f>SUMIF(Planilha1!$I$1:$I$150,B123,Planilha1!$R$1:RL$150)</f>
        <v>0</v>
      </c>
      <c r="J123" s="1">
        <f>SUMIF(Planilha2!$I$1:$I$150,B123,Planilha2!$R$1:RM$150)</f>
        <v>0</v>
      </c>
      <c r="K123" s="1">
        <f>SUMIF(Planilha3!$I$1:$I$150,B123,Planilha3!$R$1:RN$150)</f>
        <v>0</v>
      </c>
      <c r="L123" s="1">
        <f>SUMIF(Planilha4!$I$1:$I$150,B123,Planilha4!$R$1:RO$150)</f>
        <v>0</v>
      </c>
      <c r="M123" s="1">
        <f>SUMIF(Planilha5!$I$1:$I$150,B123,Planilha5!$R$1:RP$150)</f>
        <v>-16.399999999999999</v>
      </c>
      <c r="N123" s="1">
        <f>SUMIF(Planilha6!$I$1:$I$150,B123,Planilha6!$R$1:RQ$150)</f>
        <v>0</v>
      </c>
      <c r="O123" s="1">
        <f>SUMIF(Planilha7!$I$1:$I$150,B123,Planilha7!$R$1:RR$150)</f>
        <v>0</v>
      </c>
      <c r="P123" s="1">
        <f>SUMIF(Planilha8!$I$1:$I$150,B123,Planilha8!$R$1:RS$150)</f>
        <v>0</v>
      </c>
      <c r="Q123" s="1">
        <f>SUMIF(Planilha9!$I$1:$I$150,B123,Planilha9!$R$1:RT$150)</f>
        <v>0</v>
      </c>
      <c r="R123" s="1">
        <f>SUMIF(Planilha10!$I$1:$I$150,B123,Planilha10!$R$1:RU$150)</f>
        <v>0</v>
      </c>
      <c r="S123" s="1">
        <f>SUMIF(Planilha11!$I$1:$I$150,B123,Planilha11!$R$1:RV$150)</f>
        <v>-17.22</v>
      </c>
      <c r="T123" s="1">
        <f>SUMIF(Planilha12!$I$1:$I$150,B123,Planilha12!$R$1:RW$150)</f>
        <v>0</v>
      </c>
      <c r="U123" s="1"/>
      <c r="V123" s="1">
        <f>SUMIF(Planilha13!$I$1:$I$150,B123,Planilha13!$R$1:RY$150)</f>
        <v>0</v>
      </c>
      <c r="W123" s="1">
        <f>SUMIF(Planilha14!$I$1:$I$150,B123,Planilha14!$R$1:RZ$150)</f>
        <v>0</v>
      </c>
      <c r="Y123" s="1">
        <f>SUMIF('2026'!$I$1:$I$150,B123,'2026'!$R$1:RQ$150)</f>
        <v>0</v>
      </c>
      <c r="Z123" s="1">
        <f t="shared" si="2"/>
        <v>0</v>
      </c>
    </row>
    <row r="124" spans="1:26" x14ac:dyDescent="0.2">
      <c r="B124" t="s">
        <v>219</v>
      </c>
      <c r="I124" s="1">
        <f>SUMIF(Planilha1!$I$1:$I$150,B124,Planilha1!$R$1:RL$150)</f>
        <v>0</v>
      </c>
      <c r="J124" s="1">
        <f>SUMIF(Planilha2!$I$1:$I$150,B124,Planilha2!$R$1:RM$150)</f>
        <v>0</v>
      </c>
      <c r="K124" s="1">
        <f>SUMIF(Planilha3!$I$1:$I$150,B124,Planilha3!$R$1:RN$150)</f>
        <v>0</v>
      </c>
      <c r="L124" s="1">
        <f>SUMIF(Planilha4!$I$1:$I$150,B124,Planilha4!$R$1:RO$150)</f>
        <v>-90.74</v>
      </c>
      <c r="M124" s="1">
        <f>SUMIF(Planilha5!$I$1:$I$150,B124,Planilha5!$R$1:RP$150)</f>
        <v>-8.9600000000000009</v>
      </c>
      <c r="N124" s="1">
        <f>SUMIF(Planilha6!$I$1:$I$150,B124,Planilha6!$R$1:RQ$150)</f>
        <v>-6.75</v>
      </c>
      <c r="O124" s="1">
        <f>SUMIF(Planilha7!$I$1:$I$150,B124,Planilha7!$R$1:RR$150)</f>
        <v>-8.9499999999999993</v>
      </c>
      <c r="P124" s="1">
        <f>SUMIF(Planilha8!$I$1:$I$150,B124,Planilha8!$R$1:RS$150)</f>
        <v>-1.95</v>
      </c>
      <c r="Q124" s="1">
        <f>SUMIF(Planilha9!$I$1:$I$150,B124,Planilha9!$R$1:RT$150)</f>
        <v>24.87</v>
      </c>
      <c r="R124" s="1">
        <f>SUMIF(Planilha10!$I$1:$I$150,B124,Planilha10!$R$1:RU$150)</f>
        <v>-6.97</v>
      </c>
      <c r="S124" s="1">
        <f>SUMIF(Planilha11!$I$1:$I$150,B124,Planilha11!$R$1:RV$150)</f>
        <v>-6.96</v>
      </c>
      <c r="T124" s="1">
        <f>SUMIF(Planilha12!$I$1:$I$150,B124,Planilha12!$R$1:RW$150)</f>
        <v>-7.64</v>
      </c>
      <c r="U124" s="1"/>
      <c r="V124" s="1">
        <f>SUMIF(Planilha13!$I$1:$I$150,B124,Planilha13!$R$1:RY$150)</f>
        <v>-10.24</v>
      </c>
      <c r="W124" s="1">
        <f>SUMIF(Planilha14!$I$1:$I$150,B124,Planilha14!$R$1:RZ$150)</f>
        <v>-12.17</v>
      </c>
      <c r="Y124" s="1">
        <f>SUMIF('2026'!$I$1:$I$150,B124,'2026'!$R$1:RQ$150)</f>
        <v>-22.41</v>
      </c>
      <c r="Z124" s="1">
        <f t="shared" si="2"/>
        <v>0</v>
      </c>
    </row>
    <row r="125" spans="1:26" x14ac:dyDescent="0.2">
      <c r="A125" s="3"/>
      <c r="B125" s="3" t="s">
        <v>221</v>
      </c>
      <c r="C125" s="3"/>
      <c r="D125" s="3"/>
      <c r="E125" s="3"/>
      <c r="F125" s="3"/>
      <c r="G125" s="3"/>
      <c r="H125" s="3"/>
      <c r="I125" s="11">
        <f>SUMIF(Planilha1!$I$1:$I$150,B125,Planilha1!$R$1:RL$150)</f>
        <v>0</v>
      </c>
      <c r="J125" s="11">
        <f>SUMIF(Planilha2!$I$1:$I$150,B125,Planilha2!$R$1:RM$150)</f>
        <v>0</v>
      </c>
      <c r="K125" s="11">
        <f>SUMIF(Planilha3!$I$1:$I$150,B125,Planilha3!$R$1:RN$150)</f>
        <v>0</v>
      </c>
      <c r="L125" s="11">
        <f>SUMIF(Planilha4!$I$1:$I$150,B125,Planilha4!$R$1:RO$150)</f>
        <v>-2432.09</v>
      </c>
      <c r="M125" s="11">
        <f>SUMIF(Planilha5!$I$1:$I$150,B125,Planilha5!$R$1:RP$150)</f>
        <v>1208.3399999999999</v>
      </c>
      <c r="N125" s="11">
        <f>SUMIF(Planilha6!$I$1:$I$150,B125,Planilha6!$R$1:RQ$150)</f>
        <v>-180.72</v>
      </c>
      <c r="O125" s="11">
        <f>SUMIF(Planilha7!$I$1:$I$150,B125,Planilha7!$R$1:RR$150)</f>
        <v>-239.81</v>
      </c>
      <c r="P125" s="11">
        <f>SUMIF(Planilha8!$I$1:$I$150,B125,Planilha8!$R$1:RS$150)</f>
        <v>-20.61</v>
      </c>
      <c r="Q125" s="11">
        <f>SUMIF(Planilha9!$I$1:$I$150,B125,Planilha9!$R$1:RT$150)</f>
        <v>653.9</v>
      </c>
      <c r="R125" s="11">
        <f>SUMIF(Planilha10!$I$1:$I$150,B125,Planilha10!$R$1:RU$150)</f>
        <v>-183.17</v>
      </c>
      <c r="S125" s="11">
        <f>SUMIF(Planilha11!$I$1:$I$150,B125,Planilha11!$R$1:RV$150)</f>
        <v>-183.21</v>
      </c>
      <c r="T125" s="11">
        <f>SUMIF(Planilha12!$I$1:$I$150,B125,Planilha12!$R$1:RW$150)</f>
        <v>-200.95</v>
      </c>
      <c r="U125" s="11"/>
      <c r="V125" s="11">
        <f>SUMIF(Planilha13!$I$1:$I$150,B125,Planilha13!$R$1:RY$150)</f>
        <v>-269.5</v>
      </c>
      <c r="W125" s="11">
        <f>SUMIF(Planilha14!$I$1:$I$150,B125,Planilha14!$R$1:RZ$150)</f>
        <v>-319.64999999999998</v>
      </c>
      <c r="X125" s="3"/>
      <c r="Y125" s="11">
        <f>SUMIF('2026'!$I$1:$I$150,B125,'2026'!$R$1:RQ$150)</f>
        <v>-589.15</v>
      </c>
      <c r="Z125" s="1">
        <f t="shared" si="2"/>
        <v>0</v>
      </c>
    </row>
    <row r="126" spans="1:26" x14ac:dyDescent="0.2">
      <c r="B126" t="s">
        <v>223</v>
      </c>
      <c r="I126" s="1">
        <f>SUMIF(Planilha1!$I$1:$I$150,B126,Planilha1!$R$1:RL$150)</f>
        <v>0</v>
      </c>
      <c r="J126" s="1">
        <f>SUMIF(Planilha2!$I$1:$I$150,B126,Planilha2!$R$1:RM$150)</f>
        <v>0</v>
      </c>
      <c r="K126" s="1">
        <f>SUMIF(Planilha3!$I$1:$I$150,B126,Planilha3!$R$1:RN$150)</f>
        <v>0</v>
      </c>
      <c r="L126" s="1">
        <f>SUMIF(Planilha4!$I$1:$I$150,B126,Planilha4!$R$1:RO$150)</f>
        <v>-725.98</v>
      </c>
      <c r="M126" s="1">
        <f>SUMIF(Planilha5!$I$1:$I$150,B126,Planilha5!$R$1:RP$150)</f>
        <v>360.69</v>
      </c>
      <c r="N126" s="1">
        <f>SUMIF(Planilha6!$I$1:$I$150,B126,Planilha6!$R$1:RQ$150)</f>
        <v>-53.94</v>
      </c>
      <c r="O126" s="1">
        <f>SUMIF(Planilha7!$I$1:$I$150,B126,Planilha7!$R$1:RR$150)</f>
        <v>-71.59</v>
      </c>
      <c r="P126" s="1">
        <f>SUMIF(Planilha8!$I$1:$I$150,B126,Planilha8!$R$1:RS$150)</f>
        <v>-15.59</v>
      </c>
      <c r="Q126" s="1">
        <f>SUMIF(Planilha9!$I$1:$I$150,B126,Planilha9!$R$1:RT$150)</f>
        <v>198.9</v>
      </c>
      <c r="R126" s="1">
        <f>SUMIF(Planilha10!$I$1:$I$150,B126,Planilha10!$R$1:RU$150)</f>
        <v>-55.72</v>
      </c>
      <c r="S126" s="1">
        <f>SUMIF(Planilha11!$I$1:$I$150,B126,Planilha11!$R$1:RV$150)</f>
        <v>-55.72</v>
      </c>
      <c r="T126" s="1">
        <f>SUMIF(Planilha12!$I$1:$I$150,B126,Planilha12!$R$1:RW$150)</f>
        <v>-61.13</v>
      </c>
      <c r="U126" s="1"/>
      <c r="V126" s="1">
        <f>SUMIF(Planilha13!$I$1:$I$150,B126,Planilha13!$R$1:RY$150)</f>
        <v>-81.96</v>
      </c>
      <c r="W126" s="1">
        <f>SUMIF(Planilha14!$I$1:$I$150,B126,Planilha14!$R$1:RZ$150)</f>
        <v>-97.24</v>
      </c>
      <c r="Y126" s="1">
        <f>SUMIF('2026'!$I$1:$I$150,B126,'2026'!$R$1:RQ$150)</f>
        <v>-179.2</v>
      </c>
      <c r="Z126" s="1">
        <f t="shared" si="2"/>
        <v>0</v>
      </c>
    </row>
    <row r="127" spans="1:26" x14ac:dyDescent="0.2">
      <c r="A127" s="3"/>
      <c r="B127" s="3" t="s">
        <v>225</v>
      </c>
      <c r="C127" s="3"/>
      <c r="D127" s="3"/>
      <c r="E127" s="3"/>
      <c r="F127" s="3"/>
      <c r="G127" s="3"/>
      <c r="H127" s="3"/>
      <c r="I127" s="11">
        <f>SUMIF(Planilha1!$I$1:$I$150,B127,Planilha1!$R$1:RL$150)</f>
        <v>0</v>
      </c>
      <c r="J127" s="11">
        <f>SUMIF(Planilha2!$I$1:$I$150,B127,Planilha2!$R$1:RM$150)</f>
        <v>0</v>
      </c>
      <c r="K127" s="11">
        <f>SUMIF(Planilha3!$I$1:$I$150,B127,Planilha3!$R$1:RN$150)</f>
        <v>0</v>
      </c>
      <c r="L127" s="11">
        <f>SUMIF(Planilha4!$I$1:$I$150,B127,Planilha4!$R$1:RO$150)</f>
        <v>-668.93</v>
      </c>
      <c r="M127" s="11">
        <f>SUMIF(Planilha5!$I$1:$I$150,B127,Planilha5!$R$1:RP$150)</f>
        <v>-105.67</v>
      </c>
      <c r="N127" s="11">
        <f>SUMIF(Planilha6!$I$1:$I$150,B127,Planilha6!$R$1:RQ$150)</f>
        <v>-135.55000000000001</v>
      </c>
      <c r="O127" s="11">
        <f>SUMIF(Planilha7!$I$1:$I$150,B127,Planilha7!$R$1:RR$150)</f>
        <v>-179.85</v>
      </c>
      <c r="P127" s="11">
        <f>SUMIF(Planilha8!$I$1:$I$150,B127,Planilha8!$R$1:RS$150)</f>
        <v>-162.30000000000001</v>
      </c>
      <c r="Q127" s="11">
        <f>SUMIF(Planilha9!$I$1:$I$150,B127,Planilha9!$R$1:RT$150)</f>
        <v>4.8099999999999996</v>
      </c>
      <c r="R127" s="11">
        <f>SUMIF(Planilha10!$I$1:$I$150,B127,Planilha10!$R$1:RU$150)</f>
        <v>259.04000000000002</v>
      </c>
      <c r="S127" s="11">
        <f>SUMIF(Planilha11!$I$1:$I$150,B127,Planilha11!$R$1:RV$150)</f>
        <v>-137.47</v>
      </c>
      <c r="T127" s="11">
        <f>SUMIF(Planilha12!$I$1:$I$150,B127,Planilha12!$R$1:RW$150)</f>
        <v>-825.12</v>
      </c>
      <c r="U127" s="11"/>
      <c r="V127" s="11">
        <f>SUMIF(Planilha13!$I$1:$I$150,B127,Planilha13!$R$1:RY$150)</f>
        <v>-156.38</v>
      </c>
      <c r="W127" s="11">
        <f>SUMIF(Planilha14!$I$1:$I$150,B127,Planilha14!$R$1:RZ$150)</f>
        <v>-239.72</v>
      </c>
      <c r="X127" s="3"/>
      <c r="Y127" s="11">
        <f>SUMIF('2026'!$I$1:$I$150,B127,'2026'!$R$1:RQ$150)</f>
        <v>-396.1</v>
      </c>
      <c r="Z127" s="1">
        <f t="shared" si="2"/>
        <v>0</v>
      </c>
    </row>
    <row r="128" spans="1:26" x14ac:dyDescent="0.2">
      <c r="B128" t="s">
        <v>227</v>
      </c>
      <c r="I128" s="1">
        <f>SUMIF(Planilha1!$I$1:$I$150,B128,Planilha1!$R$1:RL$150)</f>
        <v>0</v>
      </c>
      <c r="J128" s="1">
        <f>SUMIF(Planilha2!$I$1:$I$150,B128,Planilha2!$R$1:RM$150)</f>
        <v>0</v>
      </c>
      <c r="K128" s="1">
        <f>SUMIF(Planilha3!$I$1:$I$150,B128,Planilha3!$R$1:RN$150)</f>
        <v>0</v>
      </c>
      <c r="L128" s="1">
        <f>SUMIF(Planilha4!$I$1:$I$150,B128,Planilha4!$R$1:RO$150)</f>
        <v>-199.67</v>
      </c>
      <c r="M128" s="1">
        <f>SUMIF(Planilha5!$I$1:$I$150,B128,Planilha5!$R$1:RP$150)</f>
        <v>-31.54</v>
      </c>
      <c r="N128" s="1">
        <f>SUMIF(Planilha6!$I$1:$I$150,B128,Planilha6!$R$1:RQ$150)</f>
        <v>-40.46</v>
      </c>
      <c r="O128" s="1">
        <f>SUMIF(Planilha7!$I$1:$I$150,B128,Planilha7!$R$1:RR$150)</f>
        <v>-53.69</v>
      </c>
      <c r="P128" s="1">
        <f>SUMIF(Planilha8!$I$1:$I$150,B128,Planilha8!$R$1:RS$150)</f>
        <v>-53.69</v>
      </c>
      <c r="Q128" s="1">
        <f>SUMIF(Planilha9!$I$1:$I$150,B128,Planilha9!$R$1:RT$150)</f>
        <v>1.46</v>
      </c>
      <c r="R128" s="1">
        <f>SUMIF(Planilha10!$I$1:$I$150,B128,Planilha10!$R$1:RU$150)</f>
        <v>78.77</v>
      </c>
      <c r="S128" s="1">
        <f>SUMIF(Planilha11!$I$1:$I$150,B128,Planilha11!$R$1:RV$150)</f>
        <v>-41.79</v>
      </c>
      <c r="T128" s="1">
        <f>SUMIF(Planilha12!$I$1:$I$150,B128,Planilha12!$R$1:RW$150)</f>
        <v>-45.83</v>
      </c>
      <c r="U128" s="1"/>
      <c r="V128" s="1">
        <f>SUMIF(Planilha13!$I$1:$I$150,B128,Planilha13!$R$1:RY$150)</f>
        <v>-47.56</v>
      </c>
      <c r="W128" s="1">
        <f>SUMIF(Planilha14!$I$1:$I$150,B128,Planilha14!$R$1:RZ$150)</f>
        <v>272.83</v>
      </c>
      <c r="Y128" s="1">
        <f>SUMIF('2026'!$I$1:$I$150,B128,'2026'!$R$1:RQ$150)</f>
        <v>225.27</v>
      </c>
      <c r="Z128" s="1">
        <f t="shared" si="2"/>
        <v>0</v>
      </c>
    </row>
    <row r="129" spans="1:26" x14ac:dyDescent="0.2">
      <c r="A129" s="3"/>
      <c r="B129" s="3" t="s">
        <v>229</v>
      </c>
      <c r="C129" s="3"/>
      <c r="D129" s="3"/>
      <c r="E129" s="3"/>
      <c r="F129" s="3"/>
      <c r="G129" s="3"/>
      <c r="H129" s="3"/>
      <c r="I129" s="11">
        <f>SUMIF(Planilha1!$I$1:$I$150,B129,Planilha1!$R$1:RL$150)</f>
        <v>0</v>
      </c>
      <c r="J129" s="11">
        <f>SUMIF(Planilha2!$I$1:$I$150,B129,Planilha2!$R$1:RM$150)</f>
        <v>0</v>
      </c>
      <c r="K129" s="11">
        <f>SUMIF(Planilha3!$I$1:$I$150,B129,Planilha3!$R$1:RN$150)</f>
        <v>0</v>
      </c>
      <c r="L129" s="11">
        <f>SUMIF(Planilha4!$I$1:$I$150,B129,Planilha4!$R$1:RO$150)</f>
        <v>-24.96</v>
      </c>
      <c r="M129" s="11">
        <f>SUMIF(Planilha5!$I$1:$I$150,B129,Planilha5!$R$1:RP$150)</f>
        <v>-3.94</v>
      </c>
      <c r="N129" s="11">
        <f>SUMIF(Planilha6!$I$1:$I$150,B129,Planilha6!$R$1:RQ$150)</f>
        <v>-5.0599999999999996</v>
      </c>
      <c r="O129" s="11">
        <f>SUMIF(Planilha7!$I$1:$I$150,B129,Planilha7!$R$1:RR$150)</f>
        <v>-6.71</v>
      </c>
      <c r="P129" s="11">
        <f>SUMIF(Planilha8!$I$1:$I$150,B129,Planilha8!$R$1:RS$150)</f>
        <v>-6.71</v>
      </c>
      <c r="Q129" s="11">
        <f>SUMIF(Planilha9!$I$1:$I$150,B129,Planilha9!$R$1:RT$150)</f>
        <v>0.18</v>
      </c>
      <c r="R129" s="11">
        <f>SUMIF(Planilha10!$I$1:$I$150,B129,Planilha10!$R$1:RU$150)</f>
        <v>9.84</v>
      </c>
      <c r="S129" s="11">
        <f>SUMIF(Planilha11!$I$1:$I$150,B129,Planilha11!$R$1:RV$150)</f>
        <v>-5.22</v>
      </c>
      <c r="T129" s="11">
        <f>SUMIF(Planilha12!$I$1:$I$150,B129,Planilha12!$R$1:RW$150)</f>
        <v>-5.21</v>
      </c>
      <c r="U129" s="11"/>
      <c r="V129" s="11">
        <f>SUMIF(Planilha13!$I$1:$I$150,B129,Planilha13!$R$1:RY$150)</f>
        <v>-5.95</v>
      </c>
      <c r="W129" s="11">
        <f>SUMIF(Planilha14!$I$1:$I$150,B129,Planilha14!$R$1:RZ$150)</f>
        <v>-9.11</v>
      </c>
      <c r="X129" s="3"/>
      <c r="Y129" s="11">
        <f>SUMIF('2026'!$I$1:$I$150,B129,'2026'!$R$1:RQ$150)</f>
        <v>-15.06</v>
      </c>
      <c r="Z129" s="1">
        <f t="shared" si="2"/>
        <v>0</v>
      </c>
    </row>
    <row r="130" spans="1:26" x14ac:dyDescent="0.2">
      <c r="B130" t="s">
        <v>15</v>
      </c>
      <c r="I130" s="1">
        <f>SUMIF(Planilha1!$I$1:$I$150,B130,Planilha1!$R$1:RL$150)</f>
        <v>-2640.6</v>
      </c>
      <c r="J130" s="1">
        <f>SUMIF(Planilha2!$I$1:$I$150,B130,Planilha2!$R$1:RM$150)</f>
        <v>-4071</v>
      </c>
      <c r="K130" s="1">
        <f>SUMIF(Planilha3!$I$1:$I$150,B130,Planilha3!$R$1:RN$150)</f>
        <v>-2805.57</v>
      </c>
      <c r="L130" s="1">
        <f>SUMIF(Planilha4!$I$1:$I$150,B130,Planilha4!$R$1:RO$150)</f>
        <v>-3420.4</v>
      </c>
      <c r="M130" s="1">
        <f>SUMIF(Planilha5!$I$1:$I$150,B130,Planilha5!$R$1:RP$150)</f>
        <v>-2127.42</v>
      </c>
      <c r="N130" s="1">
        <f>SUMIF(Planilha6!$I$1:$I$150,B130,Planilha6!$R$1:RQ$150)</f>
        <v>-1750.78</v>
      </c>
      <c r="O130" s="1">
        <f>SUMIF(Planilha7!$I$1:$I$150,B130,Planilha7!$R$1:RR$150)</f>
        <v>-2556.4</v>
      </c>
      <c r="P130" s="1">
        <f>SUMIF(Planilha8!$I$1:$I$150,B130,Planilha8!$R$1:RS$150)</f>
        <v>-2427.08</v>
      </c>
      <c r="Q130" s="1">
        <f>SUMIF(Planilha9!$I$1:$I$150,B130,Planilha9!$R$1:RT$150)</f>
        <v>-4503.72</v>
      </c>
      <c r="R130" s="1">
        <f>SUMIF(Planilha10!$I$1:$I$150,B130,Planilha10!$R$1:RU$150)</f>
        <v>-1352.22</v>
      </c>
      <c r="S130" s="1">
        <f>SUMIF(Planilha11!$I$1:$I$150,B130,Planilha11!$R$1:RV$150)</f>
        <v>-1078.43</v>
      </c>
      <c r="T130" s="1">
        <f>SUMIF(Planilha12!$I$1:$I$150,B130,Planilha12!$R$1:RW$150)</f>
        <v>-2404.65</v>
      </c>
      <c r="U130" s="1"/>
      <c r="V130" s="1">
        <f>SUMIF(Planilha13!$I$1:$I$150,B130,Planilha13!$R$1:RY$150)</f>
        <v>-5576.92</v>
      </c>
      <c r="W130" s="1">
        <f>SUMIF(Planilha14!$I$1:$I$150,B130,Planilha14!$R$1:RZ$150)</f>
        <v>-1449.89</v>
      </c>
      <c r="Y130" s="1">
        <f>SUMIF('2026'!$I$1:$I$150,B130,'2026'!$R$1:RQ$150)</f>
        <v>-7026.81</v>
      </c>
      <c r="Z130" s="1">
        <f t="shared" si="2"/>
        <v>0</v>
      </c>
    </row>
    <row r="131" spans="1:26" x14ac:dyDescent="0.2">
      <c r="A131" s="3"/>
      <c r="B131" s="3" t="s">
        <v>152</v>
      </c>
      <c r="C131" s="3"/>
      <c r="D131" s="3"/>
      <c r="E131" s="3"/>
      <c r="F131" s="3"/>
      <c r="G131" s="3"/>
      <c r="H131" s="3"/>
      <c r="I131" s="11">
        <f>SUMIF(Planilha1!$I$1:$I$150,B131,Planilha1!$R$1:RL$150)</f>
        <v>-1279.24</v>
      </c>
      <c r="J131" s="11">
        <f>SUMIF(Planilha2!$I$1:$I$150,B131,Planilha2!$R$1:RM$150)</f>
        <v>-275.97000000000003</v>
      </c>
      <c r="K131" s="11">
        <f>SUMIF(Planilha3!$I$1:$I$150,B131,Planilha3!$R$1:RN$150)</f>
        <v>-762.28</v>
      </c>
      <c r="L131" s="11">
        <f>SUMIF(Planilha4!$I$1:$I$150,B131,Planilha4!$R$1:RO$150)</f>
        <v>-1197.5999999999999</v>
      </c>
      <c r="M131" s="11">
        <f>SUMIF(Planilha5!$I$1:$I$150,B131,Planilha5!$R$1:RP$150)</f>
        <v>-1195.8800000000001</v>
      </c>
      <c r="N131" s="11">
        <f>SUMIF(Planilha6!$I$1:$I$150,B131,Planilha6!$R$1:RQ$150)</f>
        <v>-2043.71</v>
      </c>
      <c r="O131" s="11">
        <f>SUMIF(Planilha7!$I$1:$I$150,B131,Planilha7!$R$1:RR$150)</f>
        <v>-1487.79</v>
      </c>
      <c r="P131" s="11">
        <f>SUMIF(Planilha8!$I$1:$I$150,B131,Planilha8!$R$1:RS$150)</f>
        <v>-1014.37</v>
      </c>
      <c r="Q131" s="11">
        <f>SUMIF(Planilha9!$I$1:$I$150,B131,Planilha9!$R$1:RT$150)</f>
        <v>-163.13999999999999</v>
      </c>
      <c r="R131" s="11">
        <f>SUMIF(Planilha10!$I$1:$I$150,B131,Planilha10!$R$1:RU$150)</f>
        <v>-1141.56</v>
      </c>
      <c r="S131" s="11">
        <f>SUMIF(Planilha11!$I$1:$I$150,B131,Planilha11!$R$1:RV$150)</f>
        <v>-1181.3599999999999</v>
      </c>
      <c r="T131" s="11">
        <f>SUMIF(Planilha12!$I$1:$I$150,B131,Planilha12!$R$1:RW$150)</f>
        <v>-1259.1600000000001</v>
      </c>
      <c r="U131" s="11"/>
      <c r="V131" s="11">
        <f>SUMIF(Planilha13!$I$1:$I$150,B131,Planilha13!$R$1:RY$150)</f>
        <v>-1339.37</v>
      </c>
      <c r="W131" s="11">
        <f>SUMIF(Planilha14!$I$1:$I$150,B131,Planilha14!$R$1:RZ$150)</f>
        <v>-2349.89</v>
      </c>
      <c r="X131" s="3"/>
      <c r="Y131" s="11">
        <f>SUMIF('2026'!$I$1:$I$150,B131,'2026'!$R$1:RQ$150)</f>
        <v>-3689.26</v>
      </c>
      <c r="Z131" s="1">
        <f t="shared" si="2"/>
        <v>0</v>
      </c>
    </row>
    <row r="132" spans="1:26" x14ac:dyDescent="0.2">
      <c r="B132" t="s">
        <v>16</v>
      </c>
      <c r="I132" s="1">
        <f>SUMIF(Planilha1!$I$1:$I$150,B132,Planilha1!$R$1:RL$150)</f>
        <v>-6003.48</v>
      </c>
      <c r="J132" s="1">
        <f>SUMIF(Planilha2!$I$1:$I$150,B132,Planilha2!$R$1:RM$150)</f>
        <v>-5697.18</v>
      </c>
      <c r="K132" s="1">
        <f>SUMIF(Planilha3!$I$1:$I$150,B132,Planilha3!$R$1:RN$150)</f>
        <v>-4349.46</v>
      </c>
      <c r="L132" s="1">
        <f>SUMIF(Planilha4!$I$1:$I$150,B132,Planilha4!$R$1:RO$150)</f>
        <v>-3491.82</v>
      </c>
      <c r="M132" s="1">
        <f>SUMIF(Planilha5!$I$1:$I$150,B132,Planilha5!$R$1:RP$150)</f>
        <v>-2876.37</v>
      </c>
      <c r="N132" s="1">
        <f>SUMIF(Planilha6!$I$1:$I$150,B132,Planilha6!$R$1:RQ$150)</f>
        <v>-4896</v>
      </c>
      <c r="O132" s="1">
        <f>SUMIF(Planilha7!$I$1:$I$150,B132,Planilha7!$R$1:RR$150)</f>
        <v>-4224</v>
      </c>
      <c r="P132" s="1">
        <f>SUMIF(Planilha8!$I$1:$I$150,B132,Planilha8!$R$1:RS$150)</f>
        <v>-3524.52</v>
      </c>
      <c r="Q132" s="1">
        <f>SUMIF(Planilha9!$I$1:$I$150,B132,Planilha9!$R$1:RT$150)</f>
        <v>-2464</v>
      </c>
      <c r="R132" s="1">
        <f>SUMIF(Planilha10!$I$1:$I$150,B132,Planilha10!$R$1:RU$150)</f>
        <v>-5235</v>
      </c>
      <c r="S132" s="1">
        <f>SUMIF(Planilha11!$I$1:$I$150,B132,Planilha11!$R$1:RV$150)</f>
        <v>-4032</v>
      </c>
      <c r="T132" s="1">
        <f>SUMIF(Planilha12!$I$1:$I$150,B132,Planilha12!$R$1:RW$150)</f>
        <v>-4595</v>
      </c>
      <c r="U132" s="1"/>
      <c r="V132" s="1">
        <f>SUMIF(Planilha13!$I$1:$I$150,B132,Planilha13!$R$1:RY$150)</f>
        <v>-4384</v>
      </c>
      <c r="W132" s="1">
        <f>SUMIF(Planilha14!$I$1:$I$150,B132,Planilha14!$R$1:RZ$150)</f>
        <v>-6977</v>
      </c>
      <c r="X132" s="1"/>
      <c r="Y132" s="1">
        <f>SUMIF('2026'!$I$1:$I$150,B132,'2026'!$R$1:RQ$150)</f>
        <v>-11361</v>
      </c>
      <c r="Z132" s="1">
        <f t="shared" si="2"/>
        <v>0</v>
      </c>
    </row>
    <row r="133" spans="1:26" x14ac:dyDescent="0.2">
      <c r="A133" s="3"/>
      <c r="B133" s="3" t="s">
        <v>17</v>
      </c>
      <c r="C133" s="3"/>
      <c r="D133" s="3"/>
      <c r="E133" s="3"/>
      <c r="F133" s="3"/>
      <c r="G133" s="3"/>
      <c r="H133" s="3"/>
      <c r="I133" s="11">
        <f>SUMIF(Planilha1!$I$1:$I$150,B133,Planilha1!$R$1:RL$150)</f>
        <v>-1627.2</v>
      </c>
      <c r="J133" s="11">
        <f>SUMIF(Planilha2!$I$1:$I$150,B133,Planilha2!$R$1:RM$150)</f>
        <v>-1627.2</v>
      </c>
      <c r="K133" s="11">
        <f>SUMIF(Planilha3!$I$1:$I$150,B133,Planilha3!$R$1:RN$150)</f>
        <v>-1428.08</v>
      </c>
      <c r="L133" s="11">
        <f>SUMIF(Planilha4!$I$1:$I$150,B133,Planilha4!$R$1:RO$150)</f>
        <v>-1220.4000000000001</v>
      </c>
      <c r="M133" s="11">
        <f>SUMIF(Planilha5!$I$1:$I$150,B133,Planilha5!$R$1:RP$150)</f>
        <v>-1022.4</v>
      </c>
      <c r="N133" s="11">
        <f>SUMIF(Planilha6!$I$1:$I$150,B133,Planilha6!$R$1:RQ$150)</f>
        <v>-430</v>
      </c>
      <c r="O133" s="11">
        <f>SUMIF(Planilha7!$I$1:$I$150,B133,Planilha7!$R$1:RR$150)</f>
        <v>-1290</v>
      </c>
      <c r="P133" s="11">
        <f>SUMIF(Planilha8!$I$1:$I$150,B133,Planilha8!$R$1:RS$150)</f>
        <v>-1075</v>
      </c>
      <c r="Q133" s="11">
        <f>SUMIF(Planilha9!$I$1:$I$150,B133,Planilha9!$R$1:RT$150)</f>
        <v>-860</v>
      </c>
      <c r="R133" s="11">
        <f>SUMIF(Planilha10!$I$1:$I$150,B133,Planilha10!$R$1:RU$150)</f>
        <v>-215</v>
      </c>
      <c r="S133" s="11">
        <f>SUMIF(Planilha11!$I$1:$I$150,B133,Planilha11!$R$1:RV$150)</f>
        <v>-1290</v>
      </c>
      <c r="T133" s="11">
        <f>SUMIF(Planilha12!$I$1:$I$150,B133,Planilha12!$R$1:RW$150)</f>
        <v>0</v>
      </c>
      <c r="U133" s="11"/>
      <c r="V133" s="11">
        <f>SUMIF(Planilha13!$I$1:$I$150,B133,Planilha13!$R$1:RY$150)</f>
        <v>-1290</v>
      </c>
      <c r="W133" s="11">
        <f>SUMIF(Planilha14!$I$1:$I$150,B133,Planilha14!$R$1:RZ$150)</f>
        <v>-215</v>
      </c>
      <c r="X133" s="11"/>
      <c r="Y133" s="11">
        <f>SUMIF('2026'!$I$1:$I$150,B133,'2026'!$R$1:RQ$150)</f>
        <v>-1505</v>
      </c>
      <c r="Z133" s="1">
        <f t="shared" si="2"/>
        <v>0</v>
      </c>
    </row>
    <row r="134" spans="1:26" x14ac:dyDescent="0.2">
      <c r="B134" t="s">
        <v>255</v>
      </c>
      <c r="I134" s="1">
        <f>SUMIF(Planilha1!$I$1:$I$150,B134,Planilha1!$R$1:RL$150)</f>
        <v>0</v>
      </c>
      <c r="J134" s="1">
        <f>SUMIF(Planilha2!$I$1:$I$150,B134,Planilha2!$R$1:RM$150)</f>
        <v>0</v>
      </c>
      <c r="K134" s="1">
        <f>SUMIF(Planilha3!$I$1:$I$150,B134,Planilha3!$R$1:RN$150)</f>
        <v>0</v>
      </c>
      <c r="L134" s="1">
        <f>SUMIF(Planilha4!$I$1:$I$150,B134,Planilha4!$R$1:RO$150)</f>
        <v>0</v>
      </c>
      <c r="M134" s="1">
        <f>SUMIF(Planilha5!$I$1:$I$150,B134,Planilha5!$R$1:RP$150)</f>
        <v>0</v>
      </c>
      <c r="N134" s="1">
        <f>SUMIF(Planilha6!$I$1:$I$150,B134,Planilha6!$R$1:RQ$150)</f>
        <v>0</v>
      </c>
      <c r="O134" s="1">
        <f>SUMIF(Planilha7!$I$1:$I$150,B134,Planilha7!$R$1:RR$150)</f>
        <v>0</v>
      </c>
      <c r="P134" s="1">
        <f>SUMIF(Planilha8!$I$1:$I$150,B134,Planilha8!$R$1:RS$150)</f>
        <v>0</v>
      </c>
      <c r="Q134" s="1">
        <f>SUMIF(Planilha9!$I$1:$I$150,B134,Planilha9!$R$1:RT$150)</f>
        <v>0</v>
      </c>
      <c r="R134" s="1">
        <f>SUMIF(Planilha10!$I$1:$I$150,B134,Planilha10!$R$1:RU$150)</f>
        <v>0</v>
      </c>
      <c r="S134" s="1">
        <f>SUMIF(Planilha11!$I$1:$I$150,B134,Planilha11!$R$1:RV$150)</f>
        <v>0</v>
      </c>
      <c r="T134" s="1">
        <f>SUMIF(Planilha12!$I$1:$I$150,B134,Planilha12!$R$1:RW$150)</f>
        <v>-44613.59</v>
      </c>
      <c r="U134" s="1"/>
      <c r="V134" s="1">
        <f>SUMIF(Planilha13!$I$1:$I$150,B134,Planilha13!$R$1:RY$150)</f>
        <v>0</v>
      </c>
      <c r="W134" s="1">
        <f>SUMIF(Planilha14!$I$1:$I$150,B134,Planilha14!$R$1:RZ$150)</f>
        <v>0</v>
      </c>
      <c r="X134" s="1"/>
      <c r="Y134" s="1">
        <f>SUMIF('2026'!$I$1:$I$150,B134,'2026'!$R$1:RQ$150)</f>
        <v>0</v>
      </c>
      <c r="Z134" s="1">
        <f t="shared" si="2"/>
        <v>0</v>
      </c>
    </row>
    <row r="135" spans="1:26" x14ac:dyDescent="0.2">
      <c r="A135" s="3"/>
      <c r="B135" s="3" t="s">
        <v>258</v>
      </c>
      <c r="C135" s="3"/>
      <c r="D135" s="3"/>
      <c r="E135" s="3"/>
      <c r="F135" s="3"/>
      <c r="G135" s="3"/>
      <c r="H135" s="3"/>
      <c r="I135" s="11">
        <f>SUMIF(Planilha1!$I$1:$I$150,B135,Planilha1!$R$1:RL$150)</f>
        <v>0</v>
      </c>
      <c r="J135" s="11">
        <f>SUMIF(Planilha2!$I$1:$I$150,B135,Planilha2!$R$1:RM$150)</f>
        <v>0</v>
      </c>
      <c r="K135" s="11">
        <f>SUMIF(Planilha3!$I$1:$I$150,B135,Planilha3!$R$1:RN$150)</f>
        <v>0</v>
      </c>
      <c r="L135" s="11">
        <f>SUMIF(Planilha4!$I$1:$I$150,B135,Planilha4!$R$1:RO$150)</f>
        <v>0</v>
      </c>
      <c r="M135" s="11">
        <f>SUMIF(Planilha5!$I$1:$I$150,B135,Planilha5!$R$1:RP$150)</f>
        <v>0</v>
      </c>
      <c r="N135" s="11">
        <f>SUMIF(Planilha6!$I$1:$I$150,B135,Planilha6!$R$1:RQ$150)</f>
        <v>0</v>
      </c>
      <c r="O135" s="11">
        <f>SUMIF(Planilha7!$I$1:$I$150,B135,Planilha7!$R$1:RR$150)</f>
        <v>0</v>
      </c>
      <c r="P135" s="11">
        <f>SUMIF(Planilha8!$I$1:$I$150,B135,Planilha8!$R$1:RS$150)</f>
        <v>0</v>
      </c>
      <c r="Q135" s="11">
        <f>SUMIF(Planilha9!$I$1:$I$150,B135,Planilha9!$R$1:RT$150)</f>
        <v>0</v>
      </c>
      <c r="R135" s="11">
        <f>SUMIF(Planilha10!$I$1:$I$150,B135,Planilha10!$R$1:RU$150)</f>
        <v>0</v>
      </c>
      <c r="S135" s="11">
        <f>SUMIF(Planilha11!$I$1:$I$150,B135,Planilha11!$R$1:RV$150)</f>
        <v>0</v>
      </c>
      <c r="T135" s="11">
        <f>SUMIF(Planilha12!$I$1:$I$150,B135,Planilha12!$R$1:RW$150)</f>
        <v>-4667.24</v>
      </c>
      <c r="U135" s="11"/>
      <c r="V135" s="11">
        <f>SUMIF(Planilha13!$I$1:$I$150,B135,Planilha13!$R$1:RY$150)</f>
        <v>0</v>
      </c>
      <c r="W135" s="11">
        <f>SUMIF(Planilha14!$I$1:$I$150,B135,Planilha14!$R$1:RZ$150)</f>
        <v>0</v>
      </c>
      <c r="X135" s="1"/>
      <c r="Y135" s="1">
        <f>SUMIF('2026'!$I$1:$I$150,B135,'2026'!$R$1:RQ$150)</f>
        <v>0</v>
      </c>
      <c r="Z135" s="1">
        <f t="shared" si="2"/>
        <v>0</v>
      </c>
    </row>
    <row r="136" spans="1:26" x14ac:dyDescent="0.2">
      <c r="B136" t="s">
        <v>18</v>
      </c>
      <c r="I136" s="1">
        <f>SUMIF(Planilha1!$I$1:$I$150,B136,Planilha1!$R$1:RL$150)</f>
        <v>-459</v>
      </c>
      <c r="J136" s="1">
        <f>SUMIF(Planilha2!$I$1:$I$150,B136,Planilha2!$R$1:RM$150)</f>
        <v>-59</v>
      </c>
      <c r="K136" s="1">
        <f>SUMIF(Planilha3!$I$1:$I$150,B136,Planilha3!$R$1:RN$150)</f>
        <v>-49</v>
      </c>
      <c r="L136" s="1">
        <f>SUMIF(Planilha4!$I$1:$I$150,B136,Planilha4!$R$1:RO$150)</f>
        <v>-929</v>
      </c>
      <c r="M136" s="1">
        <f>SUMIF(Planilha5!$I$1:$I$150,B136,Planilha5!$R$1:RP$150)</f>
        <v>-20478.599999999999</v>
      </c>
      <c r="N136" s="1">
        <f>SUMIF(Planilha6!$I$1:$I$150,B136,Planilha6!$R$1:RQ$150)</f>
        <v>0</v>
      </c>
      <c r="O136" s="1">
        <f>SUMIF(Planilha7!$I$1:$I$150,B136,Planilha7!$R$1:RR$150)</f>
        <v>-1817.37</v>
      </c>
      <c r="P136" s="1">
        <f>SUMIF(Planilha8!$I$1:$I$150,B136,Planilha8!$R$1:RS$150)</f>
        <v>0</v>
      </c>
      <c r="Q136" s="1">
        <f>SUMIF(Planilha9!$I$1:$I$150,B136,Planilha9!$R$1:RT$150)</f>
        <v>0</v>
      </c>
      <c r="R136" s="1">
        <f>SUMIF(Planilha10!$I$1:$I$150,B136,Planilha10!$R$1:RU$150)</f>
        <v>-49</v>
      </c>
      <c r="S136" s="1">
        <f>SUMIF(Planilha11!$I$1:$I$150,B136,Planilha11!$R$1:RV$150)</f>
        <v>0</v>
      </c>
      <c r="T136" s="1">
        <f>SUMIF(Planilha12!$I$1:$I$150,B136,Planilha12!$R$1:RW$150)</f>
        <v>0</v>
      </c>
      <c r="U136" s="1"/>
      <c r="V136" s="1">
        <f>SUMIF(Planilha13!$I$1:$I$150,B136,Planilha13!$R$1:RY$150)</f>
        <v>0</v>
      </c>
      <c r="W136" s="1">
        <f>SUMIF(Planilha14!$I$1:$I$150,B136,Planilha14!$R$1:RZ$150)</f>
        <v>0</v>
      </c>
      <c r="X136" s="1"/>
      <c r="Y136" s="1">
        <f>SUMIF('2026'!$I$1:$I$150,B136,'2026'!$R$1:RQ$150)</f>
        <v>0</v>
      </c>
      <c r="Z136" s="1">
        <f t="shared" si="2"/>
        <v>0</v>
      </c>
    </row>
    <row r="137" spans="1:26" x14ac:dyDescent="0.2">
      <c r="A137" s="7" t="s">
        <v>156</v>
      </c>
      <c r="B137" s="7"/>
      <c r="C137" s="7"/>
      <c r="D137" s="7"/>
      <c r="E137" s="7"/>
      <c r="F137" s="7"/>
      <c r="G137" s="7"/>
      <c r="H137" s="7"/>
      <c r="I137" s="8">
        <f>SUMIF(Planilha1!$H$1:$H$110,A137,Planilha1!$R$1:$R$150)</f>
        <v>-7119.08</v>
      </c>
      <c r="J137" s="8">
        <f>SUMIF(Planilha2!$H$1:$H$110,A137,Planilha2!$R$1:$R$150)</f>
        <v>-13996.98</v>
      </c>
      <c r="K137" s="8">
        <f>SUMIF(Planilha3!$H$1:$H$110,A137,Planilha3!$R$1:$R$150)</f>
        <v>-13818.23</v>
      </c>
      <c r="L137" s="8">
        <f>SUMIF(Planilha4!$H$1:$H$110,A137,Planilha4!$R$1:$R$150)</f>
        <v>-13526.65</v>
      </c>
      <c r="M137" s="8">
        <f>SUMIF(Planilha5!$H$1:$H$110,A137,Planilha5!$R$1:$R$150)</f>
        <v>-10029.67</v>
      </c>
      <c r="N137" s="8">
        <f>SUMIF(Planilha6!$H$1:$H$110,A137,Planilha6!$R$1:$R$150)</f>
        <v>-10029.67</v>
      </c>
      <c r="O137" s="8">
        <f>SUMIF(Planilha7!$H$1:$H$110,A137,Planilha7!$R$1:$R$150)</f>
        <v>-10042.27</v>
      </c>
      <c r="P137" s="8">
        <f>SUMIF(Planilha8!$H$1:$H$110,A137,Planilha8!$R$1:$R$150)</f>
        <v>-10030.27</v>
      </c>
      <c r="Q137" s="8">
        <f>SUMIF(Planilha9!$H$1:$H$110,A137,Planilha9!$R$1:$R$150)</f>
        <v>-10000</v>
      </c>
      <c r="R137" s="8">
        <f>SUMIF(Planilha10!$H$1:$H$110,A137,Planilha10!$R$1:$R$150)</f>
        <v>-10029.67</v>
      </c>
      <c r="S137" s="8">
        <f>SUMIF(Planilha11!$H$1:$H$110,A137,Planilha11!$R$1:$R$150)</f>
        <v>-10279.67</v>
      </c>
      <c r="T137" s="8">
        <f>SUMIF(Planilha12!$H$1:$H$110,A137,Planilha12!$R$1:$R$150)</f>
        <v>-11887.43</v>
      </c>
      <c r="U137" s="18"/>
      <c r="V137" s="8">
        <f>SUMIF(Planilha13!$H$1:$H$110,A137,Planilha13!$R$1:$R$150)</f>
        <v>-11468.66</v>
      </c>
      <c r="W137" s="8">
        <f>SUMIF(Planilha14!$H$1:$H$110,A137,Planilha14!$R$1:$R$150)</f>
        <v>-12029.67</v>
      </c>
      <c r="X137" s="10"/>
      <c r="Y137" s="8">
        <f>SUMIF('2026'!$H:$H,A137,'2026'!$R:$R)</f>
        <v>-23498.33</v>
      </c>
      <c r="Z137" s="1">
        <f t="shared" si="2"/>
        <v>0</v>
      </c>
    </row>
    <row r="138" spans="1:26" x14ac:dyDescent="0.2">
      <c r="A138" s="3"/>
      <c r="B138" s="3" t="s">
        <v>28</v>
      </c>
      <c r="C138" s="3"/>
      <c r="D138" s="3"/>
      <c r="E138" s="3"/>
      <c r="F138" s="3"/>
      <c r="G138" s="3"/>
      <c r="H138" s="3"/>
      <c r="I138" s="11">
        <f>SUMIF(Planilha1!$I$1:$I$150,B138,Planilha1!$R$1:RL$150)</f>
        <v>-7089.41</v>
      </c>
      <c r="J138" s="11">
        <f>SUMIF(Planilha2!$I$1:$I$150,B138,Planilha2!$R$1:RM$150)</f>
        <v>-13996.98</v>
      </c>
      <c r="K138" s="11">
        <f>SUMIF(Planilha3!$I$1:$I$150,B138,Planilha3!$R$1:RN$150)</f>
        <v>-13757.47</v>
      </c>
      <c r="L138" s="11">
        <f>SUMIF(Planilha4!$I$1:$I$150,B138,Planilha4!$R$1:RO$150)</f>
        <v>-13496.98</v>
      </c>
      <c r="M138" s="11">
        <f>SUMIF(Planilha5!$I$1:$I$150,B138,Planilha5!$R$1:RP$150)</f>
        <v>-10000</v>
      </c>
      <c r="N138" s="11">
        <f>SUMIF(Planilha6!$I$1:$I$150,B138,Planilha6!$R$1:RQ$150)</f>
        <v>-10000</v>
      </c>
      <c r="O138" s="11">
        <f>SUMIF(Planilha7!$I$1:$I$150,B138,Planilha7!$R$1:RR$150)</f>
        <v>-10000</v>
      </c>
      <c r="P138" s="11">
        <f>SUMIF(Planilha8!$I$1:$I$150,B138,Planilha8!$R$1:RS$150)</f>
        <v>-10000</v>
      </c>
      <c r="Q138" s="11">
        <f>SUMIF(Planilha9!$I$1:$I$150,B138,Planilha9!$R$1:RT$150)</f>
        <v>-10000</v>
      </c>
      <c r="R138" s="11">
        <f>SUMIF(Planilha10!$I$1:$I$150,B138,Planilha10!$R$1:RU$150)</f>
        <v>-10000</v>
      </c>
      <c r="S138" s="11">
        <f>SUMIF(Planilha11!$I$1:$I$150,B138,Planilha11!$R$1:RV$150)</f>
        <v>-10279.67</v>
      </c>
      <c r="T138" s="11">
        <f>SUMIF(Planilha12!$I$1:$I$150,B138,Planilha12!$R$1:RW$150)</f>
        <v>-11857.16</v>
      </c>
      <c r="U138" s="11"/>
      <c r="V138" s="11">
        <f>SUMIF(Planilha13!$I$1:$I$150,B138,Planilha13!$R$1:RY$150)</f>
        <v>-11468.66</v>
      </c>
      <c r="W138" s="11">
        <f>SUMIF(Planilha14!$I$1:$I$150,B138,Planilha14!$R$1:RZ$150)</f>
        <v>-12029.67</v>
      </c>
      <c r="X138" s="11"/>
      <c r="Y138" s="11">
        <f>SUMIF('2026'!$I$1:$I$150,B138,'2026'!$R$1:RQ$150)</f>
        <v>-23498.33</v>
      </c>
      <c r="Z138" s="1">
        <f t="shared" si="2"/>
        <v>0</v>
      </c>
    </row>
    <row r="139" spans="1:26" x14ac:dyDescent="0.2">
      <c r="B139" t="s">
        <v>32</v>
      </c>
      <c r="I139" s="1">
        <f>SUMIF(Planilha1!$I$1:$I$150,B139,Planilha1!$R$1:RL$150)</f>
        <v>-29.67</v>
      </c>
      <c r="J139" s="1">
        <f>SUMIF(Planilha2!$I$1:$I$150,B139,Planilha2!$R$1:RM$150)</f>
        <v>0</v>
      </c>
      <c r="K139" s="1">
        <f>SUMIF(Planilha3!$I$1:$I$150,B139,Planilha3!$R$1:RN$150)</f>
        <v>-60.76</v>
      </c>
      <c r="L139" s="1">
        <f>SUMIF(Planilha4!$I$1:$I$150,B139,Planilha4!$R$1:RO$150)</f>
        <v>-29.67</v>
      </c>
      <c r="M139" s="1">
        <f>SUMIF(Planilha5!$I$1:$I$150,B139,Planilha5!$R$1:RP$150)</f>
        <v>-29.67</v>
      </c>
      <c r="N139" s="1">
        <f>SUMIF(Planilha6!$I$1:$I$150,B139,Planilha6!$R$1:RQ$150)</f>
        <v>-29.67</v>
      </c>
      <c r="O139" s="1">
        <f>SUMIF(Planilha7!$I$1:$I$150,B139,Planilha7!$R$1:RR$150)</f>
        <v>-42.27</v>
      </c>
      <c r="P139" s="1">
        <f>SUMIF(Planilha8!$I$1:$I$150,B139,Planilha8!$R$1:RS$150)</f>
        <v>-30.27</v>
      </c>
      <c r="Q139" s="1">
        <f>SUMIF(Planilha9!$I$1:$I$150,B139,Planilha9!$R$1:RT$150)</f>
        <v>0</v>
      </c>
      <c r="R139" s="1">
        <f>SUMIF(Planilha10!$I$1:$I$150,B139,Planilha10!$R$1:RU$150)</f>
        <v>-29.67</v>
      </c>
      <c r="S139" s="1">
        <f>SUMIF(Planilha11!$I$1:$I$150,B139,Planilha11!$R$1:RV$150)</f>
        <v>0</v>
      </c>
      <c r="T139" s="1">
        <f>SUMIF(Planilha12!$I$1:$I$150,B139,Planilha12!$R$1:RW$150)</f>
        <v>-30.27</v>
      </c>
      <c r="U139" s="1"/>
      <c r="V139" s="1">
        <f>SUMIF(Planilha13!$I$1:$I$150,B139,Planilha13!$R$1:RY$150)</f>
        <v>0</v>
      </c>
      <c r="W139" s="1">
        <f>SUMIF(Planilha14!$I$1:$I$150,B139,Planilha14!$R$1:RZ$150)</f>
        <v>0</v>
      </c>
      <c r="X139" s="1"/>
      <c r="Y139" s="1">
        <f>SUMIF('2026'!$I$1:$I$150,B139,'2026'!$R$1:RQ$150)</f>
        <v>0</v>
      </c>
      <c r="Z139" s="1">
        <f t="shared" si="2"/>
        <v>0</v>
      </c>
    </row>
    <row r="140" spans="1:26" x14ac:dyDescent="0.2">
      <c r="A140" s="7" t="s">
        <v>159</v>
      </c>
      <c r="B140" s="7"/>
      <c r="C140" s="7"/>
      <c r="D140" s="7"/>
      <c r="E140" s="7"/>
      <c r="F140" s="7"/>
      <c r="G140" s="7"/>
      <c r="H140" s="7"/>
      <c r="I140" s="8">
        <f>SUMIF(Planilha1!$H$1:$H$110,A140,Planilha1!$R$1:$R$150)</f>
        <v>-6054</v>
      </c>
      <c r="J140" s="8">
        <f>SUMIF(Planilha2!$H$1:$H$110,A140,Planilha2!$R$1:$R$150)</f>
        <v>-4519</v>
      </c>
      <c r="K140" s="8">
        <f>SUMIF(Planilha3!$H$1:$H$110,A140,Planilha3!$R$1:$R$150)</f>
        <v>-4519</v>
      </c>
      <c r="L140" s="8">
        <f>SUMIF(Planilha4!$H$1:$H$110,A140,Planilha4!$R$1:$R$150)</f>
        <v>-4915</v>
      </c>
      <c r="M140" s="8">
        <f>SUMIF(Planilha5!$H$1:$H$110,A140,Planilha5!$R$1:$R$150)</f>
        <v>-4519</v>
      </c>
      <c r="N140" s="8">
        <f>SUMIF(Planilha6!$H$1:$H$110,A140,Planilha6!$R$1:$R$150)</f>
        <v>-4519</v>
      </c>
      <c r="O140" s="8">
        <f>SUMIF(Planilha7!$H$1:$H$110,A140,Planilha7!$R$1:$R$150)</f>
        <v>-4519</v>
      </c>
      <c r="P140" s="8">
        <f>SUMIF(Planilha8!$H$1:$H$110,A140,Planilha8!$R$1:$R$150)</f>
        <v>-4519</v>
      </c>
      <c r="Q140" s="8">
        <f>SUMIF(Planilha9!$H$1:$H$110,A140,Planilha9!$R$1:$R$150)</f>
        <v>-4519</v>
      </c>
      <c r="R140" s="8">
        <f>SUMIF(Planilha10!$H$1:$H$110,A140,Planilha10!$R$1:$R$150)</f>
        <v>-4560.1400000000003</v>
      </c>
      <c r="S140" s="8">
        <f>SUMIF(Planilha11!$H$1:$H$110,A140,Planilha11!$R$1:$R$150)</f>
        <v>-6505</v>
      </c>
      <c r="T140" s="8">
        <f>SUMIF(Planilha12!$H$1:$H$110,A140,Planilha12!$R$1:$R$150)</f>
        <v>-6505</v>
      </c>
      <c r="U140" s="18"/>
      <c r="V140" s="8">
        <f>SUMIF(Planilha13!$H$1:$H$110,A140,Planilha13!$R$1:$R$150)</f>
        <v>-6505</v>
      </c>
      <c r="W140" s="8">
        <f>SUMIF(Planilha14!$H$1:$H$110,A140,Planilha14!$R$1:$R$150)</f>
        <v>-4826</v>
      </c>
      <c r="X140" s="10"/>
      <c r="Y140" s="8">
        <f>SUMIF('2026'!$H:$H,A140,'2026'!$R:$R)</f>
        <v>-11331</v>
      </c>
      <c r="Z140" s="1">
        <f t="shared" si="2"/>
        <v>0</v>
      </c>
    </row>
    <row r="141" spans="1:26" x14ac:dyDescent="0.2">
      <c r="A141" s="3"/>
      <c r="B141" s="3" t="s">
        <v>21</v>
      </c>
      <c r="C141" s="3"/>
      <c r="D141" s="3"/>
      <c r="E141" s="3"/>
      <c r="F141" s="3"/>
      <c r="G141" s="3"/>
      <c r="H141" s="3"/>
      <c r="I141" s="11">
        <f>SUMIF(Planilha1!$I$1:$I$150,B141,Planilha1!$R$1:RL$150)</f>
        <v>-6054</v>
      </c>
      <c r="J141" s="11">
        <f>SUMIF(Planilha2!$I$1:$I$150,B141,Planilha2!$R$1:RM$150)</f>
        <v>-4519</v>
      </c>
      <c r="K141" s="11">
        <f>SUMIF(Planilha3!$I$1:$I$150,B141,Planilha3!$R$1:RN$150)</f>
        <v>-4519</v>
      </c>
      <c r="L141" s="11">
        <f>SUMIF(Planilha4!$I$1:$I$150,B141,Planilha4!$R$1:RO$150)</f>
        <v>-4915</v>
      </c>
      <c r="M141" s="11">
        <f>SUMIF(Planilha5!$I$1:$I$150,B141,Planilha5!$R$1:RP$150)</f>
        <v>-4519</v>
      </c>
      <c r="N141" s="11">
        <f>SUMIF(Planilha6!$I$1:$I$150,B141,Planilha6!$R$1:RQ$150)</f>
        <v>-4519</v>
      </c>
      <c r="O141" s="11">
        <f>SUMIF(Planilha7!$I$1:$I$150,B141,Planilha7!$R$1:RR$150)</f>
        <v>-4519</v>
      </c>
      <c r="P141" s="11">
        <f>SUMIF(Planilha8!$I$1:$I$150,B141,Planilha8!$R$1:RS$150)</f>
        <v>-4519</v>
      </c>
      <c r="Q141" s="11">
        <f>SUMIF(Planilha9!$I$1:$I$150,B141,Planilha9!$R$1:RT$150)</f>
        <v>-4519</v>
      </c>
      <c r="R141" s="11">
        <f>SUMIF(Planilha10!$I$1:$I$150,B141,Planilha10!$R$1:RU$150)</f>
        <v>-4560.1400000000003</v>
      </c>
      <c r="S141" s="11">
        <f>SUMIF(Planilha11!$I$1:$I$150,B141,Planilha11!$R$1:RV$150)</f>
        <v>-6505</v>
      </c>
      <c r="T141" s="11">
        <f>SUMIF(Planilha12!$I$1:$I$150,B141,Planilha12!$R$1:RW$150)</f>
        <v>-6505</v>
      </c>
      <c r="U141" s="11"/>
      <c r="V141" s="11">
        <f>SUMIF(Planilha13!$I$1:$I$150,B141,Planilha13!$R$1:RY$150)</f>
        <v>-6505</v>
      </c>
      <c r="W141" s="11">
        <f>SUMIF(Planilha14!$I$1:$I$150,B141,Planilha14!$R$1:RZ$150)</f>
        <v>-4826</v>
      </c>
      <c r="X141" s="11"/>
      <c r="Y141" s="11">
        <f>SUMIF('2026'!$I$1:$I$150,B141,'2026'!$R$1:RQ$150)</f>
        <v>-11331</v>
      </c>
      <c r="Z141" s="1">
        <f t="shared" si="2"/>
        <v>0</v>
      </c>
    </row>
    <row r="142" spans="1:26" x14ac:dyDescent="0.2">
      <c r="A142" s="7" t="s">
        <v>161</v>
      </c>
      <c r="B142" s="7"/>
      <c r="C142" s="7"/>
      <c r="D142" s="7"/>
      <c r="E142" s="7"/>
      <c r="F142" s="7"/>
      <c r="G142" s="7"/>
      <c r="H142" s="7"/>
      <c r="I142" s="8">
        <f>SUMIF(Planilha1!$H$1:$H$110,A142,Planilha1!$R$1:$R$150)</f>
        <v>-42.64</v>
      </c>
      <c r="J142" s="8">
        <f>SUMIF(Planilha2!$H$1:$H$110,A142,Planilha2!$R$1:$R$150)</f>
        <v>-2112.0300000000002</v>
      </c>
      <c r="K142" s="8">
        <f>SUMIF(Planilha3!$H$1:$H$110,A142,Planilha3!$R$1:$R$150)</f>
        <v>-1209.98</v>
      </c>
      <c r="L142" s="8">
        <f>SUMIF(Planilha4!$H$1:$H$110,A142,Planilha4!$R$1:$R$150)</f>
        <v>-5483.69</v>
      </c>
      <c r="M142" s="8">
        <f>SUMIF(Planilha5!$H$1:$H$110,A142,Planilha5!$R$1:$R$150)</f>
        <v>-2954.27</v>
      </c>
      <c r="N142" s="8">
        <f>SUMIF(Planilha6!$H$1:$H$110,A142,Planilha6!$R$1:$R$150)</f>
        <v>-360.59</v>
      </c>
      <c r="O142" s="8">
        <f>+O143+O144</f>
        <v>-2837.89</v>
      </c>
      <c r="P142" s="8">
        <f>SUMIF(Planilha8!$H$1:$H$110,A142,Planilha8!$R$1:$R$150)</f>
        <v>-326.8</v>
      </c>
      <c r="Q142" s="8">
        <f>SUMIF(Planilha9!$H$1:$H$110,A142,Planilha9!$R$1:$R$150)</f>
        <v>-1174.48</v>
      </c>
      <c r="R142" s="8">
        <f>SUMIF(Planilha10!$H$1:$H$110,A142,Planilha10!$R$1:$R$150)</f>
        <v>-6730.92</v>
      </c>
      <c r="S142" s="8">
        <f>SUMIF(Planilha11!$H$1:$H$110,A142,Planilha11!$R$1:$R$150)</f>
        <v>-4485.54</v>
      </c>
      <c r="T142" s="8">
        <f>SUMIF(Planilha12!$H$1:$H$150,A142,Planilha12!$R$1:$R$150)</f>
        <v>-544.29</v>
      </c>
      <c r="U142" s="18"/>
      <c r="V142" s="8">
        <f>SUMIF(Planilha13!$H$1:$H$150,A142,Planilha13!$R$1:$R$150)</f>
        <v>-6628.8</v>
      </c>
      <c r="W142" s="8">
        <f>SUMIF(Planilha14!$H$1:$H$150,A142,Planilha14!$R$1:$R$150)</f>
        <v>-4379.2</v>
      </c>
      <c r="X142" s="10"/>
      <c r="Y142" s="8">
        <f>SUMIF('2026'!$H:$H,A142,'2026'!$R:$R)</f>
        <v>-11008</v>
      </c>
      <c r="Z142" s="1">
        <f t="shared" si="2"/>
        <v>0</v>
      </c>
    </row>
    <row r="143" spans="1:26" x14ac:dyDescent="0.2">
      <c r="B143" t="s">
        <v>23</v>
      </c>
      <c r="I143" s="1">
        <f>SUMIF(Planilha1!$I$1:$I$150,B143,Planilha1!$R$1:RL$150)</f>
        <v>-42.64</v>
      </c>
      <c r="J143" s="1">
        <f>SUMIF(Planilha2!$I$1:$I$150,B143,Planilha2!$R$1:RM$150)</f>
        <v>-1962.03</v>
      </c>
      <c r="K143" s="1">
        <f>SUMIF(Planilha3!$I$1:$I$150,B143,Planilha3!$R$1:RN$150)</f>
        <v>-1209.98</v>
      </c>
      <c r="L143" s="1">
        <f>SUMIF(Planilha4!$I$1:$I$150,B143,Planilha4!$R$1:RO$150)</f>
        <v>-5483.69</v>
      </c>
      <c r="M143" s="1">
        <f>SUMIF(Planilha5!$I$1:$I$150,B143,Planilha5!$R$1:RP$150)</f>
        <v>-2954.27</v>
      </c>
      <c r="N143" s="1">
        <f>SUMIF(Planilha6!$I$1:$I$150,B143,Planilha6!$R$1:RQ$150)</f>
        <v>-360.59</v>
      </c>
      <c r="O143" s="1">
        <f>SUMIF(Planilha7!$I$1:$I$150,B143,Planilha7!$R$1:RR$150)</f>
        <v>-2837.89</v>
      </c>
      <c r="P143" s="1">
        <f>SUMIF(Planilha8!$I$1:$I$150,B143,Planilha8!$R$1:RS$150)</f>
        <v>-326.8</v>
      </c>
      <c r="Q143" s="1">
        <f>SUMIF(Planilha9!$I$1:$I$150,B143,Planilha9!$R$1:RT$150)</f>
        <v>-1174.48</v>
      </c>
      <c r="R143" s="1">
        <f>SUMIF(Planilha10!$I$1:$I$150,B143,Planilha10!$R$1:RU$150)</f>
        <v>-6730.92</v>
      </c>
      <c r="S143" s="1">
        <f>SUMIF(Planilha11!$I$1:$I$150,B143,Planilha11!$R$1:RV$150)</f>
        <v>-4485.54</v>
      </c>
      <c r="T143" s="1">
        <f>SUMIF(Planilha12!$I$1:$I$150,B143,Planilha12!$R$1:RW$150)</f>
        <v>-544.29</v>
      </c>
      <c r="U143" s="1"/>
      <c r="V143" s="1">
        <f>SUMIF(Planilha13!$I$1:$I$150,B143,Planilha13!$R$1:RY$150)</f>
        <v>-6628.8</v>
      </c>
      <c r="W143" s="1">
        <f>SUMIF(Planilha14!$I$1:$I$150,B143,Planilha14!$R$1:RZ$150)</f>
        <v>-4379.2</v>
      </c>
      <c r="X143" s="1"/>
      <c r="Y143" s="1">
        <f>SUMIF('2026'!$I$1:$I$150,B143,'2026'!$R$1:RQ$150)</f>
        <v>-11008</v>
      </c>
      <c r="Z143" s="1">
        <f t="shared" si="2"/>
        <v>0</v>
      </c>
    </row>
    <row r="144" spans="1:26" x14ac:dyDescent="0.2">
      <c r="A144" s="3"/>
      <c r="B144" s="3" t="s">
        <v>46</v>
      </c>
      <c r="C144" s="3"/>
      <c r="D144" s="3"/>
      <c r="E144" s="3"/>
      <c r="F144" s="3"/>
      <c r="G144" s="3"/>
      <c r="H144" s="3"/>
      <c r="I144" s="11">
        <f>SUMIF(Planilha1!$I$1:$I$150,B144,Planilha1!$R$1:RL$150)</f>
        <v>0</v>
      </c>
      <c r="J144" s="11">
        <f>SUMIF(Planilha2!$I$1:$I$150,B144,Planilha2!$R$1:RM$150)</f>
        <v>-150</v>
      </c>
      <c r="K144" s="11">
        <f>SUMIF(Planilha3!$I$1:$I$150,B144,Planilha3!$R$1:RN$150)</f>
        <v>0</v>
      </c>
      <c r="L144" s="11">
        <f>SUMIF(Planilha4!$I$1:$I$150,B144,Planilha4!$R$1:RO$150)</f>
        <v>0</v>
      </c>
      <c r="M144" s="11">
        <f>SUMIF(Planilha5!$I$1:$I$150,B144,Planilha5!$R$1:RP$150)</f>
        <v>0</v>
      </c>
      <c r="N144" s="11">
        <f>SUMIF(Planilha6!$I$1:$I$150,B144,Planilha6!$R$1:RQ$150)</f>
        <v>0</v>
      </c>
      <c r="O144" s="11">
        <f>SUMIF(Planilha7!$I$1:$I$150,B144,Planilha7!$R$1:RR$150)</f>
        <v>0</v>
      </c>
      <c r="P144" s="11">
        <f>SUMIF(Planilha8!$I$1:$I$150,B144,Planilha8!$R$1:RS$150)</f>
        <v>0</v>
      </c>
      <c r="Q144" s="11">
        <f>SUMIF(Planilha9!$I$1:$I$150,B144,Planilha9!$R$1:RT$150)</f>
        <v>0</v>
      </c>
      <c r="R144" s="11">
        <f>SUMIF(Planilha10!$I$1:$I$150,B144,Planilha10!$R$1:RU$150)</f>
        <v>0</v>
      </c>
      <c r="S144" s="11">
        <f>SUMIF(Planilha11!$I$1:$I$150,B144,Planilha11!$R$1:RV$150)</f>
        <v>0</v>
      </c>
      <c r="T144" s="11">
        <f>SUMIF(Planilha12!$I$1:$I$150,B144,Planilha12!$R$1:RW$150)</f>
        <v>0</v>
      </c>
      <c r="U144" s="11"/>
      <c r="V144" s="11">
        <f>SUMIF(Planilha13!$I$1:$I$150,B144,Planilha13!$R$1:RY$150)</f>
        <v>0</v>
      </c>
      <c r="W144" s="11">
        <f>SUMIF(Planilha14!$I$1:$I$150,B144,Planilha14!$R$1:RZ$150)</f>
        <v>0</v>
      </c>
      <c r="X144" s="11"/>
      <c r="Y144" s="11">
        <f>SUMIF('2026'!$I$1:$I$150,B144,'2026'!$R$1:RQ$150)</f>
        <v>0</v>
      </c>
      <c r="Z144" s="1">
        <f t="shared" si="2"/>
        <v>0</v>
      </c>
    </row>
    <row r="145" spans="1:26" x14ac:dyDescent="0.2">
      <c r="A145" s="7" t="s">
        <v>163</v>
      </c>
      <c r="B145" s="7"/>
      <c r="C145" s="7"/>
      <c r="D145" s="7"/>
      <c r="E145" s="7"/>
      <c r="F145" s="7"/>
      <c r="G145" s="7"/>
      <c r="H145" s="7"/>
      <c r="I145" s="8">
        <f>SUMIF(Planilha1!$H$1:$H$110,A145,Planilha1!$R$1:$R$150)</f>
        <v>-3891.03</v>
      </c>
      <c r="J145" s="8">
        <f>SUMIF(Planilha2!$H$1:$H$110,A145,Planilha2!$R$1:$R$150)</f>
        <v>-3994.4</v>
      </c>
      <c r="K145" s="8">
        <f>SUMIF(Planilha3!$H$1:$H$110,A145,Planilha3!$R$1:$R$150)</f>
        <v>-4273.55</v>
      </c>
      <c r="L145" s="8">
        <f>SUMIF(Planilha4!$H$1:$H$110,A145,Planilha4!$R$1:$R$150)</f>
        <v>-666.66</v>
      </c>
      <c r="M145" s="8">
        <f>SUMIF(Planilha5!$H$1:$H$110,A145,Planilha5!$R$1:$R$150)</f>
        <v>-2435.4699999999998</v>
      </c>
      <c r="N145" s="8">
        <f>SUMIF(Planilha6!$H$1:$H$110,A145,Planilha6!$R$1:$R$150)</f>
        <v>-3427.01</v>
      </c>
      <c r="O145" s="8">
        <f>SUM(O146:O148)</f>
        <v>-3736.53</v>
      </c>
      <c r="P145" s="8">
        <f>SUMIF(Planilha8!$H$1:$H$150,A145,Planilha8!$R$1:$R$150)</f>
        <v>-5049.2700000000004</v>
      </c>
      <c r="Q145" s="8">
        <f>SUMIF(Planilha9!$H$1:$H$150,A145,Planilha9!$R$1:$R$150)</f>
        <v>-4848.3900000000003</v>
      </c>
      <c r="R145" s="8">
        <f>SUMIF(Planilha10!$H$1:$H$150,A145,Planilha10!$R$1:$R$150)</f>
        <v>-4525.66</v>
      </c>
      <c r="S145" s="8">
        <f>SUMIF(Planilha11!$H$1:$H$150,A145,Planilha11!$R$1:$R$150)</f>
        <v>-4443.6000000000004</v>
      </c>
      <c r="T145" s="8">
        <f>SUMIF(Planilha12!$H$1:$H$150,A145,Planilha12!$R$1:$R$150)</f>
        <v>-4496.53</v>
      </c>
      <c r="U145" s="18"/>
      <c r="V145" s="8">
        <f>SUMIF(Planilha13!$H$1:$H$150,A145,Planilha13!$R$1:$R$150)</f>
        <v>-4151.91</v>
      </c>
      <c r="W145" s="8">
        <f>SUMIF(Planilha14!$H$1:$H$150,A145,Planilha14!$R$1:$R$150)</f>
        <v>-577.4</v>
      </c>
      <c r="X145" s="10"/>
      <c r="Y145" s="8">
        <f>SUMIF('2026'!$H:$H,A145,'2026'!$R:$R)</f>
        <v>-4729.3100000000004</v>
      </c>
      <c r="Z145" s="1">
        <f t="shared" si="2"/>
        <v>0</v>
      </c>
    </row>
    <row r="146" spans="1:26" x14ac:dyDescent="0.2">
      <c r="B146" t="s">
        <v>49</v>
      </c>
      <c r="I146" s="1">
        <f>SUMIF(Planilha1!$I$1:$I$150,B146,Planilha1!$R$1:RL$150)</f>
        <v>-3788.33</v>
      </c>
      <c r="J146" s="1">
        <f>SUMIF(Planilha2!$I$1:$I$150,B146,Planilha2!$R$1:RM$150)</f>
        <v>-3840.44</v>
      </c>
      <c r="K146" s="1">
        <f>SUMIF(Planilha3!$I$1:$I$150,B146,Planilha3!$R$1:RN$150)</f>
        <v>-3970.57</v>
      </c>
      <c r="L146" s="1">
        <f>SUMIF(Planilha4!$I$1:$I$150,B146,Planilha4!$R$1:RO$150)</f>
        <v>-133.91999999999999</v>
      </c>
      <c r="M146" s="1">
        <f>SUMIF(Planilha5!$I$1:$I$150,B146,Planilha5!$R$1:RP$150)</f>
        <v>0</v>
      </c>
      <c r="N146" s="1">
        <f>SUMIF(Planilha6!$I$1:$I$150,B146,Planilha6!$R$1:RQ$150)</f>
        <v>-3133.06</v>
      </c>
      <c r="O146" s="1">
        <f>SUMIF(Planilha7!$I$1:$I$150,B146,Planilha7!$R$1:RR$150)</f>
        <v>-3230.75</v>
      </c>
      <c r="P146" s="1">
        <f>SUMIF(Planilha8!$I$1:$I$150,B146,Planilha8!$R$1:RS$150)</f>
        <v>-3736.75</v>
      </c>
      <c r="Q146" s="1">
        <f>SUMIF(Planilha9!$I$1:$I$150,B146,Planilha9!$R$1:RT$150)</f>
        <v>-3810.84</v>
      </c>
      <c r="R146" s="1">
        <f>SUMIF(Planilha10!$I$1:$I$150,B146,Planilha10!$R$1:RU$150)</f>
        <v>-3813.83</v>
      </c>
      <c r="S146" s="1">
        <f>SUMIF(Planilha11!$I$1:$I$150,B146,Planilha11!$R$1:RV$150)</f>
        <v>-3675.66</v>
      </c>
      <c r="T146" s="1">
        <f>SUMIF(Planilha12!$I$1:$I$150,B146,Planilha12!$R$1:RW$150)</f>
        <v>-3657.06</v>
      </c>
      <c r="U146" s="1"/>
      <c r="V146" s="1">
        <f>SUMIF(Planilha13!$I$1:$I$150,B146,Planilha13!$R$1:RY$150)</f>
        <v>-3552.75</v>
      </c>
      <c r="W146" s="1">
        <f>SUMIF(Planilha14!$I$1:$I$150,B146,Planilha14!$R$1:RZ$150)</f>
        <v>0</v>
      </c>
      <c r="X146" s="1"/>
      <c r="Y146" s="1">
        <f>SUMIF('2026'!$I$1:$I$150,B146,'2026'!$R$1:RQ$150)</f>
        <v>-3552.75</v>
      </c>
      <c r="Z146" s="1">
        <f t="shared" si="2"/>
        <v>0</v>
      </c>
    </row>
    <row r="147" spans="1:26" x14ac:dyDescent="0.2">
      <c r="A147" s="3"/>
      <c r="B147" s="3" t="s">
        <v>24</v>
      </c>
      <c r="C147" s="3"/>
      <c r="D147" s="3"/>
      <c r="E147" s="3"/>
      <c r="F147" s="3"/>
      <c r="G147" s="3"/>
      <c r="H147" s="3"/>
      <c r="I147" s="11">
        <f>SUMIF(Planilha1!$I$1:$I$150,B147,Planilha1!$R$1:RL$150)</f>
        <v>-102.7</v>
      </c>
      <c r="J147" s="11">
        <f>SUMIF(Planilha2!$I$1:$I$150,B147,Planilha2!$R$1:RM$150)</f>
        <v>-153.96</v>
      </c>
      <c r="K147" s="11">
        <f>SUMIF(Planilha3!$I$1:$I$150,B147,Planilha3!$R$1:RN$150)</f>
        <v>-153.96</v>
      </c>
      <c r="L147" s="11">
        <f>SUMIF(Planilha4!$I$1:$I$150,B147,Planilha4!$R$1:RO$150)</f>
        <v>-184.07</v>
      </c>
      <c r="M147" s="11">
        <f>SUMIF(Planilha5!$I$1:$I$150,B147,Planilha5!$R$1:RP$150)</f>
        <v>0</v>
      </c>
      <c r="N147" s="11">
        <f>SUMIF(Planilha6!$I$1:$I$150,B147,Planilha6!$R$1:RQ$150)</f>
        <v>-153.96</v>
      </c>
      <c r="O147" s="11">
        <f>SUMIF(Planilha7!$I$1:$I$150,B147,Planilha7!$R$1:RR$150)</f>
        <v>-153.96</v>
      </c>
      <c r="P147" s="11">
        <f>SUMIF(Planilha8!$I$1:$I$150,B147,Planilha8!$R$1:RS$150)</f>
        <v>-1172.53</v>
      </c>
      <c r="Q147" s="11">
        <f>SUMIF(Planilha9!$I$1:$I$150,B147,Planilha9!$R$1:RT$150)</f>
        <v>-897.56</v>
      </c>
      <c r="R147" s="11">
        <f>SUMIF(Planilha10!$I$1:$I$150,B147,Planilha10!$R$1:RU$150)</f>
        <v>-570.48</v>
      </c>
      <c r="S147" s="11">
        <f>SUMIF(Planilha11!$I$1:$I$150,B147,Planilha11!$R$1:RV$150)</f>
        <v>-623.85</v>
      </c>
      <c r="T147" s="11">
        <f>SUMIF(Planilha12!$I$1:$I$150,B147,Planilha12!$R$1:RW$150)</f>
        <v>-695.38</v>
      </c>
      <c r="U147" s="11"/>
      <c r="V147" s="11">
        <f>SUMIF(Planilha13!$I$1:$I$150,B147,Planilha13!$R$1:RY$150)</f>
        <v>-455.07</v>
      </c>
      <c r="W147" s="11">
        <f>SUMIF(Planilha14!$I$1:$I$150,B147,Planilha14!$R$1:RZ$150)</f>
        <v>-433.31</v>
      </c>
      <c r="X147" s="11"/>
      <c r="Y147" s="11">
        <f>SUMIF('2026'!$I$1:$I$150,B147,'2026'!$R$1:RQ$150)</f>
        <v>-888.38</v>
      </c>
      <c r="Z147" s="1">
        <f t="shared" si="2"/>
        <v>0</v>
      </c>
    </row>
    <row r="148" spans="1:26" x14ac:dyDescent="0.2">
      <c r="B148" t="s">
        <v>50</v>
      </c>
      <c r="I148" s="1">
        <f>SUMIF(Planilha1!$I$1:$I$150,B148,Planilha1!$R$1:RL$150)</f>
        <v>0</v>
      </c>
      <c r="J148" s="1">
        <f>SUMIF(Planilha2!$I$1:$I$150,B148,Planilha2!$R$1:RM$150)</f>
        <v>0</v>
      </c>
      <c r="K148" s="1">
        <f>SUMIF(Planilha3!$I$1:$I$150,B148,Planilha3!$R$1:RN$150)</f>
        <v>-149.02000000000001</v>
      </c>
      <c r="L148" s="1">
        <f>SUMIF(Planilha4!$I$1:$I$150,B148,Planilha4!$R$1:RO$150)</f>
        <v>-348.67</v>
      </c>
      <c r="M148" s="1">
        <f>SUMIF(Planilha5!$I$1:$I$150,B148,Planilha5!$R$1:RP$150)</f>
        <v>-2435.4699999999998</v>
      </c>
      <c r="N148" s="1">
        <f>SUMIF(Planilha6!$I$1:$I$150,B148,Planilha6!$R$1:RQ$150)</f>
        <v>-139.99</v>
      </c>
      <c r="O148" s="1">
        <f>SUMIF(Planilha7!$I$1:$I$150,B148,Planilha7!$R$1:RR$150)</f>
        <v>-351.82</v>
      </c>
      <c r="P148" s="1">
        <f>SUMIF(Planilha8!$I$1:$I$150,B148,Planilha8!$R$1:RS$150)</f>
        <v>-139.99</v>
      </c>
      <c r="Q148" s="1">
        <f>SUMIF(Planilha9!$I$1:$I$150,B148,Planilha9!$R$1:RT$150)</f>
        <v>-139.99</v>
      </c>
      <c r="R148" s="1">
        <f>SUMIF(Planilha10!$I$1:$I$150,B148,Planilha10!$R$1:RU$150)</f>
        <v>-141.35</v>
      </c>
      <c r="S148" s="1">
        <f>SUMIF(Planilha11!$I$1:$I$150,B148,Planilha11!$R$1:RV$150)</f>
        <v>-144.09</v>
      </c>
      <c r="T148" s="1">
        <f>SUMIF(Planilha12!$I$1:$I$150,B148,Planilha12!$R$1:RW$150)</f>
        <v>-144.09</v>
      </c>
      <c r="U148" s="1"/>
      <c r="V148" s="1">
        <f>SUMIF(Planilha13!$I$1:$I$150,B148,Planilha13!$R$1:RY$150)</f>
        <v>-144.09</v>
      </c>
      <c r="W148" s="1">
        <f>SUMIF(Planilha14!$I$1:$I$150,B148,Planilha14!$R$1:RZ$150)</f>
        <v>-144.09</v>
      </c>
      <c r="X148" s="1"/>
      <c r="Y148" s="1">
        <f>SUMIF('2026'!$I$1:$I$150,B148,'2026'!$R$1:RQ$150)</f>
        <v>-288.18</v>
      </c>
      <c r="Z148" s="1">
        <f t="shared" si="2"/>
        <v>0</v>
      </c>
    </row>
    <row r="149" spans="1:26" x14ac:dyDescent="0.2">
      <c r="A149" s="7" t="s">
        <v>127</v>
      </c>
      <c r="B149" s="7"/>
      <c r="C149" s="7"/>
      <c r="D149" s="7"/>
      <c r="E149" s="7"/>
      <c r="F149" s="7"/>
      <c r="G149" s="7"/>
      <c r="H149" s="7"/>
      <c r="I149" s="8">
        <f>SUMIF(Planilha1!$H$1:$H$110,A149,Planilha1!$R$1:$R$150)</f>
        <v>-8504.58</v>
      </c>
      <c r="J149" s="8">
        <f>SUMIF(Planilha2!$H$1:$H$110,A149,Planilha2!$R$1:$R$150)</f>
        <v>-5478.23</v>
      </c>
      <c r="K149" s="8">
        <f>SUMIF(Planilha3!$H$1:$H$110,A149,Planilha3!$R$1:$R$150)</f>
        <v>-3440.82</v>
      </c>
      <c r="L149" s="8">
        <f>SUMIF(Planilha4!$H$1:$H$150,A149,Planilha4!$R$1:$R$150)</f>
        <v>-5542.39</v>
      </c>
      <c r="M149" s="8">
        <f>SUMIF(Planilha5!$H$1:$H$150,A149,Planilha5!$R$1:$R$150)</f>
        <v>-8517.58</v>
      </c>
      <c r="N149" s="8">
        <f>SUMIF(Planilha6!$H$1:$H$150,A149,Planilha6!$R$1:$R$150)</f>
        <v>-10535.89</v>
      </c>
      <c r="O149" s="8">
        <f>SUMIF(Planilha7!$H$1:$H$150,A149,Planilha7!$R$1:$R$150)</f>
        <v>-13672.22</v>
      </c>
      <c r="P149" s="8">
        <f>SUMIF(Planilha8!$H$1:$H$150,A149,Planilha8!$R$1:$R$150)</f>
        <v>-23729.93</v>
      </c>
      <c r="Q149" s="8">
        <f>SUMIF(Planilha9!$H$1:$H$150,A149,Planilha9!$R$1:$R$150)</f>
        <v>-14131.61</v>
      </c>
      <c r="R149" s="8">
        <f>SUMIF(Planilha10!$H$1:$H$150,A149,Planilha10!$R$1:$R$150)</f>
        <v>-13670.84</v>
      </c>
      <c r="S149" s="8">
        <f>SUMIF(Planilha11!$H$1:$H$150,A149,Planilha11!$R$1:$R$150)</f>
        <v>-17911.5</v>
      </c>
      <c r="T149" s="8">
        <f>SUMIF(Planilha12!$H$1:$H$150,A149,Planilha12!$R$1:$R$150)</f>
        <v>-15566.98</v>
      </c>
      <c r="U149" s="18"/>
      <c r="V149" s="8">
        <f>SUMIF(Planilha13!$H$1:$H$150,A149,Planilha13!$R$1:$R$150)</f>
        <v>-15649.97</v>
      </c>
      <c r="W149" s="8">
        <f>SUMIF(Planilha14!$H$1:$H$150,A149,Planilha14!$R$1:$R$150)</f>
        <v>-15915.1</v>
      </c>
      <c r="X149" s="10"/>
      <c r="Y149" s="8">
        <f>SUMIF('2026'!$H:$H,A149,'2026'!$R:$R)</f>
        <v>-31565.07</v>
      </c>
      <c r="Z149" s="1">
        <f t="shared" si="2"/>
        <v>0</v>
      </c>
    </row>
    <row r="150" spans="1:26" x14ac:dyDescent="0.2">
      <c r="A150" s="3"/>
      <c r="B150" s="3" t="s">
        <v>34</v>
      </c>
      <c r="C150" s="3"/>
      <c r="D150" s="3"/>
      <c r="E150" s="3"/>
      <c r="F150" s="3"/>
      <c r="G150" s="3"/>
      <c r="H150" s="3"/>
      <c r="I150" s="11">
        <f>SUMIF(Planilha1!$I$1:$I$150,B150,Planilha1!$R$1:RL$150)</f>
        <v>-8504.58</v>
      </c>
      <c r="J150" s="11">
        <f>SUMIF(Planilha2!$I$1:$I$150,B150,Planilha2!$R$1:RM$150)</f>
        <v>-5478.23</v>
      </c>
      <c r="K150" s="11">
        <f>SUMIF(Planilha3!$I$1:$I$150,B150,Planilha3!$R$1:RN$150)</f>
        <v>-3440.82</v>
      </c>
      <c r="L150" s="11">
        <f>SUMIF(Planilha4!$I$1:$I$150,B150,Planilha4!$R$1:RO$150)</f>
        <v>-5542.39</v>
      </c>
      <c r="M150" s="11">
        <f>SUMIF(Planilha5!$I$1:$I$150,B150,Planilha5!$R$1:RP$150)</f>
        <v>-8517.58</v>
      </c>
      <c r="N150" s="11">
        <f>SUMIF(Planilha6!$I$1:$I$150,B150,Planilha6!$R$1:RQ$150)</f>
        <v>-10535.89</v>
      </c>
      <c r="O150" s="11">
        <f>SUMIF(Planilha7!$I$1:$I$150,B150,Planilha7!$R$1:RR$150)</f>
        <v>-13672.22</v>
      </c>
      <c r="P150" s="11">
        <f>SUMIF(Planilha8!$I$1:$I$150,B150,Planilha8!$R$1:RS$150)</f>
        <v>-23729.93</v>
      </c>
      <c r="Q150" s="11">
        <f>SUMIF(Planilha9!$I$1:$I$150,B150,Planilha9!$R$1:RT$150)</f>
        <v>-14131.61</v>
      </c>
      <c r="R150" s="11">
        <f>SUMIF(Planilha10!$I$1:$I$150,B150,Planilha10!$R$1:RU$150)</f>
        <v>-13670.84</v>
      </c>
      <c r="S150" s="11">
        <f>SUMIF(Planilha11!$I$1:$I$150,B150,Planilha11!$R$1:RV$150)</f>
        <v>-17911.5</v>
      </c>
      <c r="T150" s="11">
        <f>SUMIF(Planilha12!$I$1:$I$150,B150,Planilha12!$R$1:RW$150)</f>
        <v>-15566.98</v>
      </c>
      <c r="U150" s="11"/>
      <c r="V150" s="11">
        <f>SUMIF(Planilha13!$I$1:$I$150,B150,Planilha13!$R$1:RY$150)</f>
        <v>-15649.97</v>
      </c>
      <c r="W150" s="11">
        <f>SUMIF(Planilha14!$I$1:$I$150,B150,Planilha14!$R$1:RZ$150)</f>
        <v>-15915.1</v>
      </c>
      <c r="X150" s="11"/>
      <c r="Y150" s="11">
        <f>SUMIF('2026'!$I$1:$I$150,B150,'2026'!$R$1:RQ$150)</f>
        <v>-31565.07</v>
      </c>
      <c r="Z150" s="1">
        <f t="shared" si="2"/>
        <v>0</v>
      </c>
    </row>
    <row r="151" spans="1:26" x14ac:dyDescent="0.2">
      <c r="A151" s="7" t="s">
        <v>166</v>
      </c>
      <c r="B151" s="7"/>
      <c r="C151" s="7"/>
      <c r="D151" s="7"/>
      <c r="E151" s="7"/>
      <c r="F151" s="7"/>
      <c r="G151" s="7"/>
      <c r="H151" s="7"/>
      <c r="I151" s="8">
        <f>SUMIF(Planilha1!$H$1:$H$110,A151,Planilha1!$R$1:$R$150)</f>
        <v>-329.12</v>
      </c>
      <c r="J151" s="8">
        <f>SUMIF(Planilha2!$H$1:$H$110,A151,Planilha2!$R$1:$R$150)</f>
        <v>-279.47000000000003</v>
      </c>
      <c r="K151" s="8">
        <f>SUMIF(Planilha3!$H$1:$H$110,A151,Planilha3!$R$1:$R$150)</f>
        <v>-188.55</v>
      </c>
      <c r="L151" s="8">
        <f>SUMIF(Planilha4!$H$1:$H$150,A151,Planilha4!$R$1:$R$150)</f>
        <v>-859.85</v>
      </c>
      <c r="M151" s="8">
        <f>SUMIF(Planilha5!$H$1:$H$150,A151,Planilha5!$R$1:$R$150)</f>
        <v>-434.36</v>
      </c>
      <c r="N151" s="8">
        <f>SUMIF(Planilha6!$H$1:$H$150,A151,Planilha6!$R$1:$R$150)</f>
        <v>-406.88</v>
      </c>
      <c r="O151" s="8">
        <f>SUMIF(Planilha7!$H$1:$H$150,A151,Planilha7!$R$1:$R$150)</f>
        <v>-312.43</v>
      </c>
      <c r="P151" s="8">
        <f>SUMIF(Planilha8!$H$1:$H$150,A151,Planilha8!$R$1:$R$150)</f>
        <v>-294.45999999999998</v>
      </c>
      <c r="Q151" s="8">
        <f>SUMIF(Planilha9!$H$1:$H$150,A151,Planilha9!$R$1:$R$150)</f>
        <v>-270.38</v>
      </c>
      <c r="R151" s="8">
        <f>SUMIF(Planilha10!$H$1:$H$150,A151,Planilha10!$R$1:$R$150)</f>
        <v>-256.61</v>
      </c>
      <c r="S151" s="8">
        <f>SUMIF(Planilha11!$H$1:$H$150,A151,Planilha11!$R$1:$R$150)</f>
        <v>-425.99</v>
      </c>
      <c r="T151" s="8">
        <f>SUMIF(Planilha12!$H$1:$H$150,A151,Planilha12!$R$1:$R$150)</f>
        <v>-495.76</v>
      </c>
      <c r="U151" s="18"/>
      <c r="V151" s="8">
        <f>SUMIF(Planilha13!$H$1:$H$150,A151,Planilha13!$R$1:$R$150)</f>
        <v>-269.07</v>
      </c>
      <c r="W151" s="8">
        <f>SUMIF(Planilha14!$H$1:$H$150,A151,Planilha14!$R$1:$R$150)</f>
        <v>-346.4</v>
      </c>
      <c r="X151" s="10"/>
      <c r="Y151" s="8">
        <f>SUMIF('2026'!$H:$H,A151,'2026'!$R:$R)</f>
        <v>-615.47</v>
      </c>
      <c r="Z151" s="1">
        <f t="shared" si="2"/>
        <v>0</v>
      </c>
    </row>
    <row r="152" spans="1:26" x14ac:dyDescent="0.2">
      <c r="B152" t="s">
        <v>37</v>
      </c>
      <c r="I152" s="1">
        <f>SUMIF(Planilha1!$I$1:$I$150,B152,Planilha1!$R$1:RL$150)</f>
        <v>-329.12</v>
      </c>
      <c r="J152" s="1">
        <f>SUMIF(Planilha2!$I$1:$I$150,B152,Planilha2!$R$1:RM$150)</f>
        <v>-279.47000000000003</v>
      </c>
      <c r="K152" s="1">
        <f>SUMIF(Planilha3!$I$1:$I$150,B152,Planilha3!$R$1:RN$150)</f>
        <v>-188.55</v>
      </c>
      <c r="L152" s="1">
        <f>SUMIF(Planilha4!$I$1:$I$150,B152,Planilha4!$R$1:RO$150)</f>
        <v>-859.85</v>
      </c>
      <c r="M152" s="1">
        <f>SUMIF(Planilha5!$I$1:$I$150,B152,Planilha5!$R$1:RP$150)</f>
        <v>-434.36</v>
      </c>
      <c r="N152" s="1">
        <f>SUMIF(Planilha6!$I$1:$I$150,B152,Planilha6!$R$1:RQ$150)</f>
        <v>-406.88</v>
      </c>
      <c r="O152" s="1">
        <f>SUMIF(Planilha7!$I$1:$I$150,B152,Planilha7!$R$1:RR$150)</f>
        <v>-312.43</v>
      </c>
      <c r="P152" s="1">
        <f>SUMIF(Planilha8!$I$1:$I$150,B152,Planilha8!$R$1:RS$150)</f>
        <v>-294.45999999999998</v>
      </c>
      <c r="Q152" s="1">
        <f>SUMIF(Planilha9!$I$1:$I$150,B152,Planilha9!$R$1:RT$150)</f>
        <v>-270.38</v>
      </c>
      <c r="R152" s="1">
        <f>SUMIF(Planilha10!$I$1:$I$150,B152,Planilha10!$R$1:RU$150)</f>
        <v>-256.61</v>
      </c>
      <c r="S152" s="1">
        <f>SUMIF(Planilha11!$I$1:$I$150,B152,Planilha11!$R$1:RV$150)</f>
        <v>-425.99</v>
      </c>
      <c r="T152" s="1">
        <f>SUMIF(Planilha12!$I$1:$I$150,B152,Planilha12!$R$1:RW$150)</f>
        <v>-495.76</v>
      </c>
      <c r="U152" s="1"/>
      <c r="V152" s="1">
        <f>SUMIF(Planilha13!$I$1:$I$150,B152,Planilha13!$R$1:RY$150)</f>
        <v>-269.07</v>
      </c>
      <c r="W152" s="1">
        <f>SUMIF(Planilha14!$I$1:$I$150,B152,Planilha14!$R$1:RZ$150)</f>
        <v>-346.4</v>
      </c>
      <c r="X152" s="1"/>
      <c r="Y152" s="1">
        <f>SUMIF('2026'!$I$1:$I$150,B152,'2026'!$R$1:RQ$150)</f>
        <v>-615.47</v>
      </c>
      <c r="Z152" s="1">
        <f t="shared" si="2"/>
        <v>0</v>
      </c>
    </row>
    <row r="153" spans="1:26" x14ac:dyDescent="0.2">
      <c r="A153" s="7" t="s">
        <v>129</v>
      </c>
      <c r="B153" s="7"/>
      <c r="C153" s="7"/>
      <c r="D153" s="7"/>
      <c r="E153" s="7"/>
      <c r="F153" s="7"/>
      <c r="G153" s="7"/>
      <c r="H153" s="7"/>
      <c r="I153" s="8">
        <f>SUMIF(Planilha1!$H$1:$H$110,A153,Planilha1!$R$1:$R$150)</f>
        <v>-12498.27</v>
      </c>
      <c r="J153" s="8">
        <f>SUMIF(Planilha2!$H$1:$H$110,A153,Planilha2!$R$1:$R$150)</f>
        <v>-3968.03</v>
      </c>
      <c r="K153" s="8">
        <f>SUMIF(Planilha3!$H$1:$H$110,A153,Planilha3!$R$1:$R$150)</f>
        <v>-6012.27</v>
      </c>
      <c r="L153" s="8">
        <f>SUMIF(Planilha4!$H$1:$H$150,A153,Planilha4!$R$1:$R$150)</f>
        <v>-8314.57</v>
      </c>
      <c r="M153" s="8">
        <f>SUMIF(Planilha5!$H$1:$H$150,A153,Planilha5!$R$1:$R$150)</f>
        <v>-8534.44</v>
      </c>
      <c r="N153" s="8">
        <f>SUMIF(Planilha6!$H$1:$H$150,A153,Planilha6!$R$1:$R$150)</f>
        <v>-6427.23</v>
      </c>
      <c r="O153" s="8">
        <f>SUMIF(Planilha7!$H$1:$H$150,A153,Planilha7!$R$1:$R$150)</f>
        <v>-10605.06</v>
      </c>
      <c r="P153" s="8">
        <f>SUMIF(Planilha8!$H$1:$H$150,A153,Planilha8!$R$1:$R$150)</f>
        <v>-7241.7</v>
      </c>
      <c r="Q153" s="8">
        <f>SUMIF(Planilha9!$H$1:$H$150,A153,Planilha9!$R$1:$R$150)</f>
        <v>-6782.6</v>
      </c>
      <c r="R153" s="8">
        <f>SUMIF(Planilha10!$H$1:$H$150,A153,Planilha10!$R$1:$R$150)</f>
        <v>-13649.49</v>
      </c>
      <c r="S153" s="8">
        <f>SUMIF(Planilha11!$H$1:$H$150,A153,Planilha11!$R$1:$R$150)</f>
        <v>-6207.54</v>
      </c>
      <c r="T153" s="8">
        <f>SUMIF(Planilha12!$H$1:$H$150,A153,Planilha12!$R$1:$R$150)</f>
        <v>-8715.52</v>
      </c>
      <c r="U153" s="18"/>
      <c r="V153" s="8">
        <f>SUMIF(Planilha13!$H$1:$H$150,A153,Planilha13!$R$1:$R$150)</f>
        <v>-6478.57</v>
      </c>
      <c r="W153" s="8">
        <f>SUMIF(Planilha14!$H$1:$H$150,A153,Planilha14!$R$1:$R$150)</f>
        <v>-7983.32</v>
      </c>
      <c r="X153" s="10"/>
      <c r="Y153" s="8">
        <f>SUMIF('2026'!$H:$H,A153,'2026'!$R:$R)</f>
        <v>-14461.89</v>
      </c>
      <c r="Z153" s="1">
        <f>SUM(V153:W153)-Y153</f>
        <v>0</v>
      </c>
    </row>
    <row r="154" spans="1:26" x14ac:dyDescent="0.2">
      <c r="A154" s="3"/>
      <c r="B154" s="3" t="s">
        <v>20</v>
      </c>
      <c r="C154" s="3"/>
      <c r="D154" s="3"/>
      <c r="E154" s="3"/>
      <c r="F154" s="3"/>
      <c r="G154" s="3"/>
      <c r="H154" s="3"/>
      <c r="I154" s="11">
        <f>SUMIF(Planilha1!$I$1:$I$150,B154,Planilha1!$R$1:RL$150)</f>
        <v>-1005.26</v>
      </c>
      <c r="J154" s="11">
        <f>SUMIF(Planilha2!$I$1:$I$150,B154,Planilha2!$R$1:RM$150)</f>
        <v>-893.47</v>
      </c>
      <c r="K154" s="11">
        <f>SUMIF(Planilha3!$I$1:$I$150,B154,Planilha3!$R$1:RN$150)</f>
        <v>-984.83</v>
      </c>
      <c r="L154" s="11">
        <v>-667.92</v>
      </c>
      <c r="M154" s="11">
        <f>SUMIF(Planilha5!$I$1:$I$150,B154,Planilha5!$R$1:RP$150)</f>
        <v>-886.08</v>
      </c>
      <c r="N154" s="11">
        <f>SUMIF(Planilha6!$I$1:$I$150,B154,Planilha6!$R$1:RQ$150)</f>
        <v>0</v>
      </c>
      <c r="O154" s="11">
        <f>SUMIF(Planilha7!$I$1:$I$150,B154,Planilha7!$R$1:RR$150)</f>
        <v>-59.87</v>
      </c>
      <c r="P154" s="11">
        <f>SUMIF(Planilha8!$I$1:$I$150,B154,Planilha8!$R$1:RS$150)</f>
        <v>-99</v>
      </c>
      <c r="Q154" s="11">
        <f>SUMIF(Planilha9!$I$1:$I$150,B154,Planilha9!$R$1:RT$150)</f>
        <v>0</v>
      </c>
      <c r="R154" s="11">
        <f>SUMIF(Planilha10!$I$1:$I$150,B154,Planilha10!$R$1:RU$150)</f>
        <v>0</v>
      </c>
      <c r="S154" s="11">
        <f>SUMIF(Planilha11!$I$1:$I$150,B154,Planilha11!$R$1:RV$150)</f>
        <v>-93.8</v>
      </c>
      <c r="T154" s="11">
        <f>SUMIF(Planilha12!$I$1:$I$150,B154,Planilha12!$R$1:RW$150)</f>
        <v>-179.94</v>
      </c>
      <c r="U154" s="11"/>
      <c r="V154" s="11">
        <f>SUMIF(Planilha13!$I$1:$I$150,B154,Planilha13!$R$1:RY$150)</f>
        <v>0</v>
      </c>
      <c r="W154" s="11">
        <f>SUMIF(Planilha14!$I$1:$I$150,B154,Planilha14!$R$1:RZ$150)</f>
        <v>0</v>
      </c>
      <c r="X154" s="11"/>
      <c r="Y154" s="11">
        <f>SUMIF('2026'!$I$1:$I$150,B154,'2026'!$R$1:RQ$150)</f>
        <v>0</v>
      </c>
      <c r="Z154" s="1">
        <f t="shared" si="2"/>
        <v>0</v>
      </c>
    </row>
    <row r="155" spans="1:26" x14ac:dyDescent="0.2">
      <c r="B155" t="s">
        <v>61</v>
      </c>
      <c r="I155" s="1">
        <f>SUMIF(Planilha1!$I$1:$I$150,B155,Planilha1!$R$1:RL$150)</f>
        <v>0</v>
      </c>
      <c r="J155" s="1">
        <f>SUMIF(Planilha2!$I$1:$I$150,B155,Planilha2!$R$1:RM$150)</f>
        <v>0</v>
      </c>
      <c r="K155" s="1">
        <f>SUMIF(Planilha3!$I$1:$I$150,B155,Planilha3!$R$1:RN$150)</f>
        <v>0</v>
      </c>
      <c r="L155" s="1">
        <v>-65.97</v>
      </c>
      <c r="M155" s="1">
        <f>SUMIF(Planilha5!$I$1:$I$150,B155,Planilha5!$R$1:RP$150)</f>
        <v>0</v>
      </c>
      <c r="N155" s="1">
        <f>SUMIF(Planilha6!$I$1:$I$150,B155,Planilha6!$R$1:RQ$150)</f>
        <v>0</v>
      </c>
      <c r="O155" s="1">
        <f>SUMIF(Planilha7!$I$1:$I$150,B155,Planilha7!$R$1:RR$150)</f>
        <v>-340.4</v>
      </c>
      <c r="P155" s="1">
        <f>SUMIF(Planilha8!$I$1:$I$150,B155,Planilha8!$R$1:RS$150)</f>
        <v>0</v>
      </c>
      <c r="Q155" s="1">
        <f>SUMIF(Planilha9!$I$1:$I$150,B155,Planilha9!$R$1:RT$150)</f>
        <v>-1065.8800000000001</v>
      </c>
      <c r="R155" s="1">
        <f>SUMIF(Planilha10!$I$1:$I$150,B155,Planilha10!$R$1:RU$150)</f>
        <v>-1763.89</v>
      </c>
      <c r="S155" s="1">
        <f>SUMIF(Planilha11!$I$1:$I$150,B155,Planilha11!$R$1:RV$150)</f>
        <v>-441.44</v>
      </c>
      <c r="T155" s="1">
        <f>SUMIF(Planilha12!$I$1:$I$150,B155,Planilha12!$R$1:RW$150)</f>
        <v>-4110.58</v>
      </c>
      <c r="U155" s="1"/>
      <c r="V155" s="1">
        <f>SUMIF(Planilha13!$I$1:$I$150,B155,Planilha13!$R$1:RY$150)</f>
        <v>-516.5</v>
      </c>
      <c r="W155" s="1">
        <f>SUMIF(Planilha14!$I$1:$I$150,B155,Planilha14!$R$1:RZ$150)</f>
        <v>-439.5</v>
      </c>
      <c r="X155" s="1"/>
      <c r="Y155" s="1">
        <f>SUMIF('2026'!$I$1:$I$150,B155,'2026'!$R$1:RQ$150)</f>
        <v>-956</v>
      </c>
      <c r="Z155" s="1">
        <f t="shared" si="2"/>
        <v>0</v>
      </c>
    </row>
    <row r="156" spans="1:26" x14ac:dyDescent="0.2">
      <c r="A156" s="3"/>
      <c r="B156" s="3" t="s">
        <v>62</v>
      </c>
      <c r="C156" s="3"/>
      <c r="D156" s="3"/>
      <c r="E156" s="3"/>
      <c r="F156" s="3"/>
      <c r="G156" s="3"/>
      <c r="H156" s="3"/>
      <c r="I156" s="11">
        <f>SUMIF(Planilha1!$I$1:$I$150,B156,Planilha1!$R$1:RL$150)</f>
        <v>0</v>
      </c>
      <c r="J156" s="11">
        <f>SUMIF(Planilha2!$I$1:$I$150,B156,Planilha2!$R$1:RM$150)</f>
        <v>0</v>
      </c>
      <c r="K156" s="11">
        <f>SUMIF(Planilha3!$I$1:$I$150,B156,Planilha3!$R$1:RN$150)</f>
        <v>0</v>
      </c>
      <c r="L156" s="11">
        <v>0</v>
      </c>
      <c r="M156" s="11">
        <f>SUMIF(Planilha5!$I$1:$I$150,B156,Planilha5!$R$1:RP$150)</f>
        <v>0</v>
      </c>
      <c r="N156" s="11">
        <f>SUMIF(Planilha6!$I$1:$I$150,B156,Planilha6!$R$1:RQ$150)</f>
        <v>0</v>
      </c>
      <c r="O156" s="11">
        <f>SUMIF(Planilha7!$I$1:$I$150,B156,Planilha7!$R$1:RR$150)</f>
        <v>0</v>
      </c>
      <c r="P156" s="11">
        <f>SUMIF(Planilha8!$I$1:$I$150,B156,Planilha8!$R$1:RS$150)</f>
        <v>0</v>
      </c>
      <c r="Q156" s="11">
        <f>SUMIF(Planilha9!$I$1:$I$150,B156,Planilha9!$R$1:RT$150)</f>
        <v>0</v>
      </c>
      <c r="R156" s="11">
        <f>SUMIF(Planilha10!$I$1:$I$150,B156,Planilha10!$R$1:RU$150)</f>
        <v>0</v>
      </c>
      <c r="S156" s="11">
        <f>SUMIF(Planilha11!$I$1:$I$150,B156,Planilha11!$R$1:RV$150)</f>
        <v>0</v>
      </c>
      <c r="T156" s="11">
        <f>SUMIF(Planilha12!$I$1:$I$150,B156,Planilha12!$R$1:RW$150)</f>
        <v>0</v>
      </c>
      <c r="U156" s="11"/>
      <c r="V156" s="11">
        <f>SUMIF(Planilha13!$I$1:$I$150,B156,Planilha13!$R$1:RY$150)</f>
        <v>0</v>
      </c>
      <c r="W156" s="11">
        <f>SUMIF(Planilha14!$I$1:$I$150,B156,Planilha14!$R$1:RZ$150)</f>
        <v>0</v>
      </c>
      <c r="X156" s="11"/>
      <c r="Y156" s="11">
        <f>SUMIF('2026'!$I$1:$I$150,B156,'2026'!$R$1:RQ$150)</f>
        <v>0</v>
      </c>
      <c r="Z156" s="1">
        <f t="shared" si="2"/>
        <v>0</v>
      </c>
    </row>
    <row r="157" spans="1:26" x14ac:dyDescent="0.2">
      <c r="B157" t="s">
        <v>22</v>
      </c>
      <c r="I157" s="1">
        <f>SUMIF(Planilha1!$I$1:$I$150,B157,Planilha1!$R$1:RL$150)</f>
        <v>-40</v>
      </c>
      <c r="J157" s="1">
        <f>SUMIF(Planilha2!$I$1:$I$150,B157,Planilha2!$R$1:RM$150)</f>
        <v>-83</v>
      </c>
      <c r="K157" s="1">
        <f>SUMIF(Planilha3!$I$1:$I$150,B157,Planilha3!$R$1:RN$150)</f>
        <v>-12</v>
      </c>
      <c r="L157" s="1">
        <f>SUMIF(Planilha4!$I$1:$I$150,B157,Planilha4!$R$1:RO$150)</f>
        <v>0</v>
      </c>
      <c r="M157" s="1">
        <f>SUMIF(Planilha5!$I$1:$I$150,B157,Planilha5!$R$1:RP$150)</f>
        <v>0</v>
      </c>
      <c r="N157" s="1">
        <f>SUMIF(Planilha6!$I$1:$I$150,B157,Planilha6!$R$1:RQ$150)</f>
        <v>0</v>
      </c>
      <c r="O157" s="1">
        <f>SUMIF(Planilha7!$I$1:$I$150,B157,Planilha7!$R$1:RR$150)</f>
        <v>0</v>
      </c>
      <c r="P157" s="1">
        <f>SUMIF(Planilha8!$I$1:$I$150,B157,Planilha8!$R$1:RS$150)</f>
        <v>-22</v>
      </c>
      <c r="Q157" s="1">
        <f>SUMIF(Planilha9!$I$1:$I$150,B157,Planilha9!$R$1:RT$150)</f>
        <v>-50</v>
      </c>
      <c r="R157" s="1">
        <f>SUMIF(Planilha10!$I$1:$I$150,B157,Planilha10!$R$1:RU$150)</f>
        <v>-52</v>
      </c>
      <c r="S157" s="1">
        <f>SUMIF(Planilha11!$I$1:$I$150,B157,Planilha11!$R$1:RV$150)</f>
        <v>0</v>
      </c>
      <c r="T157" s="1">
        <f>SUMIF(Planilha12!$I$1:$I$150,B157,Planilha12!$R$1:RW$150)</f>
        <v>0</v>
      </c>
      <c r="U157" s="1"/>
      <c r="V157" s="1">
        <f>SUMIF(Planilha13!$I$1:$I$150,B157,Planilha13!$R$1:RY$150)</f>
        <v>0</v>
      </c>
      <c r="W157" s="1">
        <f>SUMIF(Planilha14!$I$1:$I$150,B157,Planilha14!$R$1:RZ$150)</f>
        <v>0</v>
      </c>
      <c r="X157" s="1"/>
      <c r="Y157" s="1">
        <f>SUMIF('2026'!$I$1:$I$150,B157,'2026'!$R$1:RQ$150)</f>
        <v>0</v>
      </c>
      <c r="Z157" s="1">
        <f t="shared" si="2"/>
        <v>0</v>
      </c>
    </row>
    <row r="158" spans="1:26" x14ac:dyDescent="0.2">
      <c r="A158" s="3"/>
      <c r="B158" s="3" t="s">
        <v>47</v>
      </c>
      <c r="C158" s="3"/>
      <c r="D158" s="3"/>
      <c r="E158" s="3"/>
      <c r="F158" s="3"/>
      <c r="G158" s="3"/>
      <c r="H158" s="3"/>
      <c r="I158" s="11">
        <f>SUMIF(Planilha1!$I$1:$I$150,B158,Planilha1!$R$1:RL$150)</f>
        <v>0</v>
      </c>
      <c r="J158" s="11">
        <f>SUMIF(Planilha2!$I$1:$I$150,B158,Planilha2!$R$1:RM$150)</f>
        <v>-150</v>
      </c>
      <c r="K158" s="11">
        <f>SUMIF(Planilha3!$I$1:$I$150,B158,Planilha3!$R$1:RN$150)</f>
        <v>150</v>
      </c>
      <c r="L158" s="11">
        <f>SUMIF(Planilha4!$I$1:$I$150,B158,Planilha4!$R$1:RO$150)</f>
        <v>0</v>
      </c>
      <c r="M158" s="11">
        <f>SUMIF(Planilha5!$I$1:$I$150,B158,Planilha5!$R$1:RP$150)</f>
        <v>0</v>
      </c>
      <c r="N158" s="11">
        <f>SUMIF(Planilha6!$I$1:$I$150,B158,Planilha6!$R$1:RQ$150)</f>
        <v>0</v>
      </c>
      <c r="O158" s="11">
        <f>SUMIF(Planilha7!$I$1:$I$150,B158,Planilha7!$R$1:RR$150)</f>
        <v>-2868.36</v>
      </c>
      <c r="P158" s="11">
        <f>SUMIF(Planilha8!$I$1:$I$150,B158,Planilha8!$R$1:RS$150)</f>
        <v>0</v>
      </c>
      <c r="Q158" s="11">
        <f>SUMIF(Planilha9!$I$1:$I$150,B158,Planilha9!$R$1:RT$150)</f>
        <v>0</v>
      </c>
      <c r="R158" s="11">
        <f>SUMIF(Planilha10!$I$1:$I$150,B158,Planilha10!$R$1:RU$150)</f>
        <v>0</v>
      </c>
      <c r="S158" s="11">
        <f>SUMIF(Planilha11!$I$1:$I$150,B158,Planilha11!$R$1:RV$150)</f>
        <v>0</v>
      </c>
      <c r="T158" s="11">
        <f>SUMIF(Planilha12!$I$1:$I$150,B158,Planilha12!$R$1:RW$150)</f>
        <v>0</v>
      </c>
      <c r="U158" s="11"/>
      <c r="V158" s="11">
        <f>SUMIF(Planilha13!$I$1:$I$150,B158,Planilha13!$R$1:RY$150)</f>
        <v>0</v>
      </c>
      <c r="W158" s="11">
        <f>SUMIF(Planilha14!$I$1:$I$150,B158,Planilha14!$R$1:RZ$150)</f>
        <v>0</v>
      </c>
      <c r="X158" s="11"/>
      <c r="Y158" s="11">
        <f>SUMIF('2026'!$I$1:$I$150,B158,'2026'!$R$1:RQ$150)</f>
        <v>0</v>
      </c>
      <c r="Z158" s="1">
        <f t="shared" si="2"/>
        <v>0</v>
      </c>
    </row>
    <row r="159" spans="1:26" x14ac:dyDescent="0.2">
      <c r="B159" t="s">
        <v>26</v>
      </c>
      <c r="I159" s="1">
        <f>SUMIF(Planilha1!$I$1:$I$150,B159,Planilha1!$R$1:RL$150)</f>
        <v>-35.01</v>
      </c>
      <c r="J159" s="1">
        <f>SUMIF(Planilha2!$I$1:$I$150,B159,Planilha2!$R$1:RM$150)</f>
        <v>0</v>
      </c>
      <c r="K159" s="1">
        <f>SUMIF(Planilha3!$I$1:$I$150,B159,Planilha3!$R$1:RN$150)</f>
        <v>-104.13</v>
      </c>
      <c r="L159" s="1">
        <f>SUMIF(Planilha4!$I$1:$I$150,B159,Planilha4!$R$1:RO$150)</f>
        <v>-47.74</v>
      </c>
      <c r="M159" s="1">
        <f>SUMIF(Planilha5!$I$1:$I$150,B159,Planilha5!$R$1:RP$150)</f>
        <v>-194.63</v>
      </c>
      <c r="N159" s="1">
        <f>SUMIF(Planilha6!$I$1:$I$150,B159,Planilha6!$R$1:RQ$150)</f>
        <v>-76.69</v>
      </c>
      <c r="O159" s="1">
        <f>SUMIF(Planilha7!$I$1:$I$150,B159,Planilha7!$R$1:RR$150)</f>
        <v>-634.53</v>
      </c>
      <c r="P159" s="1">
        <f>SUMIF(Planilha8!$I$1:$I$150,B159,Planilha8!$R$1:RS$150)</f>
        <v>-332.29</v>
      </c>
      <c r="Q159" s="1">
        <f>SUMIF(Planilha9!$I$1:$I$150,B159,Planilha9!$R$1:RT$150)</f>
        <v>-254.09</v>
      </c>
      <c r="R159" s="1">
        <f>SUMIF(Planilha10!$I$1:$I$150,B159,Planilha10!$R$1:RU$150)</f>
        <v>-85.41</v>
      </c>
      <c r="S159" s="1">
        <f>SUMIF(Planilha11!$I$1:$I$150,B159,Planilha11!$R$1:RV$150)</f>
        <v>-117.58</v>
      </c>
      <c r="T159" s="1">
        <f>SUMIF(Planilha12!$I$1:$I$150,B159,Planilha12!$R$1:RW$150)</f>
        <v>-109.56</v>
      </c>
      <c r="U159" s="1"/>
      <c r="V159" s="1">
        <f>SUMIF(Planilha13!$I$1:$I$150,B159,Planilha13!$R$1:RY$150)</f>
        <v>-126.18</v>
      </c>
      <c r="W159" s="1">
        <f>SUMIF(Planilha14!$I$1:$I$150,B159,Planilha14!$R$1:RZ$150)</f>
        <v>-110.71</v>
      </c>
      <c r="X159" s="1"/>
      <c r="Y159" s="1">
        <f>SUMIF('2026'!$I$1:$I$150,B159,'2026'!$R$1:RQ$150)</f>
        <v>-236.89</v>
      </c>
      <c r="Z159" s="1">
        <f t="shared" si="2"/>
        <v>0</v>
      </c>
    </row>
    <row r="160" spans="1:26" x14ac:dyDescent="0.2">
      <c r="A160" s="3"/>
      <c r="B160" s="3" t="s">
        <v>27</v>
      </c>
      <c r="C160" s="3"/>
      <c r="D160" s="3"/>
      <c r="E160" s="3"/>
      <c r="F160" s="3"/>
      <c r="G160" s="3"/>
      <c r="H160" s="3"/>
      <c r="I160" s="11">
        <f>SUMIF(Planilha1!$I$1:$I$150,B160,Planilha1!$R$1:RL$150)</f>
        <v>-425.3</v>
      </c>
      <c r="J160" s="11">
        <f>SUMIF(Planilha2!$I$1:$I$150,B160,Planilha2!$R$1:RM$150)</f>
        <v>0</v>
      </c>
      <c r="K160" s="11">
        <f>SUMIF(Planilha3!$I$1:$I$150,B160,Planilha3!$R$1:RN$150)</f>
        <v>-535</v>
      </c>
      <c r="L160" s="11">
        <f>SUMIF(Planilha4!$I$1:$I$150,B160,Planilha4!$R$1:RO$150)</f>
        <v>0</v>
      </c>
      <c r="M160" s="11">
        <f>SUMIF(Planilha5!$I$1:$I$150,B160,Planilha5!$R$1:RP$150)</f>
        <v>-483.78</v>
      </c>
      <c r="N160" s="11">
        <f>SUMIF(Planilha6!$I$1:$I$150,B160,Planilha6!$R$1:RQ$150)</f>
        <v>-520</v>
      </c>
      <c r="O160" s="11">
        <f>SUMIF(Planilha7!$I$1:$I$150,B160,Planilha7!$R$1:RR$150)</f>
        <v>0</v>
      </c>
      <c r="P160" s="11">
        <f>SUMIF(Planilha8!$I$1:$I$150,B160,Planilha8!$R$1:RS$150)</f>
        <v>-671.09</v>
      </c>
      <c r="Q160" s="11">
        <f>SUMIF(Planilha9!$I$1:$I$150,B160,Planilha9!$R$1:RT$150)</f>
        <v>0</v>
      </c>
      <c r="R160" s="11">
        <f>SUMIF(Planilha10!$I$1:$I$150,B160,Planilha10!$R$1:RU$150)</f>
        <v>-80.23</v>
      </c>
      <c r="S160" s="11">
        <f>SUMIF(Planilha11!$I$1:$I$150,B160,Planilha11!$R$1:RV$150)</f>
        <v>-163.98</v>
      </c>
      <c r="T160" s="11">
        <f>SUMIF(Planilha12!$I$1:$I$150,B160,Planilha12!$R$1:RW$150)</f>
        <v>-62.07</v>
      </c>
      <c r="U160" s="11"/>
      <c r="V160" s="11">
        <f>SUMIF(Planilha13!$I$1:$I$150,B160,Planilha13!$R$1:RY$150)</f>
        <v>-662.48</v>
      </c>
      <c r="W160" s="11">
        <f>SUMIF(Planilha14!$I$1:$I$150,B160,Planilha14!$R$1:RZ$150)</f>
        <v>0</v>
      </c>
      <c r="X160" s="11"/>
      <c r="Y160" s="11">
        <f>SUMIF('2026'!$I$1:$I$150,B160,'2026'!$R$1:RQ$150)</f>
        <v>-662.48</v>
      </c>
      <c r="Z160" s="1">
        <f t="shared" si="2"/>
        <v>0</v>
      </c>
    </row>
    <row r="161" spans="1:26" x14ac:dyDescent="0.2">
      <c r="B161" t="s">
        <v>243</v>
      </c>
      <c r="I161" s="1">
        <f>SUMIF(Planilha1!$I$1:$I$150,B161,Planilha1!$R$1:RL$150)</f>
        <v>0</v>
      </c>
      <c r="J161" s="1">
        <f>SUMIF(Planilha2!$I$1:$I$150,B161,Planilha2!$R$1:RM$150)</f>
        <v>0</v>
      </c>
      <c r="K161" s="1">
        <f>SUMIF(Planilha3!$I$1:$I$150,B161,Planilha3!$R$1:RN$150)</f>
        <v>0</v>
      </c>
      <c r="L161" s="1">
        <f>SUMIF(Planilha4!$I$1:$I$150,B161,Planilha4!$R$1:RO$150)</f>
        <v>0</v>
      </c>
      <c r="M161" s="1">
        <f>SUMIF(Planilha5!$I$1:$I$150,B161,Planilha5!$R$1:RP$150)</f>
        <v>0</v>
      </c>
      <c r="N161" s="1">
        <f>SUMIF(Planilha6!$I$1:$I$150,B161,Planilha6!$R$1:RQ$150)</f>
        <v>-133</v>
      </c>
      <c r="O161" s="1">
        <f>SUMIF(Planilha7!$I$1:$I$150,B161,Planilha7!$R$1:RR$150)</f>
        <v>-133</v>
      </c>
      <c r="P161" s="1">
        <f>SUMIF(Planilha8!$I$1:$I$150,B161,Planilha8!$R$1:RS$150)</f>
        <v>-133</v>
      </c>
      <c r="Q161" s="1">
        <f>SUMIF(Planilha9!$I$1:$I$150,B161,Planilha9!$R$1:RT$150)</f>
        <v>-133</v>
      </c>
      <c r="R161" s="1">
        <f>SUMIF(Planilha10!$I$1:$I$150,B161,Planilha10!$R$1:RU$150)</f>
        <v>-133</v>
      </c>
      <c r="S161" s="1">
        <f>SUMIF(Planilha11!$I$1:$I$150,B161,Planilha11!$R$1:RV$150)</f>
        <v>-133</v>
      </c>
      <c r="T161" s="1">
        <f>SUMIF(Planilha12!$I$1:$I$150,B161,Planilha12!$R$1:RW$150)</f>
        <v>-133</v>
      </c>
      <c r="U161" s="1"/>
      <c r="V161" s="1">
        <f>SUMIF(Planilha13!$I$1:$I$150,B161,Planilha13!$R$1:RY$150)</f>
        <v>-143.19</v>
      </c>
      <c r="W161" s="1">
        <f>SUMIF(Planilha14!$I$1:$I$150,B161,Planilha14!$R$1:RZ$150)</f>
        <v>-143.19</v>
      </c>
      <c r="X161" s="1"/>
      <c r="Y161" s="1">
        <f>SUMIF('2026'!$I$1:$I$150,B161,'2026'!$R$1:RQ$150)</f>
        <v>-286.38</v>
      </c>
      <c r="Z161" s="1">
        <f t="shared" si="2"/>
        <v>0</v>
      </c>
    </row>
    <row r="162" spans="1:26" x14ac:dyDescent="0.2">
      <c r="A162" s="3"/>
      <c r="B162" s="3" t="s">
        <v>31</v>
      </c>
      <c r="C162" s="3"/>
      <c r="D162" s="3"/>
      <c r="E162" s="3"/>
      <c r="F162" s="3"/>
      <c r="G162" s="3"/>
      <c r="H162" s="3"/>
      <c r="I162" s="11">
        <f>SUMIF(Planilha1!$I$1:$I$150,B162,Planilha1!$R$1:RL$150)</f>
        <v>-5938.43</v>
      </c>
      <c r="J162" s="11">
        <f>SUMIF(Planilha2!$I$1:$I$150,B162,Planilha2!$R$1:RM$150)</f>
        <v>0</v>
      </c>
      <c r="K162" s="11">
        <f>SUMIF(Planilha3!$I$1:$I$150,B162,Planilha3!$R$1:RN$150)</f>
        <v>0</v>
      </c>
      <c r="L162" s="11">
        <f>SUMIF(Planilha4!$I$1:$I$150,B162,Planilha4!$R$1:RO$150)</f>
        <v>0</v>
      </c>
      <c r="M162" s="11">
        <f>SUMIF(Planilha5!$I$1:$I$150,B162,Planilha5!$R$1:RP$150)</f>
        <v>-63.04</v>
      </c>
      <c r="N162" s="11">
        <f>SUMIF(Planilha6!$I$1:$I$150,B162,Planilha6!$R$1:RQ$150)</f>
        <v>0</v>
      </c>
      <c r="O162" s="11">
        <f>SUMIF(Planilha7!$I$1:$I$150,B162,Planilha7!$R$1:RR$150)</f>
        <v>0</v>
      </c>
      <c r="P162" s="11">
        <f>SUMIF(Planilha8!$I$1:$I$150,B162,Planilha8!$R$1:RS$150)</f>
        <v>0</v>
      </c>
      <c r="Q162" s="11">
        <f>SUMIF(Planilha9!$I$1:$I$150,B162,Planilha9!$R$1:RT$150)</f>
        <v>0</v>
      </c>
      <c r="R162" s="11">
        <f>SUMIF(Planilha10!$I$1:$I$150,B162,Planilha10!$R$1:RU$150)</f>
        <v>-87.42</v>
      </c>
      <c r="S162" s="11">
        <f>SUMIF(Planilha11!$I$1:$I$150,B162,Planilha11!$R$1:RV$150)</f>
        <v>0</v>
      </c>
      <c r="T162" s="11">
        <f>SUMIF(Planilha12!$I$1:$I$150,B162,Planilha12!$R$1:RW$150)</f>
        <v>0</v>
      </c>
      <c r="U162" s="11"/>
      <c r="V162" s="11">
        <f>SUMIF(Planilha13!$I$1:$I$150,B162,Planilha13!$R$1:RY$150)</f>
        <v>0</v>
      </c>
      <c r="W162" s="11">
        <f>SUMIF(Planilha14!$I$1:$I$150,B162,Planilha14!$R$1:RZ$150)</f>
        <v>0</v>
      </c>
      <c r="X162" s="11"/>
      <c r="Y162" s="11">
        <f>SUMIF('2026'!$I$1:$I$150,B162,'2026'!$R$1:RQ$150)</f>
        <v>0</v>
      </c>
      <c r="Z162" s="1">
        <f t="shared" si="2"/>
        <v>0</v>
      </c>
    </row>
    <row r="163" spans="1:26" x14ac:dyDescent="0.2">
      <c r="B163" t="s">
        <v>63</v>
      </c>
      <c r="I163" s="1">
        <f>SUMIF(Planilha1!$I$1:$I$150,B163,Planilha1!$R$1:RL$150)</f>
        <v>0</v>
      </c>
      <c r="J163" s="1">
        <f>SUMIF(Planilha2!$I$1:$I$150,B163,Planilha2!$R$1:RM$150)</f>
        <v>0</v>
      </c>
      <c r="K163" s="1">
        <f>SUMIF(Planilha3!$I$1:$I$150,B163,Planilha3!$R$1:RN$150)</f>
        <v>0</v>
      </c>
      <c r="L163" s="1">
        <f>SUMIF(Planilha4!$I$1:$I$150,B163,Planilha4!$R$1:RO$150)</f>
        <v>-166</v>
      </c>
      <c r="M163" s="1">
        <f>SUMIF(Planilha5!$I$1:$I$150,B163,Planilha5!$R$1:RP$150)</f>
        <v>0</v>
      </c>
      <c r="N163" s="1">
        <f>SUMIF(Planilha6!$I$1:$I$150,B163,Planilha6!$R$1:RQ$150)</f>
        <v>0</v>
      </c>
      <c r="O163" s="1">
        <f>SUMIF(Planilha7!$I$1:$I$150,B163,Planilha7!$R$1:RR$150)</f>
        <v>0</v>
      </c>
      <c r="P163" s="1">
        <f>SUMIF(Planilha8!$I$1:$I$150,B163,Planilha8!$R$1:RS$150)</f>
        <v>-996</v>
      </c>
      <c r="Q163" s="1">
        <f>SUMIF(Planilha9!$I$1:$I$150,B163,Planilha9!$R$1:RT$150)</f>
        <v>-203.9</v>
      </c>
      <c r="R163" s="1">
        <f>SUMIF(Planilha10!$I$1:$I$150,B163,Planilha10!$R$1:RU$150)</f>
        <v>-94.3</v>
      </c>
      <c r="S163" s="1">
        <f>SUMIF(Planilha11!$I$1:$I$150,B163,Planilha11!$R$1:RV$150)</f>
        <v>-82.2</v>
      </c>
      <c r="T163" s="1">
        <f>SUMIF(Planilha12!$I$1:$I$150,B163,Planilha12!$R$1:RW$150)</f>
        <v>0</v>
      </c>
      <c r="U163" s="1"/>
      <c r="V163" s="1">
        <f>SUMIF(Planilha13!$I$1:$I$150,B163,Planilha13!$R$1:RY$150)</f>
        <v>0</v>
      </c>
      <c r="W163" s="1">
        <f>SUMIF(Planilha14!$I$1:$I$150,B163,Planilha14!$R$1:RZ$150)</f>
        <v>0</v>
      </c>
      <c r="X163" s="1"/>
      <c r="Y163" s="1">
        <f>SUMIF('2026'!$I$1:$I$150,B163,'2026'!$R$1:RQ$150)</f>
        <v>0</v>
      </c>
      <c r="Z163" s="1">
        <f t="shared" si="2"/>
        <v>0</v>
      </c>
    </row>
    <row r="164" spans="1:26" x14ac:dyDescent="0.2">
      <c r="A164" s="3"/>
      <c r="B164" s="3" t="s">
        <v>33</v>
      </c>
      <c r="C164" s="3"/>
      <c r="D164" s="3"/>
      <c r="E164" s="3"/>
      <c r="F164" s="3"/>
      <c r="G164" s="3"/>
      <c r="H164" s="3"/>
      <c r="I164" s="11">
        <f>SUMIF(Planilha1!$I$1:$I$150,B164,Planilha1!$R$1:RL$150)</f>
        <v>-330.18</v>
      </c>
      <c r="J164" s="11">
        <f>SUMIF(Planilha2!$I$1:$I$150,B164,Planilha2!$R$1:RM$150)</f>
        <v>0</v>
      </c>
      <c r="K164" s="11">
        <f>SUMIF(Planilha3!$I$1:$I$150,B164,Planilha3!$R$1:RN$150)</f>
        <v>-740.87</v>
      </c>
      <c r="L164" s="11">
        <f>SUMIF(Planilha4!$I$1:$I$150,B164,Planilha4!$R$1:RO$150)</f>
        <v>-1027.3599999999999</v>
      </c>
      <c r="M164" s="11">
        <f>SUMIF(Planilha5!$I$1:$I$150,B164,Planilha5!$R$1:RP$150)</f>
        <v>-375</v>
      </c>
      <c r="N164" s="11">
        <f>SUMIF(Planilha6!$I$1:$I$150,B164,Planilha6!$R$1:RQ$150)</f>
        <v>-184.59</v>
      </c>
      <c r="O164" s="11">
        <f>SUMIF(Planilha7!$I$1:$I$150,B164,Planilha7!$R$1:RR$150)</f>
        <v>-505.96</v>
      </c>
      <c r="P164" s="11">
        <f>SUMIF(Planilha8!$I$1:$I$150,B164,Planilha8!$R$1:RS$150)</f>
        <v>-962.51</v>
      </c>
      <c r="Q164" s="11">
        <f>SUMIF(Planilha9!$I$1:$I$150,B164,Planilha9!$R$1:RT$150)</f>
        <v>-1072.25</v>
      </c>
      <c r="R164" s="11">
        <f>SUMIF(Planilha10!$I$1:$I$150,B164,Planilha10!$R$1:RU$150)</f>
        <v>-38.75</v>
      </c>
      <c r="S164" s="11">
        <f>SUMIF(Planilha11!$I$1:$I$150,B164,Planilha11!$R$1:RV$150)</f>
        <v>-868.6</v>
      </c>
      <c r="T164" s="11">
        <f>SUMIF(Planilha12!$I$1:$I$150,B164,Planilha12!$R$1:RW$150)</f>
        <v>-679.73</v>
      </c>
      <c r="U164" s="11"/>
      <c r="V164" s="11">
        <f>SUMIF(Planilha13!$I$1:$I$150,B164,Planilha13!$R$1:RY$150)</f>
        <v>-924.18</v>
      </c>
      <c r="W164" s="11">
        <f>SUMIF(Planilha14!$I$1:$I$150,B164,Planilha14!$R$1:RZ$150)</f>
        <v>-126.63</v>
      </c>
      <c r="X164" s="11"/>
      <c r="Y164" s="11">
        <f>SUMIF('2026'!$I$1:$I$150,B164,'2026'!$R$1:RQ$150)</f>
        <v>-1050.81</v>
      </c>
      <c r="Z164" s="1">
        <f t="shared" si="2"/>
        <v>0</v>
      </c>
    </row>
    <row r="165" spans="1:26" x14ac:dyDescent="0.2">
      <c r="B165" t="s">
        <v>48</v>
      </c>
      <c r="I165" s="1">
        <f>SUMIF(Planilha1!$I$1:$I$150,B165,Planilha1!$R$1:RL$150)</f>
        <v>0</v>
      </c>
      <c r="J165" s="1">
        <f>SUMIF(Planilha2!$I$1:$I$150,B165,Planilha2!$R$1:RM$150)</f>
        <v>-101.57</v>
      </c>
      <c r="K165" s="1">
        <f>SUMIF(Planilha3!$I$1:$I$150,B165,Planilha3!$R$1:RN$150)</f>
        <v>-34.67</v>
      </c>
      <c r="L165" s="1">
        <f>SUMIF(Planilha4!$I$1:$I$150,B165,Planilha4!$R$1:RO$150)</f>
        <v>0</v>
      </c>
      <c r="M165" s="1">
        <f>SUMIF(Planilha5!$I$1:$I$150,B165,Planilha5!$R$1:RP$150)</f>
        <v>-65.09</v>
      </c>
      <c r="N165" s="1">
        <f>SUMIF(Planilha6!$I$1:$I$150,B165,Planilha6!$R$1:RQ$150)</f>
        <v>0</v>
      </c>
      <c r="O165" s="1">
        <f>SUMIF(Planilha7!$I$1:$I$150,B165,Planilha7!$R$1:RR$150)</f>
        <v>0</v>
      </c>
      <c r="P165" s="1">
        <f>SUMIF(Planilha8!$I$1:$I$150,B165,Planilha8!$R$1:RS$150)</f>
        <v>0</v>
      </c>
      <c r="Q165" s="1">
        <f>SUMIF(Planilha9!$I$1:$I$150,B165,Planilha9!$R$1:RT$150)</f>
        <v>0</v>
      </c>
      <c r="R165" s="1">
        <f>SUMIF(Planilha10!$I$1:$I$150,B165,Planilha10!$R$1:RU$150)</f>
        <v>0</v>
      </c>
      <c r="S165" s="1">
        <f>SUMIF(Planilha11!$I$1:$I$150,B165,Planilha11!$R$1:RV$150)</f>
        <v>0</v>
      </c>
      <c r="T165" s="1">
        <f>SUMIF(Planilha12!$I$1:$I$150,B165,Planilha12!$R$1:RW$150)</f>
        <v>-26.11</v>
      </c>
      <c r="U165" s="1"/>
      <c r="V165" s="1">
        <f>SUMIF(Planilha13!$I$1:$I$150,B165,Planilha13!$R$1:RY$150)</f>
        <v>0</v>
      </c>
      <c r="W165" s="1">
        <f>SUMIF(Planilha14!$I$1:$I$150,B165,Planilha14!$R$1:RZ$150)</f>
        <v>0</v>
      </c>
      <c r="X165" s="1"/>
      <c r="Y165" s="1">
        <f>SUMIF('2026'!$I$1:$I$150,B165,'2026'!$R$1:RQ$150)</f>
        <v>0</v>
      </c>
      <c r="Z165" s="1">
        <f t="shared" si="2"/>
        <v>0</v>
      </c>
    </row>
    <row r="166" spans="1:26" x14ac:dyDescent="0.2">
      <c r="A166" s="3"/>
      <c r="B166" s="3" t="s">
        <v>29</v>
      </c>
      <c r="C166" s="3"/>
      <c r="D166" s="3"/>
      <c r="E166" s="3"/>
      <c r="F166" s="3"/>
      <c r="G166" s="3"/>
      <c r="H166" s="3"/>
      <c r="I166" s="11">
        <f>SUMIF(Planilha1!$I$1:$I$150,B166,Planilha1!$R$1:RL$150)</f>
        <v>-93.26</v>
      </c>
      <c r="J166" s="11">
        <f>SUMIF(Planilha2!$I$1:$I$150,B166,Planilha2!$R$1:RM$150)</f>
        <v>0</v>
      </c>
      <c r="K166" s="11">
        <f>SUMIF(Planilha3!$I$1:$I$150,B166,Planilha3!$R$1:RN$150)</f>
        <v>-29.88</v>
      </c>
      <c r="L166" s="11">
        <f>SUMIF(Planilha4!$I$1:$I$150,B166,Planilha4!$R$1:RO$150)</f>
        <v>-2029.81</v>
      </c>
      <c r="M166" s="11">
        <f>SUMIF(Planilha5!$I$1:$I$150,B166,Planilha5!$R$1:RP$150)</f>
        <v>-1341.41</v>
      </c>
      <c r="N166" s="11">
        <f>SUMIF(Planilha6!$I$1:$I$150,B166,Planilha6!$R$1:RQ$150)</f>
        <v>-158.69999999999999</v>
      </c>
      <c r="O166" s="11">
        <f>SUMIF(Planilha7!$I$1:$I$150,B166,Planilha7!$R$1:RR$150)</f>
        <v>0</v>
      </c>
      <c r="P166" s="11">
        <f>SUMIF(Planilha8!$I$1:$I$150,B166,Planilha8!$R$1:RS$150)</f>
        <v>-284.5</v>
      </c>
      <c r="Q166" s="11">
        <f>SUMIF(Planilha9!$I$1:$I$150,B166,Planilha9!$R$1:RT$150)</f>
        <v>-962.88</v>
      </c>
      <c r="R166" s="11">
        <f>SUMIF(Planilha10!$I$1:$I$150,B166,Planilha10!$R$1:RU$150)</f>
        <v>-8434.7900000000009</v>
      </c>
      <c r="S166" s="11">
        <f>SUMIF(Planilha11!$I$1:$I$150,B166,Planilha11!$R$1:RV$150)</f>
        <v>-1427.24</v>
      </c>
      <c r="T166" s="11">
        <f>SUMIF(Planilha12!$I$1:$I$150,B166,Planilha12!$R$1:RW$150)</f>
        <v>-301.5</v>
      </c>
      <c r="U166" s="11"/>
      <c r="V166" s="11">
        <f>SUMIF(Planilha13!$I$1:$I$150,B166,Planilha13!$R$1:RY$150)</f>
        <v>-39.99</v>
      </c>
      <c r="W166" s="11">
        <f>SUMIF(Planilha14!$I$1:$I$150,B166,Planilha14!$R$1:RZ$150)</f>
        <v>-352</v>
      </c>
      <c r="X166" s="11"/>
      <c r="Y166" s="11">
        <f>SUMIF('2026'!$I$1:$I$150,B166,'2026'!$R$1:RQ$150)</f>
        <v>-391.99</v>
      </c>
      <c r="Z166" s="1">
        <f t="shared" si="2"/>
        <v>0</v>
      </c>
    </row>
    <row r="167" spans="1:26" x14ac:dyDescent="0.2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2" t="s">
        <v>0</v>
      </c>
      <c r="D169" s="12" t="s">
        <v>1</v>
      </c>
      <c r="X169" t="s">
        <v>2</v>
      </c>
      <c r="Y169" s="13">
        <f>1+Y114</f>
        <v>4</v>
      </c>
      <c r="Z169" s="1"/>
    </row>
    <row r="170" spans="1:26" x14ac:dyDescent="0.2">
      <c r="A170" t="s">
        <v>3</v>
      </c>
      <c r="D170" s="12" t="s">
        <v>4</v>
      </c>
      <c r="Z170" s="1"/>
    </row>
    <row r="171" spans="1:26" x14ac:dyDescent="0.2">
      <c r="Z171" s="1"/>
    </row>
    <row r="172" spans="1:26" x14ac:dyDescent="0.2">
      <c r="A172" s="12" t="s">
        <v>64</v>
      </c>
      <c r="Z172" s="1"/>
    </row>
    <row r="173" spans="1:26" x14ac:dyDescent="0.2">
      <c r="Z173" s="1"/>
    </row>
    <row r="174" spans="1:26" x14ac:dyDescent="0.2">
      <c r="A174" t="s">
        <v>5</v>
      </c>
      <c r="I174" s="15">
        <v>45658</v>
      </c>
      <c r="J174" s="15">
        <v>45689</v>
      </c>
      <c r="K174" s="15">
        <v>45717</v>
      </c>
      <c r="L174" s="15">
        <v>45748</v>
      </c>
      <c r="M174" s="15">
        <v>45778</v>
      </c>
      <c r="N174" s="15">
        <v>45809</v>
      </c>
      <c r="O174" s="15">
        <v>45839</v>
      </c>
      <c r="P174" s="15">
        <v>45870</v>
      </c>
      <c r="Q174" s="15">
        <v>45901</v>
      </c>
      <c r="R174" s="15">
        <v>45931</v>
      </c>
      <c r="S174" s="15">
        <v>45962</v>
      </c>
      <c r="T174" s="15">
        <v>45992</v>
      </c>
      <c r="U174" s="17"/>
      <c r="V174" s="15">
        <v>46023</v>
      </c>
      <c r="W174" s="15">
        <v>46054</v>
      </c>
      <c r="Y174" s="16">
        <v>2026</v>
      </c>
      <c r="Z174" s="1"/>
    </row>
    <row r="175" spans="1:26" x14ac:dyDescent="0.2">
      <c r="B175" t="s">
        <v>251</v>
      </c>
      <c r="I175" s="1">
        <f>SUMIF(Planilha1!$I$1:$I$150,B175,Planilha1!$R$1:RL$150)</f>
        <v>0</v>
      </c>
      <c r="J175" s="1">
        <f>SUMIF(Planilha2!$I$1:$I$150,B175,Planilha2!$R$1:RM$150)</f>
        <v>0</v>
      </c>
      <c r="K175" s="1">
        <f>SUMIF(Planilha3!$I$1:$I$150,B175,Planilha3!$R$1:RN$150)</f>
        <v>0</v>
      </c>
      <c r="L175" s="1">
        <f>SUMIF(Planilha4!$I$1:$I$150,B175,Planilha4!$R$1:RO$150)</f>
        <v>0</v>
      </c>
      <c r="M175" s="1">
        <f>SUMIF(Planilha5!$I$1:$I$150,B175,Planilha5!$R$1:RP$150)</f>
        <v>0</v>
      </c>
      <c r="N175" s="1">
        <f>SUMIF(Planilha6!$I$1:$I$150,B175,Planilha6!$R$1:RQ$150)</f>
        <v>0</v>
      </c>
      <c r="O175" s="1">
        <f>SUMIF(Planilha7!$I$1:$I$150,B175,Planilha7!$R$1:RR$150)</f>
        <v>0</v>
      </c>
      <c r="P175" s="1">
        <f>SUMIF(Planilha8!$I$1:$I$150,B175,Planilha8!$R$1:RS$150)</f>
        <v>-726.02</v>
      </c>
      <c r="Q175" s="1">
        <f>SUMIF(Planilha9!$I$1:$I$150,B175,Planilha9!$R$1:RT$150)</f>
        <v>0</v>
      </c>
      <c r="R175" s="1">
        <f>SUMIF(Planilha10!$I$1:$I$150,B175,Planilha10!$R$1:RU$150)</f>
        <v>0</v>
      </c>
      <c r="S175" s="1">
        <f>SUMIF(Planilha11!$I$1:$I$150,B175,Planilha11!$R$1:RV$150)</f>
        <v>0</v>
      </c>
      <c r="T175" s="1">
        <f>SUMIF(Planilha12!$I$1:$I$150,B175,Planilha12!$R$1:RW$150)</f>
        <v>0</v>
      </c>
      <c r="U175" s="1"/>
      <c r="V175" s="1">
        <f>SUMIF(Planilha13!$I$1:$I$150,B175,Planilha13!$R$1:RY$150)</f>
        <v>0</v>
      </c>
      <c r="W175" s="1">
        <f>SUMIF(Planilha14!$I$1:$I$150,B175,Planilha14!$R$1:RZ$150)</f>
        <v>0</v>
      </c>
      <c r="X175" s="1"/>
      <c r="Y175" s="1">
        <f>SUMIF('2026'!$I$1:$I$150,B175,'2026'!$R$1:RQ$150)</f>
        <v>0</v>
      </c>
      <c r="Z175" s="1">
        <f>SUM(V175:W175)-Y175</f>
        <v>0</v>
      </c>
    </row>
    <row r="176" spans="1:26" x14ac:dyDescent="0.2">
      <c r="B176" t="s">
        <v>176</v>
      </c>
      <c r="I176" s="1">
        <f>SUMIF(Planilha1!$I$1:$I$150,B176,Planilha1!$R$1:RL$150)</f>
        <v>-453.02</v>
      </c>
      <c r="J176" s="1">
        <f>SUMIF(Planilha2!$I$1:$I$150,B176,Planilha2!$R$1:RM$150)</f>
        <v>-2477.88</v>
      </c>
      <c r="K176" s="1">
        <f>SUMIF(Planilha3!$I$1:$I$150,B176,Planilha3!$R$1:RN$150)</f>
        <v>-2722.23</v>
      </c>
      <c r="L176" s="1">
        <f>SUMIF(Planilha4!$I$1:$I$150,B176,Planilha4!$R$1:RO$150)</f>
        <v>-2796.72</v>
      </c>
      <c r="M176" s="1">
        <f>SUMIF(Planilha5!$I$1:$I$150,B176,Planilha5!$R$1:RP$150)</f>
        <v>-2813.87</v>
      </c>
      <c r="N176" s="1">
        <f>SUMIF(Planilha6!$I$1:$I$150,B176,Planilha6!$R$1:RQ$150)</f>
        <v>-2845.12</v>
      </c>
      <c r="O176" s="1">
        <f>SUMIF(Planilha7!$I$1:$I$150,B176,Planilha7!$R$1:RR$150)</f>
        <v>-2845.12</v>
      </c>
      <c r="P176" s="1">
        <f>SUMIF(Planilha8!$I$1:$I$150,B176,Planilha8!$R$1:RS$150)</f>
        <v>-2879.7</v>
      </c>
      <c r="Q176" s="1">
        <f>SUMIF(Planilha9!$I$1:$I$150,B176,Planilha9!$R$1:RT$150)</f>
        <v>-2879.7</v>
      </c>
      <c r="R176" s="1">
        <f>SUMIF(Planilha10!$I$1:$I$150,B176,Planilha10!$R$1:RU$150)</f>
        <v>-2879.7</v>
      </c>
      <c r="S176" s="1">
        <f>SUMIF(Planilha11!$I$1:$I$150,B176,Planilha11!$R$1:RV$150)</f>
        <v>-2879.7</v>
      </c>
      <c r="T176" s="1">
        <f>SUMIF(Planilha12!$I$1:$I$150,B176,Planilha12!$R$1:RW$150)</f>
        <v>-2879.7</v>
      </c>
      <c r="U176" s="1"/>
      <c r="V176" s="1">
        <f>SUMIF(Planilha13!$I$1:$I$150,B176,Planilha13!$R$1:RY$150)</f>
        <v>-2879.7</v>
      </c>
      <c r="W176" s="1">
        <f>SUMIF(Planilha14!$I$1:$I$150,B176,Planilha14!$R$1:RZ$150)</f>
        <v>-2879.7</v>
      </c>
      <c r="X176" s="1"/>
      <c r="Y176" s="1">
        <f>SUMIF('2026'!$I$1:$I$150,B176,'2026'!$R$1:RQ$150)</f>
        <v>-5759.4</v>
      </c>
      <c r="Z176" s="1">
        <f>SUM(V176:W176)-Y176</f>
        <v>0</v>
      </c>
    </row>
    <row r="177" spans="1:26" x14ac:dyDescent="0.2">
      <c r="A177" s="3"/>
      <c r="B177" s="3" t="s">
        <v>36</v>
      </c>
      <c r="C177" s="3"/>
      <c r="D177" s="3"/>
      <c r="E177" s="3"/>
      <c r="F177" s="3"/>
      <c r="G177" s="3"/>
      <c r="H177" s="3"/>
      <c r="I177" s="11">
        <f>SUMIF(Planilha1!$I$1:$I$150,B177,Planilha1!$R$1:RL$150)</f>
        <v>-0.41</v>
      </c>
      <c r="J177" s="11">
        <f>SUMIF(Planilha2!$I$1:$I$150,B177,Planilha2!$R$1:RM$150)</f>
        <v>-37.39</v>
      </c>
      <c r="K177" s="11">
        <f>SUMIF(Planilha3!$I$1:$I$150,B177,Planilha3!$R$1:RN$150)</f>
        <v>-118.21</v>
      </c>
      <c r="L177" s="11">
        <f>SUMIF(Planilha4!$I$1:$I$150,B177,Planilha4!$R$1:RO$150)</f>
        <v>0</v>
      </c>
      <c r="M177" s="11">
        <f>SUMIF(Planilha5!$I$1:$I$150,B177,Planilha5!$R$1:RP$150)</f>
        <v>-4.38</v>
      </c>
      <c r="N177" s="11">
        <f>SUMIF(Planilha6!$I$1:$I$150,B177,Planilha6!$R$1:RQ$150)</f>
        <v>-51.17</v>
      </c>
      <c r="O177" s="11">
        <f>SUMIF(Planilha7!$I$1:$I$150,B177,Planilha7!$R$1:RR$150)</f>
        <v>-29.32</v>
      </c>
      <c r="P177" s="11">
        <f>SUMIF(Planilha8!$I$1:$I$150,B177,Planilha8!$R$1:RS$150)</f>
        <v>-50.6</v>
      </c>
      <c r="Q177" s="11">
        <f>SUMIF(Planilha9!$I$1:$I$150,B177,Planilha9!$R$1:RT$150)</f>
        <v>-6.94</v>
      </c>
      <c r="R177" s="11">
        <f>SUMIF(Planilha10!$I$1:$I$150,B177,Planilha10!$R$1:RU$150)</f>
        <v>0</v>
      </c>
      <c r="S177" s="11">
        <f>SUMIF(Planilha11!$I$1:$I$150,B177,Planilha11!$R$1:RV$150)</f>
        <v>0</v>
      </c>
      <c r="T177" s="11">
        <f>SUMIF(Planilha12!$I$1:$I$150,B177,Planilha12!$R$1:RW$150)</f>
        <v>-153.80000000000001</v>
      </c>
      <c r="U177" s="11"/>
      <c r="V177" s="11">
        <f>SUMIF(Planilha13!$I$1:$I$150,B177,Planilha13!$R$1:RY$150)</f>
        <v>-0.17</v>
      </c>
      <c r="W177" s="11">
        <f>SUMIF(Planilha14!$I$1:$I$150,B177,Planilha14!$R$1:RZ$150)</f>
        <v>0</v>
      </c>
      <c r="X177" s="11"/>
      <c r="Y177" s="11">
        <f>SUMIF('2026'!$I$1:$I$150,B177,'2026'!$R$1:RQ$150)</f>
        <v>-0.17</v>
      </c>
      <c r="Z177" s="1">
        <f t="shared" ref="Z177:Z181" si="3">SUM(V177:W177)-Y177</f>
        <v>0</v>
      </c>
    </row>
    <row r="178" spans="1:26" x14ac:dyDescent="0.2">
      <c r="B178" t="s">
        <v>42</v>
      </c>
      <c r="I178" s="1">
        <f>SUMIF(Planilha1!$I$1:$I$150,B178,Planilha1!$R$1:RL$150)</f>
        <v>-4145</v>
      </c>
      <c r="J178" s="1">
        <f>SUMIF(Planilha2!$I$1:$I$150,B178,Planilha2!$R$1:RM$150)</f>
        <v>-224.72</v>
      </c>
      <c r="K178" s="1">
        <f>SUMIF(Planilha3!$I$1:$I$150,B178,Planilha3!$R$1:RN$150)</f>
        <v>0</v>
      </c>
      <c r="L178" s="1">
        <f>SUMIF(Planilha4!$I$1:$I$150,B178,Planilha4!$R$1:RO$150)</f>
        <v>0</v>
      </c>
      <c r="M178" s="1">
        <f>SUMIF(Planilha5!$I$1:$I$150,B178,Planilha5!$R$1:RP$150)</f>
        <v>0</v>
      </c>
      <c r="N178" s="1">
        <f>SUMIF(Planilha6!$I$1:$I$150,B178,Planilha6!$R$1:RQ$150)</f>
        <v>-2058.63</v>
      </c>
      <c r="O178" s="1">
        <f>SUMIF(Planilha7!$I$1:$I$150,B178,Planilha7!$R$1:RR$150)</f>
        <v>0</v>
      </c>
      <c r="P178" s="1">
        <f>SUMIF(Planilha8!$I$1:$I$150,B178,Planilha8!$R$1:RS$150)</f>
        <v>-84.99</v>
      </c>
      <c r="Q178" s="1">
        <f>SUMIF(Planilha9!$I$1:$I$150,B178,Planilha9!$R$1:RT$150)</f>
        <v>-153.96</v>
      </c>
      <c r="R178" s="1">
        <f>SUMIF(Planilha10!$I$1:$I$150,B178,Planilha10!$R$1:RU$150)</f>
        <v>0</v>
      </c>
      <c r="S178" s="1">
        <f>SUMIF(Planilha11!$I$1:$I$150,B178,Planilha11!$R$1:RV$150)</f>
        <v>0</v>
      </c>
      <c r="T178" s="1">
        <f>SUMIF(Planilha12!$I$1:$I$150,B178,Planilha12!$R$1:RW$150)</f>
        <v>0</v>
      </c>
      <c r="U178" s="1"/>
      <c r="V178" s="1">
        <f>SUMIF(Planilha13!$I$1:$I$150,B178,Planilha13!$R$1:RY$150)</f>
        <v>0</v>
      </c>
      <c r="W178" s="1">
        <f>SUMIF(Planilha14!$I$1:$I$150,B178,Planilha14!$R$1:RZ$150)</f>
        <v>0</v>
      </c>
      <c r="X178" s="1"/>
      <c r="Y178" s="1">
        <f>SUMIF('2026'!$I$1:$I$150,B178,'2026'!$R$1:RQ$150)</f>
        <v>0</v>
      </c>
      <c r="Z178" s="1">
        <f t="shared" si="3"/>
        <v>0</v>
      </c>
    </row>
    <row r="179" spans="1:26" x14ac:dyDescent="0.2">
      <c r="A179" s="3"/>
      <c r="B179" s="3" t="s">
        <v>43</v>
      </c>
      <c r="C179" s="3"/>
      <c r="D179" s="3"/>
      <c r="E179" s="3"/>
      <c r="F179" s="3"/>
      <c r="G179" s="3"/>
      <c r="H179" s="3"/>
      <c r="I179" s="11">
        <f>SUMIF(Planilha1!$I$1:$I$150,B179,Planilha1!$R$1:RL$150)</f>
        <v>-32.4</v>
      </c>
      <c r="J179" s="11">
        <f>SUMIF(Planilha2!$I$1:$I$150,B179,Planilha2!$R$1:RM$150)</f>
        <v>0</v>
      </c>
      <c r="K179" s="11">
        <f>SUMIF(Planilha3!$I$1:$I$150,B179,Planilha3!$R$1:RN$150)</f>
        <v>-880.45</v>
      </c>
      <c r="L179" s="11">
        <f>SUMIF(Planilha4!$I$1:$I$150,B179,Planilha4!$R$1:RO$150)</f>
        <v>-1513.05</v>
      </c>
      <c r="M179" s="11">
        <f>SUMIF(Planilha5!$I$1:$I$150,B179,Planilha5!$R$1:RP$150)</f>
        <v>-2307.16</v>
      </c>
      <c r="N179" s="11">
        <f>SUMIF(Planilha6!$I$1:$I$150,B179,Planilha6!$R$1:RQ$150)</f>
        <v>-399.33</v>
      </c>
      <c r="O179" s="11">
        <f>SUMIF(Planilha7!$I$1:$I$150,B179,Planilha7!$R$1:RR$150)</f>
        <v>-3188.5</v>
      </c>
      <c r="P179" s="11">
        <f>SUMIF(Planilha8!$I$1:$I$150,B179,Planilha8!$R$1:RS$150)</f>
        <v>0</v>
      </c>
      <c r="Q179" s="11">
        <f>SUMIF(Planilha9!$I$1:$I$150,B179,Planilha9!$R$1:RT$150)</f>
        <v>0</v>
      </c>
      <c r="R179" s="11">
        <f>SUMIF(Planilha10!$I$1:$I$150,B179,Planilha10!$R$1:RU$150)</f>
        <v>0</v>
      </c>
      <c r="S179" s="11">
        <f>SUMIF(Planilha11!$I$1:$I$150,B179,Planilha11!$R$1:RV$150)</f>
        <v>0</v>
      </c>
      <c r="T179" s="11">
        <f>SUMIF(Planilha12!$I$1:$I$150,B179,Planilha12!$R$1:RW$150)</f>
        <v>-79.53</v>
      </c>
      <c r="U179" s="11"/>
      <c r="V179" s="11">
        <f>SUMIF(Planilha13!$I$1:$I$150,B179,Planilha13!$R$1:RY$150)</f>
        <v>-1186.18</v>
      </c>
      <c r="W179" s="11">
        <f>SUMIF(Planilha14!$I$1:$I$150,B179,Planilha14!$R$1:RZ$150)</f>
        <v>-3931.59</v>
      </c>
      <c r="X179" s="11"/>
      <c r="Y179" s="11">
        <f>SUMIF('2026'!$I$1:$I$155,B179,'2026'!$R$1:RQ$155)</f>
        <v>-5117.7700000000004</v>
      </c>
      <c r="Z179" s="1">
        <f t="shared" si="3"/>
        <v>0</v>
      </c>
    </row>
    <row r="180" spans="1:26" x14ac:dyDescent="0.2">
      <c r="A180" s="7" t="s">
        <v>180</v>
      </c>
      <c r="B180" s="7"/>
      <c r="C180" s="7"/>
      <c r="D180" s="7"/>
      <c r="E180" s="7"/>
      <c r="F180" s="7"/>
      <c r="G180" s="7"/>
      <c r="H180" s="7"/>
      <c r="I180" s="8">
        <f>SUMIF(Planilha1!$H$1:$H$111,A180,Planilha1!$R$1:$R$150)</f>
        <v>92520.75</v>
      </c>
      <c r="J180" s="8">
        <f>SUMIF(Planilha2!$H$1:$H$110,A180,Planilha2!$R$1:$R$150)</f>
        <v>15171.2</v>
      </c>
      <c r="K180" s="8">
        <f>SUMIF(Planilha3!$H$1:$H$150,A180,Planilha3!$R$1:$R$150)</f>
        <v>37329.57</v>
      </c>
      <c r="L180" s="8">
        <f>SUMIF(Planilha4!$H$1:$H$150,A180,Planilha4!$R$1:$R$150)</f>
        <v>0</v>
      </c>
      <c r="M180" s="8">
        <f>SUMIF(Planilha5!$H$1:$H$150,A180,Planilha5!$R$1:$R$150)</f>
        <v>0</v>
      </c>
      <c r="N180" s="8">
        <f>SUMIF(Planilha6!$H$1:$H$150,A180,Planilha6!$R$1:$R$150)</f>
        <v>36579.83</v>
      </c>
      <c r="O180" s="8">
        <f>SUMIF(Planilha7!$H$1:$H$150,A180,Planilha7!$R$1:$R$150)</f>
        <v>18581.64</v>
      </c>
      <c r="P180" s="8">
        <f>SUMIF(Planilha8!$H$1:$H$150,A180,Planilha8!$R$1:$R$150)</f>
        <v>35126.050000000003</v>
      </c>
      <c r="Q180" s="8">
        <f>SUMIF(Planilha9!$H$1:$H$150,A180,Planilha9!$R$1:$R$150)</f>
        <v>86320.2</v>
      </c>
      <c r="R180" s="8">
        <f>SUMIF(Planilha10!$H$1:$H$150,A180,Planilha10!$R$1:$R$150)</f>
        <v>218595.88</v>
      </c>
      <c r="S180" s="8">
        <f>SUMIF(Planilha11!$H$1:$H$150,A180,Planilha11!$R$1:$R$150)</f>
        <v>174272.51</v>
      </c>
      <c r="T180" s="8">
        <f>SUMIF(Planilha12!$H$1:$H$150,A180,Planilha12!$R$1:$R$150)</f>
        <v>169470</v>
      </c>
      <c r="U180" s="18"/>
      <c r="V180" s="8">
        <f>SUMIF(Planilha13!$H$1:$H$150,A180,Planilha13!$R$1:$R$150)</f>
        <v>136558.95000000001</v>
      </c>
      <c r="W180" s="8">
        <f>SUMIF(Planilha14!$H$1:$H$150,A180,Planilha14!$R$1:$R$150)</f>
        <v>115632.41</v>
      </c>
      <c r="X180" s="7"/>
      <c r="Y180" s="8">
        <f>SUMIF('2026'!$H$1:$H$160,A180,'2026'!$R$1:$R$160)</f>
        <v>252191.35999999999</v>
      </c>
      <c r="Z180" s="1">
        <f t="shared" si="3"/>
        <v>0</v>
      </c>
    </row>
    <row r="181" spans="1:26" x14ac:dyDescent="0.2">
      <c r="A181" s="7" t="s">
        <v>196</v>
      </c>
      <c r="B181" s="7"/>
      <c r="C181" s="7"/>
      <c r="D181" s="7"/>
      <c r="E181" s="7"/>
      <c r="F181" s="7"/>
      <c r="G181" s="7"/>
      <c r="H181" s="7"/>
      <c r="I181" s="8">
        <f>SUMIF(Planilha3!$H$1:$H$110,#REF!,Planilha3!$R$1:$R$150)</f>
        <v>0</v>
      </c>
      <c r="J181" s="8">
        <f>SUMIF(Planilha2!$H$1:$H$110,A181,Planilha2!$R$1:$R$150)</f>
        <v>0</v>
      </c>
      <c r="K181" s="8">
        <f>SUMIF(Planilha3!$H$1:$H$150,A181,Planilha3!$R$1:$R$150)</f>
        <v>0</v>
      </c>
      <c r="L181" s="8">
        <f>SUMIF(Planilha4!$H$1:$H$150,A181,Planilha4!$R$1:$R$150)</f>
        <v>-41855.85</v>
      </c>
      <c r="M181" s="8">
        <f>SUMIF(Planilha5!$H$1:$H$150,A181,Planilha5!$R$1:$R$150)</f>
        <v>-20497.98</v>
      </c>
      <c r="N181" s="8">
        <f>SUMIF(Planilha6!$H$1:$H$150,A181,Planilha6!$R$1:$R$150)</f>
        <v>0</v>
      </c>
      <c r="O181" s="8">
        <f>SUMIF(Planilha7!$H$1:$H$150,A181,Planilha7!$R$1:$R$150)</f>
        <v>0</v>
      </c>
      <c r="P181" s="8">
        <f>SUMIF(Planilha8!$H$1:$H$150,A181,Planilha8!$R$1:$R$150)</f>
        <v>0</v>
      </c>
      <c r="Q181" s="8">
        <f>SUMIF(Planilha9!$H$1:$H$150,A181,Planilha9!$R$1:$R$150)</f>
        <v>0</v>
      </c>
      <c r="R181" s="8">
        <f>SUMIF(Planilha10!$H$1:$H$150,A181,Planilha10!$R$1:$R$150)</f>
        <v>0</v>
      </c>
      <c r="S181" s="8">
        <f>SUMIF(Planilha11!$H$1:$H$150,A181,Planilha11!$R$1:$R$150)</f>
        <v>0</v>
      </c>
      <c r="T181" s="8">
        <f>SUMIF(Planilha12!$H$1:$H$150,A181,Planilha12!$R$1:$R$150)</f>
        <v>0</v>
      </c>
      <c r="U181" s="18"/>
      <c r="V181" s="8">
        <f>SUMIF(Planilha13!$H$1:$H$150,A181,Planilha13!$R$1:$R$150)</f>
        <v>0</v>
      </c>
      <c r="W181" s="8">
        <f>SUMIF(Planilha14!$H$1:$H$150,A181,Planilha14!$R$1:$R$150)</f>
        <v>0</v>
      </c>
      <c r="X181" s="7"/>
      <c r="Y181" s="8">
        <f>SUMIF('2026'!$H$1:$H$150,A181,'2026'!$R$1:$R$150)</f>
        <v>0</v>
      </c>
      <c r="Z181" s="1">
        <f t="shared" si="3"/>
        <v>0</v>
      </c>
    </row>
    <row r="182" spans="1:26" x14ac:dyDescent="0.2">
      <c r="A182" s="12" t="s">
        <v>44</v>
      </c>
    </row>
    <row r="183" spans="1:26" x14ac:dyDescent="0.2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6" x14ac:dyDescent="0.2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</sheetData>
  <autoFilter ref="A6:A184" xr:uid="{00000000-0009-0000-0000-000010000000}"/>
  <pageMargins left="0.23622047244094491" right="0.23622047244094491" top="0.74803149606299213" bottom="1.0236220472440944" header="0.31496062992125984" footer="0.31496062992125984"/>
  <pageSetup paperSize="9" scale="57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2025</vt:lpstr>
      <vt:lpstr>Planilha13</vt:lpstr>
      <vt:lpstr>Planilha14</vt:lpstr>
      <vt:lpstr>2026</vt:lpstr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Junior</dc:creator>
  <cp:lastModifiedBy>Joao Novais</cp:lastModifiedBy>
  <cp:lastPrinted>2026-02-24T14:49:43Z</cp:lastPrinted>
  <dcterms:created xsi:type="dcterms:W3CDTF">2025-04-16T12:39:11Z</dcterms:created>
  <dcterms:modified xsi:type="dcterms:W3CDTF">2026-04-14T11:44:28Z</dcterms:modified>
</cp:coreProperties>
</file>