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FC/"/>
    </mc:Choice>
  </mc:AlternateContent>
  <xr:revisionPtr revIDLastSave="14" documentId="8_{47622502-5723-43A6-AA2C-EFA1CAC69AC2}" xr6:coauthVersionLast="47" xr6:coauthVersionMax="47" xr10:uidLastSave="{DEF08EC8-5DF2-4C53-A980-5CBB6860D4A3}"/>
  <bookViews>
    <workbookView xWindow="-20610" yWindow="2475" windowWidth="20730" windowHeight="11040" xr2:uid="{08A8ECB0-BADC-46F2-A6A3-160CAFD23EC3}"/>
  </bookViews>
  <sheets>
    <sheet name="Fluxo CC 7369" sheetId="1" r:id="rId1"/>
    <sheet name="Planilha1" sheetId="2" r:id="rId2"/>
  </sheets>
  <definedNames>
    <definedName name="_xlnm._FilterDatabase" localSheetId="0" hidden="1">'Fluxo CC 7369'!$A$1:$F$33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<sst xmlns="http://schemas.openxmlformats.org/spreadsheetml/2006/main" count="261" uniqueCount="171">
  <si>
    <t>Móveis, Máquinas e Utensílios</t>
  </si>
  <si>
    <t>33762</t>
  </si>
  <si>
    <t>33765</t>
  </si>
  <si>
    <t>33757</t>
  </si>
  <si>
    <t>33741</t>
  </si>
  <si>
    <t>33769</t>
  </si>
  <si>
    <t>33764</t>
  </si>
  <si>
    <t>Administrativo</t>
  </si>
  <si>
    <t>Materiais de Escritório</t>
  </si>
  <si>
    <t>Sistemas e Softwares -Adm Marketing</t>
  </si>
  <si>
    <t>-194,92</t>
  </si>
  <si>
    <t>Expedição</t>
  </si>
  <si>
    <t>Evento</t>
  </si>
  <si>
    <t>33743</t>
  </si>
  <si>
    <t>-166,41</t>
  </si>
  <si>
    <t>Frete Sobre Mercadorias</t>
  </si>
  <si>
    <t>Despesas Bancárias</t>
  </si>
  <si>
    <t>-35,12</t>
  </si>
  <si>
    <t>Livraria</t>
  </si>
  <si>
    <t>-208,68</t>
  </si>
  <si>
    <t>33745</t>
  </si>
  <si>
    <t>CPC Offline</t>
  </si>
  <si>
    <t>33746</t>
  </si>
  <si>
    <t>33755</t>
  </si>
  <si>
    <t>33740</t>
  </si>
  <si>
    <t>Materiais Aplicados Venda Prod</t>
  </si>
  <si>
    <t>-15,38</t>
  </si>
  <si>
    <t>Plano de Contas</t>
  </si>
  <si>
    <t>33756</t>
  </si>
  <si>
    <t>Despesas Eventos Externos</t>
  </si>
  <si>
    <t>Valor</t>
  </si>
  <si>
    <t>33752</t>
  </si>
  <si>
    <t>33744</t>
  </si>
  <si>
    <t>33761</t>
  </si>
  <si>
    <t>33749</t>
  </si>
  <si>
    <t>33759</t>
  </si>
  <si>
    <t>Despesas Custos Eventos</t>
  </si>
  <si>
    <t>CPC Online</t>
  </si>
  <si>
    <t>Documento</t>
  </si>
  <si>
    <t>33748</t>
  </si>
  <si>
    <t>33750</t>
  </si>
  <si>
    <t>33754</t>
  </si>
  <si>
    <t>33739</t>
  </si>
  <si>
    <t>33767</t>
  </si>
  <si>
    <t>Centro Resultados</t>
  </si>
  <si>
    <t>Número</t>
  </si>
  <si>
    <t>-380,66</t>
  </si>
  <si>
    <t>33766</t>
  </si>
  <si>
    <t>33751</t>
  </si>
  <si>
    <t>33763</t>
  </si>
  <si>
    <t>33768</t>
  </si>
  <si>
    <t>Cursos E Treinamentos</t>
  </si>
  <si>
    <t>33753</t>
  </si>
  <si>
    <t>Marketing E Publicidade</t>
  </si>
  <si>
    <t>-1.587,75</t>
  </si>
  <si>
    <t>33760</t>
  </si>
  <si>
    <t>33747</t>
  </si>
  <si>
    <t>Financeiro</t>
  </si>
  <si>
    <t>33758</t>
  </si>
  <si>
    <t>33770</t>
  </si>
  <si>
    <t>33742</t>
  </si>
  <si>
    <t>Sistemas e Softwares Comerciais</t>
  </si>
  <si>
    <t>Codigo</t>
  </si>
  <si>
    <t>Descrição</t>
  </si>
  <si>
    <t>Contas contábeis</t>
  </si>
  <si>
    <t>Cod 0561 | Cod 1082 | Cod 1138 | Cod 1170 | Cod 1176 | Cod 1191 | Cod 1196 | Cod 1200 | Cod 1646 | Cod 8301</t>
  </si>
  <si>
    <t>VENDA DE LIVROS</t>
  </si>
  <si>
    <t>132 a 134</t>
  </si>
  <si>
    <t>AQUISIÇÃO DE LIVROS</t>
  </si>
  <si>
    <t>VENDA DE EBOOK</t>
  </si>
  <si>
    <t>13º Salário</t>
  </si>
  <si>
    <t>180 a 192</t>
  </si>
  <si>
    <t>Despesas Editorial - Capa</t>
  </si>
  <si>
    <t>Despesas Editorial - Conferência de Emendas | Despesas Editorial - Revisão de Prova</t>
  </si>
  <si>
    <t>Despesas Editorial - Diagramação</t>
  </si>
  <si>
    <t>Despesas Editorial - Edição</t>
  </si>
  <si>
    <t>Despesas Editorial - Ilustração</t>
  </si>
  <si>
    <t>Despesas Editorial - Preparação</t>
  </si>
  <si>
    <t>Despesas Editorial - Produção Editorial</t>
  </si>
  <si>
    <t>Despesas Editorial - Revisão de Prova</t>
  </si>
  <si>
    <t>Despesas Editorial - Tradução</t>
  </si>
  <si>
    <t>Materiais Para Revenda</t>
  </si>
  <si>
    <t>Producao Material Proprio</t>
  </si>
  <si>
    <t>Produção Material Próprio</t>
  </si>
  <si>
    <t>Remuneração Autônomos - Comercial</t>
  </si>
  <si>
    <t>Salarios A Pagar</t>
  </si>
  <si>
    <t>Vale Cesta Básica</t>
  </si>
  <si>
    <t>Vale Refeicao</t>
  </si>
  <si>
    <t>Vale Transporte</t>
  </si>
  <si>
    <t>Remuneração Autônomos - Marketing</t>
  </si>
  <si>
    <t>Despesas Postais e fretes</t>
  </si>
  <si>
    <t>Direitos Autorais</t>
  </si>
  <si>
    <t>Remuneração Autônomos - Editorial</t>
  </si>
  <si>
    <t>Combustivel</t>
  </si>
  <si>
    <t>Comissao Vendedores</t>
  </si>
  <si>
    <t>Agua</t>
  </si>
  <si>
    <t>Aluguel</t>
  </si>
  <si>
    <t>Antecipação - Direito Autoral</t>
  </si>
  <si>
    <t>Assistencia Medica</t>
  </si>
  <si>
    <t>Benfeitoria em Imoveis de 3º</t>
  </si>
  <si>
    <t>Bens de pequeno valor</t>
  </si>
  <si>
    <t>Bens Imobilizados Empresa</t>
  </si>
  <si>
    <t>Bolsa de Estudos</t>
  </si>
  <si>
    <t>Bonus</t>
  </si>
  <si>
    <t>Brinde Para Colaboradores</t>
  </si>
  <si>
    <t>Brindes Clientes</t>
  </si>
  <si>
    <t>Capacitação Profissional</t>
  </si>
  <si>
    <t>Cod 1082</t>
  </si>
  <si>
    <t>Cod 1138</t>
  </si>
  <si>
    <t>Cod 1170</t>
  </si>
  <si>
    <t>Cod 1176</t>
  </si>
  <si>
    <t>Cod 1191</t>
  </si>
  <si>
    <t>Cod 1196</t>
  </si>
  <si>
    <t>Cod 1200</t>
  </si>
  <si>
    <t>Cod 1646</t>
  </si>
  <si>
    <t>Cod 1708</t>
  </si>
  <si>
    <t>Cod 3208</t>
  </si>
  <si>
    <t>Cod 8031</t>
  </si>
  <si>
    <t>Cod 8301</t>
  </si>
  <si>
    <t>Cofins/Csll a Recolher</t>
  </si>
  <si>
    <t>Contabilidade</t>
  </si>
  <si>
    <t>Contribuicao Sindical</t>
  </si>
  <si>
    <t>Darf Pis/Cofins - Codigo 5952</t>
  </si>
  <si>
    <t>Darf S/ Irf - Codigo 1708</t>
  </si>
  <si>
    <t>Desp Prest Serv Pf</t>
  </si>
  <si>
    <t>Desp Prest Serv Pj</t>
  </si>
  <si>
    <t>Despesas Cartorarias</t>
  </si>
  <si>
    <t>Despesas Com Diretoria</t>
  </si>
  <si>
    <t>Despesas Autor</t>
  </si>
  <si>
    <t>Embalagens e Mareriais Graficos</t>
  </si>
  <si>
    <t>Energia Eletrica</t>
  </si>
  <si>
    <t>Estacionamento</t>
  </si>
  <si>
    <t>Fgts</t>
  </si>
  <si>
    <t>Fgts Ferias</t>
  </si>
  <si>
    <t>Impostos E Taxas</t>
  </si>
  <si>
    <t>Estorno e Reembolso</t>
  </si>
  <si>
    <t>231 LANÇAR NA NATUREZA DA DESPESA</t>
  </si>
  <si>
    <t>Internet</t>
  </si>
  <si>
    <t>Monitoramento Sede</t>
  </si>
  <si>
    <t>Royalties</t>
  </si>
  <si>
    <t>PIS 8301</t>
  </si>
  <si>
    <t>Terreno e Dependências - Sede</t>
  </si>
  <si>
    <t>Devolução de Venda</t>
  </si>
  <si>
    <t>Exames médicos</t>
  </si>
  <si>
    <t>Juros pagos/passivos</t>
  </si>
  <si>
    <t>Lanches e Refeições Equipe</t>
  </si>
  <si>
    <t>Lanches e Refeições Comercial</t>
  </si>
  <si>
    <t>Pedágio</t>
  </si>
  <si>
    <t>Remuneração Autônomos - Expedição</t>
  </si>
  <si>
    <t>Remuneração Autônomos - Financeiro</t>
  </si>
  <si>
    <t>Remuneração Autonomos - Administração</t>
  </si>
  <si>
    <t>Transporte - Taxi/Uber</t>
  </si>
  <si>
    <t>Remuneração Autônomos - Livraria</t>
  </si>
  <si>
    <t>DIRETORIA - PJ</t>
  </si>
  <si>
    <t>Seguros</t>
  </si>
  <si>
    <t>Condomínio</t>
  </si>
  <si>
    <t>DESPESAS OPERACIONAIS</t>
  </si>
  <si>
    <t>4.3.1</t>
  </si>
  <si>
    <t>DESPESAS ADMINISTRATIVAS</t>
  </si>
  <si>
    <t>4.3.1.01</t>
  </si>
  <si>
    <t>Materiais Impressos</t>
  </si>
  <si>
    <t>Cod 0561</t>
  </si>
  <si>
    <t>TRANSFERENCIA ENTRE CONTAS</t>
  </si>
  <si>
    <t>Rescisões</t>
  </si>
  <si>
    <t>188 A 192</t>
  </si>
  <si>
    <t>Cod 5952</t>
  </si>
  <si>
    <t>Outras despesas</t>
  </si>
  <si>
    <t>Receitas financeiras</t>
  </si>
  <si>
    <t>Condominio</t>
  </si>
  <si>
    <t>Cod 1162</t>
  </si>
  <si>
    <t>Conta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</si>
</sst>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6D6D6D"/>
      <name val="Tahoma"/>
    </font>
    <font>
      <b/>
      <sz val="10"/>
      <color rgb="FF6D6D6D"/>
      <name val="Tahoma"/>
    </font>
    <font>
      <b/>
      <sz val="10"/>
      <color rgb="FF000000"/>
      <name val="Tahoma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3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3" fillId="4" borderId="0" xfId="0" applyFont="1" applyFill="1" applyAlignment="1"/>
    <xf numFmtId="0" fontId="4" fillId="5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2" borderId="0" xfId="0" applyAlignment="1"/>
    <xf numFmtId="0" fontId="2" fillId="2" borderId="3" xfId="0" applyNumberFormat="1" applyFont="1" applyFill="1" applyBorder="1" applyAlignment="1" applyProtection="1">
      <alignment horizontal="left" vertical="top" wrapText="1"/>
    </xf>
    <xf numFmtId="0" fontId="2" fillId="3" borderId="4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4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9868-C3CC-450A-9192-31E284759B21}">
  <sheetPr>
    <pageSetUpPr autoPageBreaks="0" fitToPage="1"/>
  </sheetPr>
  <dimension ref="A1:F33"/>
  <sheetViews>
    <sheetView tabSelected="1" showOutlineSymbols="0" workbookViewId="0">
      <selection activeCell="D2" sqref="D2"/>
    </sheetView>
  </sheetViews>
  <sheetFormatPr defaultColWidth="14.1640625" defaultRowHeight="15" customHeight="1" x14ac:dyDescent="0.15"/>
  <cols>
    <col min="1" max="1" width="12.33203125"/>
    <col min="2" max="2" width="16.6640625"/>
    <col min="3" max="3" width="15.83203125"/>
    <col min="4" max="4" width="37.83203125"/>
    <col min="5" max="5" width="26.5"/>
    <col min="6" max="6" width="17" customWidth="1"/>
  </cols>
  <sheetData>
    <row r="1" spans="1:6" ht="16.5" customHeight="1" x14ac:dyDescent="0.15">
      <c r="A1" s="2" t="s">
        <v>45</v>
      </c>
      <c r="B1" s="2" t="s">
        <v>38</v>
      </c>
      <c r="C1" s="3" t="s">
        <v>30</v>
      </c>
      <c r="D1" s="2" t="s">
        <v>27</v>
      </c>
      <c r="E1" s="2" t="s">
        <v>44</v>
      </c>
      <c r="F1" s="10" t="s">
        <v>170</v>
      </c>
    </row>
    <row r="2" spans="1:6" ht="15.75" customHeight="1" x14ac:dyDescent="0.15">
      <c r="A2" s="1" t="s">
        <v>42</v>
      </c>
      <c r="B2" s="4" t="s">
        <v>42</v>
      </c>
      <c r="C2" s="1" t="s">
        <v>19</v>
      </c>
      <c r="D2" s="4" t="s">
        <v>29</v>
      </c>
      <c r="E2" s="9" t="s">
        <v>7</v>
      </c>
      <c r="F2" s="11">
        <f>VLOOKUP('Fluxo CC 7369'!D2,Planilha1!B:C,2,0)</f>
        <v>247</v>
      </c>
    </row>
    <row r="3" spans="1:6" ht="15.75" customHeight="1" x14ac:dyDescent="0.15">
      <c r="A3" s="1" t="s">
        <v>24</v>
      </c>
      <c r="B3" s="4" t="s">
        <v>24</v>
      </c>
      <c r="C3" s="1" t="s">
        <v>54</v>
      </c>
      <c r="D3" s="4" t="s">
        <v>51</v>
      </c>
      <c r="E3" s="9" t="s">
        <v>7</v>
      </c>
      <c r="F3" s="11">
        <f>VLOOKUP('Fluxo CC 7369'!D3,Planilha1!B:C,2,0)</f>
        <v>211</v>
      </c>
    </row>
    <row r="4" spans="1:6" ht="15.75" customHeight="1" x14ac:dyDescent="0.15">
      <c r="A4" s="1" t="s">
        <v>4</v>
      </c>
      <c r="B4" s="4" t="s">
        <v>4</v>
      </c>
      <c r="C4" s="1" t="s">
        <v>14</v>
      </c>
      <c r="D4" s="4" t="s">
        <v>51</v>
      </c>
      <c r="E4" s="9" t="s">
        <v>7</v>
      </c>
      <c r="F4" s="11">
        <f>VLOOKUP('Fluxo CC 7369'!D4,Planilha1!B:C,2,0)</f>
        <v>211</v>
      </c>
    </row>
    <row r="5" spans="1:6" ht="15.75" customHeight="1" x14ac:dyDescent="0.15">
      <c r="A5" s="1" t="s">
        <v>60</v>
      </c>
      <c r="B5" s="4" t="s">
        <v>60</v>
      </c>
      <c r="C5" s="1" t="s">
        <v>10</v>
      </c>
      <c r="D5" s="4" t="s">
        <v>9</v>
      </c>
      <c r="E5" s="9" t="s">
        <v>37</v>
      </c>
      <c r="F5" s="11">
        <f>VLOOKUP('Fluxo CC 7369'!D5,Planilha1!B:C,2,0)</f>
        <v>244</v>
      </c>
    </row>
    <row r="6" spans="1:6" ht="15.75" customHeight="1" x14ac:dyDescent="0.15">
      <c r="A6" s="1" t="s">
        <v>13</v>
      </c>
      <c r="B6" s="4" t="s">
        <v>13</v>
      </c>
      <c r="C6" s="1" t="s">
        <v>17</v>
      </c>
      <c r="D6" s="4" t="s">
        <v>36</v>
      </c>
      <c r="E6" s="9" t="s">
        <v>12</v>
      </c>
      <c r="F6" s="11">
        <f>VLOOKUP('Fluxo CC 7369'!D6,Planilha1!B:C,2,0)</f>
        <v>247</v>
      </c>
    </row>
    <row r="7" spans="1:6" ht="15.75" customHeight="1" x14ac:dyDescent="0.15">
      <c r="A7" s="1" t="s">
        <v>32</v>
      </c>
      <c r="B7" s="4" t="s">
        <v>32</v>
      </c>
      <c r="C7" s="1" t="s">
        <v>46</v>
      </c>
      <c r="D7" s="4" t="s">
        <v>25</v>
      </c>
      <c r="E7" s="9" t="s">
        <v>11</v>
      </c>
      <c r="F7" s="11">
        <f>VLOOKUP('Fluxo CC 7369'!D7,Planilha1!B:C,2,0)</f>
        <v>224</v>
      </c>
    </row>
    <row r="8" spans="1:6" ht="15.75" customHeight="1" x14ac:dyDescent="0.15">
      <c r="A8" s="1" t="s">
        <v>20</v>
      </c>
      <c r="B8" s="4" t="s">
        <v>20</v>
      </c>
      <c r="C8" s="12">
        <v>-1759.09</v>
      </c>
      <c r="D8" s="4" t="s">
        <v>53</v>
      </c>
      <c r="E8" s="9" t="s">
        <v>37</v>
      </c>
      <c r="F8" s="11">
        <f>VLOOKUP('Fluxo CC 7369'!D8,Planilha1!B:C,2,0)</f>
        <v>245</v>
      </c>
    </row>
    <row r="9" spans="1:6" ht="15.75" customHeight="1" x14ac:dyDescent="0.15">
      <c r="A9" s="1" t="s">
        <v>22</v>
      </c>
      <c r="B9" s="4" t="s">
        <v>22</v>
      </c>
      <c r="C9" s="1">
        <v>-63.14</v>
      </c>
      <c r="D9" s="4" t="s">
        <v>8</v>
      </c>
      <c r="E9" s="9" t="s">
        <v>11</v>
      </c>
      <c r="F9" s="11">
        <f>VLOOKUP('Fluxo CC 7369'!D9,Planilha1!B:C,2,0)</f>
        <v>227</v>
      </c>
    </row>
    <row r="10" spans="1:6" ht="15.75" customHeight="1" x14ac:dyDescent="0.15">
      <c r="A10" s="1" t="s">
        <v>56</v>
      </c>
      <c r="B10" s="4" t="s">
        <v>56</v>
      </c>
      <c r="C10" s="12">
        <v>-2006.22</v>
      </c>
      <c r="D10" s="4" t="s">
        <v>53</v>
      </c>
      <c r="E10" s="9" t="s">
        <v>37</v>
      </c>
      <c r="F10" s="11">
        <f>VLOOKUP('Fluxo CC 7369'!D10,Planilha1!B:C,2,0)</f>
        <v>245</v>
      </c>
    </row>
    <row r="11" spans="1:6" ht="15.75" customHeight="1" x14ac:dyDescent="0.15">
      <c r="A11" s="1" t="s">
        <v>39</v>
      </c>
      <c r="B11" s="4" t="s">
        <v>39</v>
      </c>
      <c r="C11" s="1">
        <v>-548.34</v>
      </c>
      <c r="D11" s="4" t="s">
        <v>0</v>
      </c>
      <c r="E11" s="9" t="s">
        <v>7</v>
      </c>
      <c r="F11" s="11">
        <f>VLOOKUP('Fluxo CC 7369'!D11,Planilha1!B:C,2,0)</f>
        <v>41</v>
      </c>
    </row>
    <row r="12" spans="1:6" ht="15.75" customHeight="1" x14ac:dyDescent="0.15">
      <c r="A12" s="1" t="s">
        <v>34</v>
      </c>
      <c r="B12" s="4" t="s">
        <v>34</v>
      </c>
      <c r="C12" s="1">
        <v>-99</v>
      </c>
      <c r="D12" s="4" t="s">
        <v>61</v>
      </c>
      <c r="E12" s="9" t="s">
        <v>21</v>
      </c>
      <c r="F12" s="11">
        <f>VLOOKUP('Fluxo CC 7369'!D12,Planilha1!B:C,2,0)</f>
        <v>710</v>
      </c>
    </row>
    <row r="13" spans="1:6" ht="15.75" customHeight="1" x14ac:dyDescent="0.15">
      <c r="A13" s="1" t="s">
        <v>40</v>
      </c>
      <c r="B13" s="4" t="s">
        <v>40</v>
      </c>
      <c r="C13" s="1">
        <v>-434.34</v>
      </c>
      <c r="D13" s="4" t="s">
        <v>53</v>
      </c>
      <c r="E13" s="9" t="s">
        <v>37</v>
      </c>
      <c r="F13" s="11">
        <f>VLOOKUP('Fluxo CC 7369'!D13,Planilha1!B:C,2,0)</f>
        <v>245</v>
      </c>
    </row>
    <row r="14" spans="1:6" ht="15.75" customHeight="1" x14ac:dyDescent="0.15">
      <c r="A14" s="1" t="s">
        <v>48</v>
      </c>
      <c r="B14" s="4" t="s">
        <v>48</v>
      </c>
      <c r="C14" s="12">
        <v>-1000</v>
      </c>
      <c r="D14" s="4" t="s">
        <v>15</v>
      </c>
      <c r="E14" s="9" t="s">
        <v>11</v>
      </c>
      <c r="F14" s="11">
        <f>VLOOKUP('Fluxo CC 7369'!D14,Planilha1!B:C,2,0)</f>
        <v>164</v>
      </c>
    </row>
    <row r="15" spans="1:6" ht="15.75" customHeight="1" x14ac:dyDescent="0.15">
      <c r="A15" s="1" t="s">
        <v>31</v>
      </c>
      <c r="B15" s="4" t="s">
        <v>31</v>
      </c>
      <c r="C15" s="1">
        <v>-31.2</v>
      </c>
      <c r="D15" s="4" t="s">
        <v>15</v>
      </c>
      <c r="E15" s="9" t="s">
        <v>11</v>
      </c>
      <c r="F15" s="11">
        <f>VLOOKUP('Fluxo CC 7369'!D15,Planilha1!B:C,2,0)</f>
        <v>164</v>
      </c>
    </row>
    <row r="16" spans="1:6" ht="15.75" customHeight="1" x14ac:dyDescent="0.15">
      <c r="A16" s="1" t="s">
        <v>52</v>
      </c>
      <c r="B16" s="4" t="s">
        <v>52</v>
      </c>
      <c r="C16" s="1">
        <v>-22.41</v>
      </c>
      <c r="D16" s="4" t="s">
        <v>8</v>
      </c>
      <c r="E16" s="9" t="s">
        <v>57</v>
      </c>
      <c r="F16" s="11">
        <f>VLOOKUP('Fluxo CC 7369'!D16,Planilha1!B:C,2,0)</f>
        <v>227</v>
      </c>
    </row>
    <row r="17" spans="1:6" ht="15.75" customHeight="1" x14ac:dyDescent="0.15">
      <c r="A17" s="1" t="s">
        <v>41</v>
      </c>
      <c r="B17" s="4" t="s">
        <v>41</v>
      </c>
      <c r="C17" s="1">
        <v>-36.14</v>
      </c>
      <c r="D17" s="4" t="s">
        <v>8</v>
      </c>
      <c r="E17" s="9" t="s">
        <v>57</v>
      </c>
      <c r="F17" s="11">
        <f>VLOOKUP('Fluxo CC 7369'!D17,Planilha1!B:C,2,0)</f>
        <v>227</v>
      </c>
    </row>
    <row r="18" spans="1:6" ht="15.75" customHeight="1" x14ac:dyDescent="0.15">
      <c r="A18" s="1" t="s">
        <v>23</v>
      </c>
      <c r="B18" s="4" t="s">
        <v>23</v>
      </c>
      <c r="C18" s="1">
        <v>-66.989999999999995</v>
      </c>
      <c r="D18" s="4" t="s">
        <v>8</v>
      </c>
      <c r="E18" s="9" t="s">
        <v>11</v>
      </c>
      <c r="F18" s="11">
        <f>VLOOKUP('Fluxo CC 7369'!D18,Planilha1!B:C,2,0)</f>
        <v>227</v>
      </c>
    </row>
    <row r="19" spans="1:6" ht="15.75" customHeight="1" x14ac:dyDescent="0.15">
      <c r="A19" s="1" t="s">
        <v>28</v>
      </c>
      <c r="B19" s="4" t="s">
        <v>28</v>
      </c>
      <c r="C19" s="12">
        <v>-3908.37</v>
      </c>
      <c r="D19" s="4" t="s">
        <v>51</v>
      </c>
      <c r="E19" s="9" t="s">
        <v>7</v>
      </c>
      <c r="F19" s="11">
        <f>VLOOKUP('Fluxo CC 7369'!D19,Planilha1!B:C,2,0)</f>
        <v>211</v>
      </c>
    </row>
    <row r="20" spans="1:6" ht="15.75" customHeight="1" x14ac:dyDescent="0.15">
      <c r="A20" s="1" t="s">
        <v>3</v>
      </c>
      <c r="B20" s="4" t="s">
        <v>3</v>
      </c>
      <c r="C20" s="1">
        <v>-89.7</v>
      </c>
      <c r="D20" s="4" t="s">
        <v>25</v>
      </c>
      <c r="E20" s="9" t="s">
        <v>18</v>
      </c>
      <c r="F20" s="11">
        <f>VLOOKUP('Fluxo CC 7369'!D20,Planilha1!B:C,2,0)</f>
        <v>224</v>
      </c>
    </row>
    <row r="21" spans="1:6" ht="15.75" customHeight="1" x14ac:dyDescent="0.15">
      <c r="A21" s="1" t="s">
        <v>58</v>
      </c>
      <c r="B21" s="4" t="s">
        <v>58</v>
      </c>
      <c r="C21" s="1">
        <v>-164.97</v>
      </c>
      <c r="D21" s="4" t="s">
        <v>25</v>
      </c>
      <c r="E21" s="9" t="s">
        <v>18</v>
      </c>
      <c r="F21" s="11">
        <f>VLOOKUP('Fluxo CC 7369'!D21,Planilha1!B:C,2,0)</f>
        <v>224</v>
      </c>
    </row>
    <row r="22" spans="1:6" ht="15.75" customHeight="1" x14ac:dyDescent="0.15">
      <c r="A22" s="1" t="s">
        <v>35</v>
      </c>
      <c r="B22" s="4" t="s">
        <v>35</v>
      </c>
      <c r="C22" s="1">
        <v>-447</v>
      </c>
      <c r="D22" s="4" t="s">
        <v>9</v>
      </c>
      <c r="E22" s="9" t="s">
        <v>7</v>
      </c>
      <c r="F22" s="11">
        <f>VLOOKUP('Fluxo CC 7369'!D22,Planilha1!B:C,2,0)</f>
        <v>244</v>
      </c>
    </row>
    <row r="23" spans="1:6" ht="15.75" customHeight="1" x14ac:dyDescent="0.15">
      <c r="A23" s="1" t="s">
        <v>55</v>
      </c>
      <c r="B23" s="4" t="s">
        <v>55</v>
      </c>
      <c r="C23" s="12">
        <v>-2503.02</v>
      </c>
      <c r="D23" s="4" t="s">
        <v>53</v>
      </c>
      <c r="E23" s="9" t="s">
        <v>37</v>
      </c>
      <c r="F23" s="11">
        <f>VLOOKUP('Fluxo CC 7369'!D23,Planilha1!B:C,2,0)</f>
        <v>245</v>
      </c>
    </row>
    <row r="24" spans="1:6" ht="15.75" customHeight="1" x14ac:dyDescent="0.15">
      <c r="A24" s="1" t="s">
        <v>33</v>
      </c>
      <c r="B24" s="4" t="s">
        <v>33</v>
      </c>
      <c r="C24" s="1">
        <v>-36.47</v>
      </c>
      <c r="D24" s="4" t="s">
        <v>53</v>
      </c>
      <c r="E24" s="9" t="s">
        <v>37</v>
      </c>
      <c r="F24" s="11">
        <f>VLOOKUP('Fluxo CC 7369'!D24,Planilha1!B:C,2,0)</f>
        <v>245</v>
      </c>
    </row>
    <row r="25" spans="1:6" ht="15.75" customHeight="1" x14ac:dyDescent="0.15">
      <c r="A25" s="1" t="s">
        <v>1</v>
      </c>
      <c r="B25" s="4" t="s">
        <v>1</v>
      </c>
      <c r="C25" s="1">
        <v>-1.28</v>
      </c>
      <c r="D25" s="4" t="s">
        <v>16</v>
      </c>
      <c r="E25" s="9" t="s">
        <v>57</v>
      </c>
      <c r="F25" s="11">
        <f>VLOOKUP('Fluxo CC 7369'!D25,Planilha1!B:C,2,0)</f>
        <v>252</v>
      </c>
    </row>
    <row r="26" spans="1:6" ht="15.75" customHeight="1" x14ac:dyDescent="0.15">
      <c r="A26" s="1" t="s">
        <v>49</v>
      </c>
      <c r="B26" s="4" t="s">
        <v>49</v>
      </c>
      <c r="C26" s="1">
        <v>-221.16</v>
      </c>
      <c r="D26" s="4" t="s">
        <v>53</v>
      </c>
      <c r="E26" s="9" t="s">
        <v>37</v>
      </c>
      <c r="F26" s="11">
        <f>VLOOKUP('Fluxo CC 7369'!D26,Planilha1!B:C,2,0)</f>
        <v>245</v>
      </c>
    </row>
    <row r="27" spans="1:6" ht="15.75" customHeight="1" x14ac:dyDescent="0.15">
      <c r="A27" s="1" t="s">
        <v>6</v>
      </c>
      <c r="B27" s="4" t="s">
        <v>6</v>
      </c>
      <c r="C27" s="1">
        <v>-7.74</v>
      </c>
      <c r="D27" s="4" t="s">
        <v>16</v>
      </c>
      <c r="E27" s="9" t="s">
        <v>57</v>
      </c>
      <c r="F27" s="11">
        <f>VLOOKUP('Fluxo CC 7369'!D27,Planilha1!B:C,2,0)</f>
        <v>252</v>
      </c>
    </row>
    <row r="28" spans="1:6" ht="15.75" customHeight="1" x14ac:dyDescent="0.15">
      <c r="A28" s="1" t="s">
        <v>2</v>
      </c>
      <c r="B28" s="4" t="s">
        <v>2</v>
      </c>
      <c r="C28" s="1">
        <v>-280.63</v>
      </c>
      <c r="D28" s="4" t="s">
        <v>53</v>
      </c>
      <c r="E28" s="9" t="s">
        <v>37</v>
      </c>
      <c r="F28" s="11">
        <f>VLOOKUP('Fluxo CC 7369'!D28,Planilha1!B:C,2,0)</f>
        <v>245</v>
      </c>
    </row>
    <row r="29" spans="1:6" ht="15.75" customHeight="1" x14ac:dyDescent="0.15">
      <c r="A29" s="1" t="s">
        <v>47</v>
      </c>
      <c r="B29" s="4" t="s">
        <v>47</v>
      </c>
      <c r="C29" s="1">
        <v>-9.82</v>
      </c>
      <c r="D29" s="4" t="s">
        <v>16</v>
      </c>
      <c r="E29" s="9" t="s">
        <v>57</v>
      </c>
      <c r="F29" s="11">
        <f>VLOOKUP('Fluxo CC 7369'!D29,Planilha1!B:C,2,0)</f>
        <v>252</v>
      </c>
    </row>
    <row r="30" spans="1:6" ht="15.75" customHeight="1" x14ac:dyDescent="0.15">
      <c r="A30" s="1" t="s">
        <v>43</v>
      </c>
      <c r="B30" s="4" t="s">
        <v>43</v>
      </c>
      <c r="C30" s="1">
        <v>-429.36</v>
      </c>
      <c r="D30" s="4" t="s">
        <v>53</v>
      </c>
      <c r="E30" s="9" t="s">
        <v>37</v>
      </c>
      <c r="F30" s="11">
        <f>VLOOKUP('Fluxo CC 7369'!D30,Planilha1!B:C,2,0)</f>
        <v>245</v>
      </c>
    </row>
    <row r="31" spans="1:6" ht="15.75" customHeight="1" x14ac:dyDescent="0.15">
      <c r="A31" s="1" t="s">
        <v>50</v>
      </c>
      <c r="B31" s="4" t="s">
        <v>50</v>
      </c>
      <c r="C31" s="1">
        <v>-15.03</v>
      </c>
      <c r="D31" s="4" t="s">
        <v>16</v>
      </c>
      <c r="E31" s="9" t="s">
        <v>57</v>
      </c>
      <c r="F31" s="11">
        <f>VLOOKUP('Fluxo CC 7369'!D31,Planilha1!B:C,2,0)</f>
        <v>252</v>
      </c>
    </row>
    <row r="32" spans="1:6" ht="15.75" customHeight="1" x14ac:dyDescent="0.15">
      <c r="A32" s="1" t="s">
        <v>5</v>
      </c>
      <c r="B32" s="4" t="s">
        <v>5</v>
      </c>
      <c r="C32" s="1">
        <v>-439.47</v>
      </c>
      <c r="D32" s="4" t="s">
        <v>53</v>
      </c>
      <c r="E32" s="9" t="s">
        <v>37</v>
      </c>
      <c r="F32" s="11">
        <f>VLOOKUP('Fluxo CC 7369'!D32,Planilha1!B:C,2,0)</f>
        <v>245</v>
      </c>
    </row>
    <row r="33" spans="1:6" ht="15.75" customHeight="1" x14ac:dyDescent="0.15">
      <c r="A33" s="1" t="s">
        <v>59</v>
      </c>
      <c r="B33" s="4" t="s">
        <v>59</v>
      </c>
      <c r="C33" s="1" t="s">
        <v>26</v>
      </c>
      <c r="D33" s="4" t="s">
        <v>16</v>
      </c>
      <c r="E33" s="9" t="s">
        <v>57</v>
      </c>
      <c r="F33" s="11">
        <f>VLOOKUP('Fluxo CC 7369'!D33,Planilha1!B:C,2,0)</f>
        <v>252</v>
      </c>
    </row>
  </sheetData>
  <autoFilter ref="A1:F33" xr:uid="{641F9868-C3CC-450A-9192-31E284759B21}"/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5BBB-7BDF-4A47-B371-CB405B1DE80E}">
  <dimension ref="A1:C112"/>
  <sheetViews>
    <sheetView workbookViewId="0">
      <selection activeCell="C1" sqref="C1:C1048576"/>
    </sheetView>
  </sheetViews>
  <sheetFormatPr defaultRowHeight="12.75" x14ac:dyDescent="0.15"/>
  <cols>
    <col min="1" max="1" width="24" style="8" customWidth="1"/>
    <col min="2" max="2" width="68.5" style="8" customWidth="1"/>
    <col min="3" max="3" width="22.33203125" style="8" bestFit="1" customWidth="1"/>
  </cols>
  <sheetData>
    <row r="1" spans="1:3" ht="15" x14ac:dyDescent="0.25">
      <c r="A1" s="5" t="s">
        <v>62</v>
      </c>
      <c r="B1" s="5" t="s">
        <v>63</v>
      </c>
      <c r="C1" s="5" t="s">
        <v>64</v>
      </c>
    </row>
    <row r="2" spans="1:3" ht="25.5" x14ac:dyDescent="0.15">
      <c r="A2" s="6">
        <v>0</v>
      </c>
      <c r="B2" s="6" t="s">
        <v>65</v>
      </c>
      <c r="C2" s="6">
        <v>62</v>
      </c>
    </row>
    <row r="3" spans="1:3" x14ac:dyDescent="0.15">
      <c r="A3" s="6">
        <v>2</v>
      </c>
      <c r="B3" s="6" t="s">
        <v>66</v>
      </c>
      <c r="C3" s="6" t="s">
        <v>67</v>
      </c>
    </row>
    <row r="4" spans="1:3" x14ac:dyDescent="0.15">
      <c r="A4" s="6">
        <v>3</v>
      </c>
      <c r="B4" s="6" t="s">
        <v>68</v>
      </c>
      <c r="C4" s="6">
        <v>28</v>
      </c>
    </row>
    <row r="5" spans="1:3" x14ac:dyDescent="0.15">
      <c r="A5" s="6">
        <v>4</v>
      </c>
      <c r="B5" s="6" t="s">
        <v>69</v>
      </c>
      <c r="C5" s="6">
        <v>134</v>
      </c>
    </row>
    <row r="6" spans="1:3" x14ac:dyDescent="0.15">
      <c r="A6" s="6">
        <v>10</v>
      </c>
      <c r="B6" s="6" t="s">
        <v>70</v>
      </c>
      <c r="C6" s="6" t="s">
        <v>71</v>
      </c>
    </row>
    <row r="7" spans="1:3" x14ac:dyDescent="0.15">
      <c r="A7" s="6">
        <v>11</v>
      </c>
      <c r="B7" s="6" t="s">
        <v>72</v>
      </c>
      <c r="C7" s="6">
        <v>752</v>
      </c>
    </row>
    <row r="8" spans="1:3" ht="25.5" x14ac:dyDescent="0.15">
      <c r="A8" s="6">
        <v>12</v>
      </c>
      <c r="B8" s="6" t="s">
        <v>73</v>
      </c>
      <c r="C8" s="6">
        <v>752</v>
      </c>
    </row>
    <row r="9" spans="1:3" x14ac:dyDescent="0.15">
      <c r="A9" s="6">
        <v>13</v>
      </c>
      <c r="B9" s="6" t="s">
        <v>74</v>
      </c>
      <c r="C9" s="6">
        <v>185</v>
      </c>
    </row>
    <row r="10" spans="1:3" x14ac:dyDescent="0.15">
      <c r="A10" s="6">
        <v>14</v>
      </c>
      <c r="B10" s="6" t="s">
        <v>75</v>
      </c>
      <c r="C10" s="6">
        <v>185</v>
      </c>
    </row>
    <row r="11" spans="1:3" x14ac:dyDescent="0.15">
      <c r="A11" s="6">
        <v>15</v>
      </c>
      <c r="B11" s="6" t="s">
        <v>76</v>
      </c>
      <c r="C11" s="6">
        <v>752</v>
      </c>
    </row>
    <row r="12" spans="1:3" x14ac:dyDescent="0.15">
      <c r="A12" s="6">
        <v>16</v>
      </c>
      <c r="B12" s="6" t="s">
        <v>77</v>
      </c>
      <c r="C12" s="6">
        <v>752</v>
      </c>
    </row>
    <row r="13" spans="1:3" x14ac:dyDescent="0.15">
      <c r="A13" s="6">
        <v>17</v>
      </c>
      <c r="B13" s="6" t="s">
        <v>78</v>
      </c>
      <c r="C13" s="6">
        <v>752</v>
      </c>
    </row>
    <row r="14" spans="1:3" x14ac:dyDescent="0.15">
      <c r="A14" s="6">
        <v>18</v>
      </c>
      <c r="B14" s="6" t="s">
        <v>79</v>
      </c>
      <c r="C14" s="6">
        <v>752</v>
      </c>
    </row>
    <row r="15" spans="1:3" x14ac:dyDescent="0.15">
      <c r="A15" s="6">
        <v>19</v>
      </c>
      <c r="B15" s="6" t="s">
        <v>80</v>
      </c>
      <c r="C15" s="6">
        <v>752</v>
      </c>
    </row>
    <row r="16" spans="1:3" x14ac:dyDescent="0.15">
      <c r="A16" s="6">
        <v>20</v>
      </c>
      <c r="B16" s="6" t="s">
        <v>81</v>
      </c>
      <c r="C16" s="6">
        <v>80</v>
      </c>
    </row>
    <row r="17" spans="1:3" x14ac:dyDescent="0.15">
      <c r="A17" s="6">
        <v>21</v>
      </c>
      <c r="B17" s="6" t="s">
        <v>82</v>
      </c>
      <c r="C17" s="6">
        <v>80</v>
      </c>
    </row>
    <row r="18" spans="1:3" x14ac:dyDescent="0.15">
      <c r="A18" s="6">
        <v>21</v>
      </c>
      <c r="B18" s="6" t="s">
        <v>83</v>
      </c>
      <c r="C18" s="6">
        <v>80</v>
      </c>
    </row>
    <row r="19" spans="1:3" x14ac:dyDescent="0.15">
      <c r="A19" s="6">
        <v>22</v>
      </c>
      <c r="B19" s="6" t="s">
        <v>84</v>
      </c>
      <c r="C19" s="6">
        <v>805</v>
      </c>
    </row>
    <row r="20" spans="1:3" x14ac:dyDescent="0.15">
      <c r="A20" s="6">
        <v>22</v>
      </c>
      <c r="B20" s="6" t="s">
        <v>84</v>
      </c>
      <c r="C20" s="6">
        <v>805</v>
      </c>
    </row>
    <row r="21" spans="1:3" x14ac:dyDescent="0.15">
      <c r="A21" s="6">
        <v>23</v>
      </c>
      <c r="B21" s="6" t="s">
        <v>85</v>
      </c>
      <c r="C21" s="6">
        <v>68</v>
      </c>
    </row>
    <row r="22" spans="1:3" x14ac:dyDescent="0.15">
      <c r="A22" s="6">
        <v>24</v>
      </c>
      <c r="B22" s="6" t="s">
        <v>86</v>
      </c>
      <c r="C22" s="6">
        <v>203</v>
      </c>
    </row>
    <row r="23" spans="1:3" x14ac:dyDescent="0.15">
      <c r="A23" s="6">
        <v>25</v>
      </c>
      <c r="B23" s="6" t="s">
        <v>87</v>
      </c>
      <c r="C23" s="6">
        <v>202</v>
      </c>
    </row>
    <row r="24" spans="1:3" x14ac:dyDescent="0.15">
      <c r="A24" s="6">
        <v>26</v>
      </c>
      <c r="B24" s="6" t="s">
        <v>88</v>
      </c>
      <c r="C24" s="6">
        <v>201</v>
      </c>
    </row>
    <row r="25" spans="1:3" x14ac:dyDescent="0.15">
      <c r="A25" s="6">
        <v>27</v>
      </c>
      <c r="B25" s="6" t="s">
        <v>25</v>
      </c>
      <c r="C25" s="6">
        <v>224</v>
      </c>
    </row>
    <row r="26" spans="1:3" x14ac:dyDescent="0.15">
      <c r="A26" s="6">
        <v>28</v>
      </c>
      <c r="B26" s="6" t="s">
        <v>89</v>
      </c>
      <c r="C26" s="6">
        <v>181</v>
      </c>
    </row>
    <row r="27" spans="1:3" x14ac:dyDescent="0.15">
      <c r="A27" s="6">
        <v>29</v>
      </c>
      <c r="B27" s="6" t="s">
        <v>53</v>
      </c>
      <c r="C27" s="6">
        <v>245</v>
      </c>
    </row>
    <row r="28" spans="1:3" x14ac:dyDescent="0.15">
      <c r="A28" s="6">
        <v>30</v>
      </c>
      <c r="B28" s="6" t="s">
        <v>15</v>
      </c>
      <c r="C28" s="6">
        <v>164</v>
      </c>
    </row>
    <row r="29" spans="1:3" x14ac:dyDescent="0.15">
      <c r="A29" s="6">
        <v>31</v>
      </c>
      <c r="B29" s="6" t="s">
        <v>90</v>
      </c>
      <c r="C29" s="6">
        <v>222</v>
      </c>
    </row>
    <row r="30" spans="1:3" x14ac:dyDescent="0.15">
      <c r="A30" s="6">
        <v>32</v>
      </c>
      <c r="B30" s="6" t="s">
        <v>91</v>
      </c>
      <c r="C30" s="6">
        <v>165</v>
      </c>
    </row>
    <row r="31" spans="1:3" x14ac:dyDescent="0.15">
      <c r="A31" s="6">
        <v>33</v>
      </c>
      <c r="B31" s="6" t="s">
        <v>92</v>
      </c>
      <c r="C31" s="6">
        <v>752</v>
      </c>
    </row>
    <row r="32" spans="1:3" x14ac:dyDescent="0.15">
      <c r="A32" s="6">
        <v>34</v>
      </c>
      <c r="B32" s="6" t="s">
        <v>93</v>
      </c>
      <c r="C32" s="6">
        <v>238</v>
      </c>
    </row>
    <row r="33" spans="1:3" x14ac:dyDescent="0.15">
      <c r="A33" s="6">
        <v>35</v>
      </c>
      <c r="B33" s="6" t="s">
        <v>94</v>
      </c>
      <c r="C33" s="6">
        <v>206</v>
      </c>
    </row>
    <row r="34" spans="1:3" x14ac:dyDescent="0.15">
      <c r="A34" s="6">
        <v>36</v>
      </c>
      <c r="B34" s="6" t="s">
        <v>95</v>
      </c>
      <c r="C34" s="6">
        <v>220</v>
      </c>
    </row>
    <row r="35" spans="1:3" x14ac:dyDescent="0.15">
      <c r="A35" s="6">
        <v>37</v>
      </c>
      <c r="B35" s="6" t="s">
        <v>96</v>
      </c>
      <c r="C35" s="6">
        <v>229</v>
      </c>
    </row>
    <row r="36" spans="1:3" x14ac:dyDescent="0.15">
      <c r="A36" s="6">
        <v>38</v>
      </c>
      <c r="B36" s="6" t="s">
        <v>97</v>
      </c>
      <c r="C36" s="6">
        <v>165</v>
      </c>
    </row>
    <row r="37" spans="1:3" x14ac:dyDescent="0.15">
      <c r="A37" s="6">
        <v>39</v>
      </c>
      <c r="B37" s="6" t="s">
        <v>98</v>
      </c>
      <c r="C37" s="6">
        <v>200</v>
      </c>
    </row>
    <row r="38" spans="1:3" x14ac:dyDescent="0.15">
      <c r="A38" s="6">
        <v>40</v>
      </c>
      <c r="B38" s="6" t="s">
        <v>99</v>
      </c>
      <c r="C38" s="6">
        <v>40</v>
      </c>
    </row>
    <row r="39" spans="1:3" x14ac:dyDescent="0.15">
      <c r="A39" s="6">
        <v>41</v>
      </c>
      <c r="B39" s="6" t="s">
        <v>100</v>
      </c>
      <c r="C39" s="6">
        <v>41</v>
      </c>
    </row>
    <row r="40" spans="1:3" x14ac:dyDescent="0.15">
      <c r="A40" s="6">
        <v>42</v>
      </c>
      <c r="B40" s="6" t="s">
        <v>101</v>
      </c>
      <c r="C40" s="6">
        <v>263</v>
      </c>
    </row>
    <row r="41" spans="1:3" x14ac:dyDescent="0.15">
      <c r="A41" s="6">
        <v>43</v>
      </c>
      <c r="B41" s="6" t="s">
        <v>102</v>
      </c>
      <c r="C41" s="6">
        <v>211</v>
      </c>
    </row>
    <row r="42" spans="1:3" x14ac:dyDescent="0.15">
      <c r="A42" s="6">
        <v>44</v>
      </c>
      <c r="B42" s="6" t="s">
        <v>103</v>
      </c>
      <c r="C42" s="6">
        <v>207</v>
      </c>
    </row>
    <row r="43" spans="1:3" x14ac:dyDescent="0.15">
      <c r="A43" s="6">
        <v>45</v>
      </c>
      <c r="B43" s="6" t="s">
        <v>104</v>
      </c>
      <c r="C43" s="6">
        <v>236</v>
      </c>
    </row>
    <row r="44" spans="1:3" x14ac:dyDescent="0.15">
      <c r="A44" s="6">
        <v>46</v>
      </c>
      <c r="B44" s="6" t="s">
        <v>105</v>
      </c>
      <c r="C44" s="6">
        <v>239</v>
      </c>
    </row>
    <row r="45" spans="1:3" x14ac:dyDescent="0.15">
      <c r="A45" s="6">
        <v>47</v>
      </c>
      <c r="B45" s="6" t="s">
        <v>106</v>
      </c>
      <c r="C45" s="6">
        <v>210</v>
      </c>
    </row>
    <row r="46" spans="1:3" x14ac:dyDescent="0.15">
      <c r="A46" s="6">
        <v>48</v>
      </c>
      <c r="B46" s="6" t="s">
        <v>107</v>
      </c>
      <c r="C46" s="6">
        <v>64</v>
      </c>
    </row>
    <row r="47" spans="1:3" x14ac:dyDescent="0.15">
      <c r="A47" s="6">
        <v>49</v>
      </c>
      <c r="B47" s="6" t="s">
        <v>108</v>
      </c>
      <c r="C47" s="6">
        <v>64</v>
      </c>
    </row>
    <row r="48" spans="1:3" x14ac:dyDescent="0.15">
      <c r="A48" s="6">
        <v>50</v>
      </c>
      <c r="B48" s="6" t="s">
        <v>109</v>
      </c>
      <c r="C48" s="6">
        <v>64</v>
      </c>
    </row>
    <row r="49" spans="1:3" x14ac:dyDescent="0.15">
      <c r="A49" s="6">
        <v>51</v>
      </c>
      <c r="B49" s="6" t="s">
        <v>110</v>
      </c>
      <c r="C49" s="6">
        <v>64</v>
      </c>
    </row>
    <row r="50" spans="1:3" x14ac:dyDescent="0.15">
      <c r="A50" s="6">
        <v>52</v>
      </c>
      <c r="B50" s="6" t="s">
        <v>111</v>
      </c>
      <c r="C50" s="6">
        <v>64</v>
      </c>
    </row>
    <row r="51" spans="1:3" x14ac:dyDescent="0.15">
      <c r="A51" s="6">
        <v>53</v>
      </c>
      <c r="B51" s="6" t="s">
        <v>112</v>
      </c>
      <c r="C51" s="6">
        <v>64</v>
      </c>
    </row>
    <row r="52" spans="1:3" x14ac:dyDescent="0.15">
      <c r="A52" s="6">
        <v>54</v>
      </c>
      <c r="B52" s="6" t="s">
        <v>113</v>
      </c>
      <c r="C52" s="6">
        <v>64</v>
      </c>
    </row>
    <row r="53" spans="1:3" x14ac:dyDescent="0.15">
      <c r="A53" s="6">
        <v>55</v>
      </c>
      <c r="B53" s="6" t="s">
        <v>114</v>
      </c>
      <c r="C53" s="6">
        <v>64</v>
      </c>
    </row>
    <row r="54" spans="1:3" x14ac:dyDescent="0.15">
      <c r="A54" s="6">
        <v>56</v>
      </c>
      <c r="B54" s="6" t="s">
        <v>115</v>
      </c>
      <c r="C54" s="6">
        <v>67</v>
      </c>
    </row>
    <row r="55" spans="1:3" x14ac:dyDescent="0.15">
      <c r="A55" s="6">
        <v>57</v>
      </c>
      <c r="B55" s="6" t="s">
        <v>116</v>
      </c>
      <c r="C55" s="6">
        <v>67</v>
      </c>
    </row>
    <row r="56" spans="1:3" x14ac:dyDescent="0.15">
      <c r="A56" s="6">
        <v>58</v>
      </c>
      <c r="B56" s="6" t="s">
        <v>117</v>
      </c>
      <c r="C56" s="6">
        <v>66</v>
      </c>
    </row>
    <row r="57" spans="1:3" x14ac:dyDescent="0.15">
      <c r="A57" s="6">
        <v>59</v>
      </c>
      <c r="B57" s="6" t="s">
        <v>118</v>
      </c>
      <c r="C57" s="6">
        <v>66</v>
      </c>
    </row>
    <row r="58" spans="1:3" x14ac:dyDescent="0.15">
      <c r="A58" s="6">
        <v>60</v>
      </c>
      <c r="B58" s="6" t="s">
        <v>119</v>
      </c>
      <c r="C58" s="6">
        <v>73</v>
      </c>
    </row>
    <row r="59" spans="1:3" x14ac:dyDescent="0.15">
      <c r="A59" s="6">
        <v>61</v>
      </c>
      <c r="B59" s="6" t="s">
        <v>120</v>
      </c>
      <c r="C59" s="6">
        <v>214</v>
      </c>
    </row>
    <row r="60" spans="1:3" x14ac:dyDescent="0.15">
      <c r="A60" s="6">
        <v>62</v>
      </c>
      <c r="B60" s="6" t="s">
        <v>121</v>
      </c>
      <c r="C60" s="6">
        <v>198</v>
      </c>
    </row>
    <row r="61" spans="1:3" x14ac:dyDescent="0.15">
      <c r="A61" s="6">
        <v>63</v>
      </c>
      <c r="B61" s="6" t="s">
        <v>51</v>
      </c>
      <c r="C61" s="6">
        <v>211</v>
      </c>
    </row>
    <row r="62" spans="1:3" x14ac:dyDescent="0.15">
      <c r="A62" s="6">
        <v>64</v>
      </c>
      <c r="B62" s="6" t="s">
        <v>122</v>
      </c>
      <c r="C62" s="6">
        <v>73</v>
      </c>
    </row>
    <row r="63" spans="1:3" x14ac:dyDescent="0.15">
      <c r="A63" s="6">
        <v>65</v>
      </c>
      <c r="B63" s="6" t="s">
        <v>123</v>
      </c>
      <c r="C63" s="6">
        <v>67</v>
      </c>
    </row>
    <row r="64" spans="1:3" x14ac:dyDescent="0.15">
      <c r="A64" s="6">
        <v>66</v>
      </c>
      <c r="B64" s="6" t="s">
        <v>124</v>
      </c>
      <c r="C64" s="6">
        <v>218</v>
      </c>
    </row>
    <row r="65" spans="1:3" x14ac:dyDescent="0.15">
      <c r="A65" s="6">
        <v>67</v>
      </c>
      <c r="B65" s="6" t="s">
        <v>125</v>
      </c>
      <c r="C65" s="6">
        <v>217</v>
      </c>
    </row>
    <row r="66" spans="1:3" x14ac:dyDescent="0.15">
      <c r="A66" s="6">
        <v>68</v>
      </c>
      <c r="B66" s="6" t="s">
        <v>126</v>
      </c>
      <c r="C66" s="6">
        <v>234</v>
      </c>
    </row>
    <row r="67" spans="1:3" x14ac:dyDescent="0.15">
      <c r="A67" s="6">
        <v>69</v>
      </c>
      <c r="B67" s="6" t="s">
        <v>127</v>
      </c>
      <c r="C67" s="6">
        <v>200</v>
      </c>
    </row>
    <row r="68" spans="1:3" x14ac:dyDescent="0.15">
      <c r="A68" s="6">
        <v>70</v>
      </c>
      <c r="B68" s="6" t="s">
        <v>128</v>
      </c>
      <c r="C68" s="6">
        <v>165</v>
      </c>
    </row>
    <row r="69" spans="1:3" x14ac:dyDescent="0.15">
      <c r="A69" s="6">
        <v>71</v>
      </c>
      <c r="B69" s="6" t="s">
        <v>29</v>
      </c>
      <c r="C69" s="6">
        <v>247</v>
      </c>
    </row>
    <row r="70" spans="1:3" x14ac:dyDescent="0.15">
      <c r="A70" s="6">
        <v>72</v>
      </c>
      <c r="B70" s="6" t="s">
        <v>129</v>
      </c>
      <c r="C70" s="6">
        <v>224</v>
      </c>
    </row>
    <row r="71" spans="1:3" x14ac:dyDescent="0.15">
      <c r="A71" s="6">
        <v>73</v>
      </c>
      <c r="B71" s="6" t="s">
        <v>130</v>
      </c>
      <c r="C71" s="6">
        <v>219</v>
      </c>
    </row>
    <row r="72" spans="1:3" x14ac:dyDescent="0.15">
      <c r="A72" s="6">
        <v>74</v>
      </c>
      <c r="B72" s="6" t="s">
        <v>131</v>
      </c>
      <c r="C72" s="6">
        <v>216</v>
      </c>
    </row>
    <row r="73" spans="1:3" x14ac:dyDescent="0.15">
      <c r="A73" s="6">
        <v>75</v>
      </c>
      <c r="B73" s="6" t="s">
        <v>132</v>
      </c>
      <c r="C73" s="6">
        <v>196</v>
      </c>
    </row>
    <row r="74" spans="1:3" x14ac:dyDescent="0.15">
      <c r="A74" s="6">
        <v>76</v>
      </c>
      <c r="B74" s="6" t="s">
        <v>133</v>
      </c>
      <c r="C74" s="6">
        <v>501</v>
      </c>
    </row>
    <row r="75" spans="1:3" x14ac:dyDescent="0.15">
      <c r="A75" s="6">
        <v>77</v>
      </c>
      <c r="B75" s="6" t="s">
        <v>134</v>
      </c>
      <c r="C75" s="6">
        <v>225</v>
      </c>
    </row>
    <row r="76" spans="1:3" ht="38.25" x14ac:dyDescent="0.15">
      <c r="A76" s="6">
        <v>78</v>
      </c>
      <c r="B76" s="6" t="s">
        <v>135</v>
      </c>
      <c r="C76" s="6" t="s">
        <v>136</v>
      </c>
    </row>
    <row r="77" spans="1:3" x14ac:dyDescent="0.15">
      <c r="A77" s="6">
        <v>79</v>
      </c>
      <c r="B77" s="6" t="s">
        <v>137</v>
      </c>
      <c r="C77" s="6">
        <v>233</v>
      </c>
    </row>
    <row r="78" spans="1:3" x14ac:dyDescent="0.15">
      <c r="A78" s="6">
        <v>80</v>
      </c>
      <c r="B78" s="6" t="s">
        <v>138</v>
      </c>
      <c r="C78" s="6">
        <v>67</v>
      </c>
    </row>
    <row r="79" spans="1:3" x14ac:dyDescent="0.15">
      <c r="A79" s="6">
        <v>81</v>
      </c>
      <c r="B79" s="6" t="s">
        <v>139</v>
      </c>
      <c r="C79" s="6">
        <v>165</v>
      </c>
    </row>
    <row r="80" spans="1:3" x14ac:dyDescent="0.15">
      <c r="A80" s="6">
        <v>82</v>
      </c>
      <c r="B80" s="6" t="s">
        <v>140</v>
      </c>
      <c r="C80" s="6">
        <v>197</v>
      </c>
    </row>
    <row r="81" spans="1:3" x14ac:dyDescent="0.15">
      <c r="A81" s="6">
        <v>83</v>
      </c>
      <c r="B81" s="6" t="s">
        <v>141</v>
      </c>
      <c r="C81" s="6">
        <v>255</v>
      </c>
    </row>
    <row r="82" spans="1:3" x14ac:dyDescent="0.15">
      <c r="A82" s="6">
        <v>84</v>
      </c>
      <c r="B82" s="7" t="s">
        <v>9</v>
      </c>
      <c r="C82" s="6">
        <v>244</v>
      </c>
    </row>
    <row r="83" spans="1:3" x14ac:dyDescent="0.15">
      <c r="A83" s="6">
        <v>85</v>
      </c>
      <c r="B83" s="6" t="s">
        <v>61</v>
      </c>
      <c r="C83" s="6">
        <v>710</v>
      </c>
    </row>
    <row r="84" spans="1:3" x14ac:dyDescent="0.15">
      <c r="A84" s="6">
        <v>86</v>
      </c>
      <c r="B84" s="6" t="s">
        <v>142</v>
      </c>
      <c r="C84" s="6">
        <v>166</v>
      </c>
    </row>
    <row r="85" spans="1:3" x14ac:dyDescent="0.15">
      <c r="A85" s="6">
        <v>87</v>
      </c>
      <c r="B85" s="6" t="s">
        <v>143</v>
      </c>
      <c r="C85" s="6">
        <v>193</v>
      </c>
    </row>
    <row r="86" spans="1:3" x14ac:dyDescent="0.15">
      <c r="A86" s="6">
        <v>88</v>
      </c>
      <c r="B86" s="6" t="s">
        <v>144</v>
      </c>
      <c r="C86" s="6">
        <v>251</v>
      </c>
    </row>
    <row r="87" spans="1:3" x14ac:dyDescent="0.15">
      <c r="A87" s="6">
        <v>89</v>
      </c>
      <c r="B87" s="6" t="s">
        <v>145</v>
      </c>
      <c r="C87" s="6">
        <v>215</v>
      </c>
    </row>
    <row r="88" spans="1:3" x14ac:dyDescent="0.15">
      <c r="A88" s="6">
        <v>90</v>
      </c>
      <c r="B88" s="6" t="s">
        <v>146</v>
      </c>
      <c r="C88" s="6">
        <v>212</v>
      </c>
    </row>
    <row r="89" spans="1:3" x14ac:dyDescent="0.15">
      <c r="A89" s="6">
        <v>91</v>
      </c>
      <c r="B89" s="6" t="s">
        <v>8</v>
      </c>
      <c r="C89" s="6">
        <v>227</v>
      </c>
    </row>
    <row r="90" spans="1:3" x14ac:dyDescent="0.15">
      <c r="A90" s="6">
        <v>92</v>
      </c>
      <c r="B90" s="6" t="s">
        <v>147</v>
      </c>
      <c r="C90" s="6">
        <v>711</v>
      </c>
    </row>
    <row r="91" spans="1:3" x14ac:dyDescent="0.15">
      <c r="A91" s="6">
        <v>93</v>
      </c>
      <c r="B91" s="6" t="s">
        <v>148</v>
      </c>
      <c r="C91" s="6">
        <v>186</v>
      </c>
    </row>
    <row r="92" spans="1:3" x14ac:dyDescent="0.15">
      <c r="A92" s="6">
        <v>94</v>
      </c>
      <c r="B92" s="6" t="s">
        <v>36</v>
      </c>
      <c r="C92" s="6">
        <v>247</v>
      </c>
    </row>
    <row r="93" spans="1:3" x14ac:dyDescent="0.15">
      <c r="A93" s="6">
        <v>95</v>
      </c>
      <c r="B93" s="6" t="s">
        <v>149</v>
      </c>
      <c r="C93" s="6">
        <v>179</v>
      </c>
    </row>
    <row r="94" spans="1:3" x14ac:dyDescent="0.15">
      <c r="A94" s="6">
        <v>96</v>
      </c>
      <c r="B94" s="6" t="s">
        <v>150</v>
      </c>
      <c r="C94" s="6">
        <v>180</v>
      </c>
    </row>
    <row r="95" spans="1:3" x14ac:dyDescent="0.15">
      <c r="A95" s="6">
        <v>97</v>
      </c>
      <c r="B95" s="6" t="s">
        <v>151</v>
      </c>
      <c r="C95" s="6">
        <v>238</v>
      </c>
    </row>
    <row r="96" spans="1:3" x14ac:dyDescent="0.15">
      <c r="A96" s="6">
        <v>98</v>
      </c>
      <c r="B96" s="6" t="s">
        <v>152</v>
      </c>
      <c r="C96" s="6">
        <v>184</v>
      </c>
    </row>
    <row r="97" spans="1:3" x14ac:dyDescent="0.15">
      <c r="A97" s="6">
        <v>99</v>
      </c>
      <c r="B97" s="6" t="s">
        <v>153</v>
      </c>
      <c r="C97" s="6">
        <v>187</v>
      </c>
    </row>
    <row r="98" spans="1:3" x14ac:dyDescent="0.15">
      <c r="A98" s="6">
        <v>100</v>
      </c>
      <c r="B98" s="6" t="s">
        <v>154</v>
      </c>
      <c r="C98" s="6">
        <v>226</v>
      </c>
    </row>
    <row r="99" spans="1:3" x14ac:dyDescent="0.15">
      <c r="A99" s="6">
        <v>101</v>
      </c>
      <c r="B99" s="6" t="s">
        <v>155</v>
      </c>
      <c r="C99" s="6">
        <v>237</v>
      </c>
    </row>
    <row r="100" spans="1:3" x14ac:dyDescent="0.15">
      <c r="A100" s="6">
        <v>102</v>
      </c>
      <c r="B100" s="6" t="s">
        <v>156</v>
      </c>
      <c r="C100" s="6" t="s">
        <v>157</v>
      </c>
    </row>
    <row r="101" spans="1:3" x14ac:dyDescent="0.15">
      <c r="A101" s="6">
        <v>103</v>
      </c>
      <c r="B101" s="6" t="s">
        <v>158</v>
      </c>
      <c r="C101" s="6" t="s">
        <v>159</v>
      </c>
    </row>
    <row r="102" spans="1:3" x14ac:dyDescent="0.15">
      <c r="A102" s="6">
        <v>104</v>
      </c>
      <c r="B102" s="6" t="s">
        <v>160</v>
      </c>
      <c r="C102" s="6">
        <v>224</v>
      </c>
    </row>
    <row r="103" spans="1:3" x14ac:dyDescent="0.15">
      <c r="A103" s="6">
        <v>105</v>
      </c>
      <c r="B103" s="6" t="s">
        <v>161</v>
      </c>
      <c r="C103" s="6">
        <v>67</v>
      </c>
    </row>
    <row r="104" spans="1:3" x14ac:dyDescent="0.15">
      <c r="A104" s="6">
        <v>106</v>
      </c>
      <c r="B104" s="6" t="s">
        <v>162</v>
      </c>
      <c r="C104" s="6">
        <v>0</v>
      </c>
    </row>
    <row r="105" spans="1:3" x14ac:dyDescent="0.15">
      <c r="A105" s="6">
        <v>107</v>
      </c>
      <c r="B105" s="6" t="s">
        <v>16</v>
      </c>
      <c r="C105" s="6">
        <v>252</v>
      </c>
    </row>
    <row r="106" spans="1:3" x14ac:dyDescent="0.15">
      <c r="A106" s="6">
        <v>108</v>
      </c>
      <c r="B106" s="6" t="s">
        <v>163</v>
      </c>
      <c r="C106" s="6" t="s">
        <v>164</v>
      </c>
    </row>
    <row r="107" spans="1:3" x14ac:dyDescent="0.15">
      <c r="A107" s="6">
        <v>109</v>
      </c>
      <c r="B107" s="6" t="s">
        <v>165</v>
      </c>
      <c r="C107" s="6">
        <v>73</v>
      </c>
    </row>
    <row r="108" spans="1:3" x14ac:dyDescent="0.15">
      <c r="A108" s="6">
        <v>110</v>
      </c>
      <c r="B108" s="6" t="s">
        <v>0</v>
      </c>
      <c r="C108" s="6">
        <v>41</v>
      </c>
    </row>
    <row r="109" spans="1:3" x14ac:dyDescent="0.15">
      <c r="A109" s="6">
        <v>111</v>
      </c>
      <c r="B109" s="6" t="s">
        <v>166</v>
      </c>
      <c r="C109" s="6">
        <v>76</v>
      </c>
    </row>
    <row r="110" spans="1:3" x14ac:dyDescent="0.15">
      <c r="A110" s="6">
        <v>112</v>
      </c>
      <c r="B110" s="6" t="s">
        <v>167</v>
      </c>
      <c r="C110" s="6">
        <v>135</v>
      </c>
    </row>
    <row r="111" spans="1:3" x14ac:dyDescent="0.15">
      <c r="A111" s="6">
        <v>113</v>
      </c>
      <c r="B111" s="6" t="s">
        <v>168</v>
      </c>
      <c r="C111" s="6">
        <v>237</v>
      </c>
    </row>
    <row r="112" spans="1:3" x14ac:dyDescent="0.15">
      <c r="A112" s="6">
        <v>114</v>
      </c>
      <c r="B112" s="6" t="s">
        <v>169</v>
      </c>
      <c r="C112" s="6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 CC 7369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Zechmann</cp:lastModifiedBy>
  <dcterms:created xsi:type="dcterms:W3CDTF">2026-02-04T19:04:01Z</dcterms:created>
  <dcterms:modified xsi:type="dcterms:W3CDTF">2026-03-06T16:52:01Z</dcterms:modified>
</cp:coreProperties>
</file>